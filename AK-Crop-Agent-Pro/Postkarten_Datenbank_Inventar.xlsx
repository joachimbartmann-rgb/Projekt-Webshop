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_docs\Ansichtskarten\"/>
    </mc:Choice>
  </mc:AlternateContent>
  <xr:revisionPtr revIDLastSave="0" documentId="13_ncr:1_{B19C444A-05EC-4B92-9C89-C1ABE7DFA139}" xr6:coauthVersionLast="47" xr6:coauthVersionMax="47" xr10:uidLastSave="{00000000-0000-0000-0000-000000000000}"/>
  <bookViews>
    <workbookView xWindow="-108" yWindow="-108" windowWidth="23256" windowHeight="12456" tabRatio="580" activeTab="2" xr2:uid="{00000000-000D-0000-FFFF-FFFF00000000}"/>
  </bookViews>
  <sheets>
    <sheet name="Sammlung Start" sheetId="7" r:id="rId1"/>
    <sheet name="Postkarten Dashboard" sheetId="3" r:id="rId2"/>
    <sheet name="Postkarten" sheetId="1" r:id="rId3"/>
    <sheet name="Save" sheetId="9" r:id="rId4"/>
    <sheet name="Buch" sheetId="8" r:id="rId5"/>
    <sheet name="Postkarten Vergleich" sheetId="2" r:id="rId6"/>
    <sheet name="Münzen" sheetId="5" r:id="rId7"/>
    <sheet name="Münzen Vergleich" sheetId="6" r:id="rId8"/>
    <sheet name="Kleinanzeigen Top 10" sheetId="4"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37" i="1" l="1"/>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N6" i="9"/>
  <c r="N5" i="9"/>
  <c r="N4" i="9"/>
  <c r="N3" i="9"/>
  <c r="N2" i="9"/>
  <c r="A5" i="3"/>
  <c r="N631" i="1"/>
  <c r="N632" i="1"/>
  <c r="N633" i="1"/>
  <c r="N634" i="1"/>
  <c r="N635" i="1"/>
  <c r="N636" i="1"/>
  <c r="N630" i="1"/>
  <c r="N629" i="1"/>
  <c r="N628" i="1"/>
  <c r="N626" i="1"/>
  <c r="N627" i="1"/>
  <c r="N623" i="1"/>
  <c r="N624" i="1"/>
  <c r="N625" i="1"/>
  <c r="N622" i="1"/>
  <c r="N620" i="1"/>
  <c r="N621" i="1"/>
  <c r="N617" i="1"/>
  <c r="N618" i="1"/>
  <c r="N619" i="1"/>
  <c r="N616" i="1"/>
  <c r="A5" i="7"/>
  <c r="N615" i="1"/>
  <c r="N611" i="1"/>
  <c r="N612" i="1"/>
  <c r="N613" i="1"/>
  <c r="N614" i="1"/>
  <c r="N603" i="1"/>
  <c r="N604" i="1"/>
  <c r="N605" i="1"/>
  <c r="N606" i="1"/>
  <c r="N607" i="1"/>
  <c r="N608" i="1"/>
  <c r="N609" i="1"/>
  <c r="N610" i="1"/>
  <c r="N602" i="1"/>
  <c r="N600" i="1"/>
  <c r="N601" i="1"/>
  <c r="N598" i="1"/>
  <c r="N599" i="1"/>
  <c r="N596" i="1"/>
  <c r="N597" i="1"/>
  <c r="N594" i="1"/>
  <c r="N595" i="1"/>
  <c r="N593" i="1"/>
  <c r="N592" i="1"/>
  <c r="N589" i="1"/>
  <c r="N590" i="1"/>
  <c r="N591" i="1"/>
  <c r="N587" i="1"/>
  <c r="N588" i="1"/>
  <c r="N584" i="1"/>
  <c r="N585" i="1"/>
  <c r="N586" i="1"/>
  <c r="N581" i="1"/>
  <c r="N582" i="1"/>
  <c r="N583" i="1"/>
  <c r="N580" i="1"/>
  <c r="N579" i="1"/>
  <c r="N577" i="1"/>
  <c r="N578" i="1"/>
  <c r="N576" i="1"/>
  <c r="N575" i="1"/>
  <c r="N573" i="1"/>
  <c r="N574" i="1"/>
  <c r="N571" i="1"/>
  <c r="N572" i="1"/>
  <c r="N568" i="1"/>
  <c r="N569" i="1"/>
  <c r="N570" i="1"/>
  <c r="N565" i="1"/>
  <c r="N566" i="1"/>
  <c r="N567" i="1"/>
  <c r="N562" i="1"/>
  <c r="N563" i="1"/>
  <c r="N564" i="1"/>
  <c r="N559" i="1"/>
  <c r="N560" i="1"/>
  <c r="N561" i="1"/>
  <c r="N558" i="1"/>
  <c r="N557" i="1"/>
  <c r="N552" i="1"/>
  <c r="N553" i="1"/>
  <c r="N554" i="1"/>
  <c r="N555" i="1"/>
  <c r="N556" i="1"/>
  <c r="N551" i="1"/>
  <c r="N548" i="1"/>
  <c r="N549" i="1"/>
  <c r="N550" i="1"/>
  <c r="N547" i="1"/>
  <c r="N546" i="1"/>
  <c r="N544" i="1"/>
  <c r="N545" i="1"/>
  <c r="N541" i="1"/>
  <c r="N542" i="1"/>
  <c r="N543" i="1"/>
  <c r="N538" i="1"/>
  <c r="N539" i="1"/>
  <c r="N540" i="1"/>
  <c r="N536" i="1"/>
  <c r="N535" i="1"/>
  <c r="N537" i="1"/>
  <c r="N532" i="1"/>
  <c r="N533" i="1"/>
  <c r="N534" i="1"/>
  <c r="N529" i="1"/>
  <c r="N530" i="1"/>
  <c r="N531" i="1"/>
  <c r="N526" i="1"/>
  <c r="N527" i="1"/>
  <c r="N528" i="1"/>
  <c r="N525" i="1"/>
  <c r="A4" i="2"/>
  <c r="N519" i="1"/>
  <c r="N520" i="1"/>
  <c r="N521" i="1"/>
  <c r="N522" i="1"/>
  <c r="N523" i="1"/>
  <c r="N524" i="1"/>
  <c r="N518" i="1"/>
  <c r="N516" i="1"/>
  <c r="N517" i="1"/>
  <c r="N513" i="1"/>
  <c r="N514" i="1"/>
  <c r="N515" i="1"/>
  <c r="N510" i="1"/>
  <c r="N511" i="1"/>
  <c r="N512" i="1"/>
  <c r="N509" i="1"/>
  <c r="Q15" i="5"/>
  <c r="N504" i="1"/>
  <c r="N505" i="1"/>
  <c r="N506" i="1"/>
  <c r="N507" i="1"/>
  <c r="N508" i="1"/>
  <c r="N503" i="1"/>
  <c r="N500" i="1"/>
  <c r="N501" i="1"/>
  <c r="N502" i="1"/>
  <c r="N499" i="1"/>
  <c r="N494" i="1"/>
  <c r="N495" i="1"/>
  <c r="N496" i="1"/>
  <c r="N497" i="1"/>
  <c r="N498" i="1"/>
  <c r="N493" i="1"/>
  <c r="N491" i="1"/>
  <c r="N492" i="1"/>
  <c r="N488" i="1"/>
  <c r="N489" i="1"/>
  <c r="N490" i="1"/>
  <c r="N480" i="1"/>
  <c r="N481" i="1"/>
  <c r="N482" i="1"/>
  <c r="N483" i="1"/>
  <c r="N484" i="1"/>
  <c r="N485" i="1"/>
  <c r="N486" i="1"/>
  <c r="N487" i="1"/>
  <c r="N479" i="1"/>
  <c r="N8" i="8"/>
  <c r="N7" i="8"/>
  <c r="N6" i="8"/>
  <c r="N5" i="8"/>
  <c r="N443" i="1"/>
  <c r="N444" i="1"/>
  <c r="N445" i="1"/>
  <c r="N476" i="1"/>
  <c r="N477" i="1"/>
  <c r="N478" i="1"/>
  <c r="N475" i="1"/>
  <c r="N3" i="8"/>
  <c r="N4" i="8"/>
  <c r="N2" i="8"/>
  <c r="B9" i="3"/>
  <c r="N473" i="1"/>
  <c r="N474" i="1"/>
  <c r="N470" i="1"/>
  <c r="N471" i="1"/>
  <c r="N472" i="1"/>
  <c r="N465" i="1"/>
  <c r="N466" i="1"/>
  <c r="N467" i="1"/>
  <c r="N468" i="1"/>
  <c r="N469" i="1"/>
  <c r="N464" i="1"/>
  <c r="N462" i="1"/>
  <c r="N463" i="1"/>
  <c r="N461" i="1"/>
  <c r="N458" i="1"/>
  <c r="N459" i="1"/>
  <c r="N460" i="1"/>
  <c r="N457" i="1"/>
  <c r="N454" i="1"/>
  <c r="N455" i="1"/>
  <c r="N456" i="1"/>
  <c r="N451" i="1"/>
  <c r="N452" i="1"/>
  <c r="N453" i="1"/>
  <c r="N448" i="1"/>
  <c r="N449" i="1"/>
  <c r="N450" i="1"/>
  <c r="N446" i="1"/>
  <c r="N447" i="1"/>
  <c r="N442" i="1"/>
  <c r="N433" i="1"/>
  <c r="N437" i="1"/>
  <c r="N439" i="1"/>
  <c r="N426" i="1"/>
  <c r="N427" i="1"/>
  <c r="N428" i="1"/>
  <c r="N429" i="1"/>
  <c r="N430" i="1"/>
  <c r="N431" i="1"/>
  <c r="N432" i="1"/>
  <c r="N434" i="1"/>
  <c r="N435" i="1"/>
  <c r="N436" i="1"/>
  <c r="N438" i="1"/>
  <c r="N440" i="1"/>
  <c r="N441" i="1"/>
  <c r="N421" i="1"/>
  <c r="N422" i="1"/>
  <c r="N423" i="1"/>
  <c r="N424" i="1"/>
  <c r="N425" i="1"/>
  <c r="N420" i="1"/>
  <c r="N419" i="1"/>
  <c r="N418" i="1"/>
  <c r="N417" i="1"/>
  <c r="N416" i="1"/>
  <c r="N415" i="1"/>
  <c r="N414" i="1"/>
  <c r="N413" i="1"/>
  <c r="N412" i="1"/>
  <c r="N411" i="1"/>
  <c r="H11" i="7"/>
  <c r="I11" i="7"/>
  <c r="J11" i="7"/>
  <c r="K11" i="7"/>
  <c r="B11" i="7"/>
  <c r="C11" i="7"/>
  <c r="D11" i="7"/>
  <c r="E11" i="7"/>
  <c r="B10" i="7"/>
  <c r="D10" i="7"/>
  <c r="L5" i="7"/>
  <c r="E5" i="7"/>
  <c r="B15" i="6"/>
  <c r="C15" i="6"/>
  <c r="D15" i="6"/>
  <c r="J15" i="6" s="1"/>
  <c r="E15" i="6"/>
  <c r="K15" i="6" s="1"/>
  <c r="B14" i="6"/>
  <c r="C14" i="6"/>
  <c r="D14" i="6"/>
  <c r="J14" i="6" s="1"/>
  <c r="E14" i="6"/>
  <c r="K14" i="6" s="1"/>
  <c r="B13" i="6"/>
  <c r="C13" i="6"/>
  <c r="D13" i="6"/>
  <c r="J13" i="6" s="1"/>
  <c r="E13" i="6"/>
  <c r="K13" i="6" s="1"/>
  <c r="B12" i="6"/>
  <c r="C12" i="6"/>
  <c r="D12" i="6"/>
  <c r="J12" i="6" s="1"/>
  <c r="E12" i="6"/>
  <c r="K12" i="6" s="1"/>
  <c r="B11" i="6"/>
  <c r="C11" i="6"/>
  <c r="D11" i="6"/>
  <c r="J11" i="6" s="1"/>
  <c r="E11" i="6"/>
  <c r="K11" i="6" s="1"/>
  <c r="B10" i="6"/>
  <c r="C10" i="6"/>
  <c r="D10" i="6"/>
  <c r="J10" i="6" s="1"/>
  <c r="E10" i="6"/>
  <c r="K10" i="6" s="1"/>
  <c r="B9" i="6"/>
  <c r="C9" i="6"/>
  <c r="D9" i="6"/>
  <c r="J9" i="6" s="1"/>
  <c r="E9" i="6"/>
  <c r="K9" i="6" s="1"/>
  <c r="B8" i="6"/>
  <c r="C8" i="6"/>
  <c r="D8" i="6"/>
  <c r="J8" i="6" s="1"/>
  <c r="E8" i="6"/>
  <c r="K8" i="6" s="1"/>
  <c r="B7" i="6"/>
  <c r="C7" i="6"/>
  <c r="D7" i="6"/>
  <c r="J7" i="6" s="1"/>
  <c r="E7" i="6"/>
  <c r="K7" i="6" s="1"/>
  <c r="I4" i="6"/>
  <c r="E4" i="6"/>
  <c r="A4" i="6"/>
  <c r="N13" i="5"/>
  <c r="F15" i="6" s="1"/>
  <c r="L15" i="6" s="1"/>
  <c r="N12" i="5"/>
  <c r="F14" i="6" s="1"/>
  <c r="L14" i="6" s="1"/>
  <c r="N11" i="5"/>
  <c r="F13" i="6" s="1"/>
  <c r="L13" i="6" s="1"/>
  <c r="N10" i="5"/>
  <c r="F12" i="6" s="1"/>
  <c r="L12" i="6" s="1"/>
  <c r="N9" i="5"/>
  <c r="F11" i="6" s="1"/>
  <c r="L11" i="6" s="1"/>
  <c r="N8" i="5"/>
  <c r="F10" i="6" s="1"/>
  <c r="L10" i="6" s="1"/>
  <c r="N7" i="5"/>
  <c r="F9" i="6" s="1"/>
  <c r="L9" i="6" s="1"/>
  <c r="N6" i="5"/>
  <c r="F8" i="6" s="1"/>
  <c r="L8" i="6" s="1"/>
  <c r="N5" i="5"/>
  <c r="B412" i="2"/>
  <c r="C412" i="2"/>
  <c r="D412" i="2"/>
  <c r="J412" i="2" s="1"/>
  <c r="E412" i="2"/>
  <c r="K412" i="2" s="1"/>
  <c r="B413" i="2"/>
  <c r="C413" i="2"/>
  <c r="D413" i="2"/>
  <c r="J413" i="2" s="1"/>
  <c r="E413" i="2"/>
  <c r="K413" i="2" s="1"/>
  <c r="B414" i="2"/>
  <c r="C414" i="2"/>
  <c r="D414" i="2"/>
  <c r="J414" i="2" s="1"/>
  <c r="E414" i="2"/>
  <c r="K414" i="2" s="1"/>
  <c r="B18" i="3"/>
  <c r="B17" i="3"/>
  <c r="B16" i="3"/>
  <c r="B15" i="3"/>
  <c r="J14" i="3"/>
  <c r="B14" i="3"/>
  <c r="J13" i="3"/>
  <c r="B13" i="3"/>
  <c r="J12" i="3"/>
  <c r="L28" i="3" s="1"/>
  <c r="B12" i="3"/>
  <c r="J11" i="3"/>
  <c r="L27" i="3" s="1"/>
  <c r="B11" i="3"/>
  <c r="B10" i="3"/>
  <c r="C9" i="3"/>
  <c r="K5" i="3" a="1"/>
  <c r="B404" i="2"/>
  <c r="C404" i="2"/>
  <c r="D404" i="2"/>
  <c r="J404" i="2" s="1"/>
  <c r="E404" i="2"/>
  <c r="K404" i="2" s="1"/>
  <c r="B405" i="2"/>
  <c r="C405" i="2"/>
  <c r="D405" i="2"/>
  <c r="J405" i="2" s="1"/>
  <c r="E405" i="2"/>
  <c r="K405" i="2" s="1"/>
  <c r="B406" i="2"/>
  <c r="C406" i="2"/>
  <c r="D406" i="2"/>
  <c r="J406" i="2" s="1"/>
  <c r="E406" i="2"/>
  <c r="K406" i="2" s="1"/>
  <c r="B407" i="2"/>
  <c r="C407" i="2"/>
  <c r="D407" i="2"/>
  <c r="J407" i="2" s="1"/>
  <c r="E407" i="2"/>
  <c r="K407" i="2" s="1"/>
  <c r="B408" i="2"/>
  <c r="C408" i="2"/>
  <c r="D408" i="2"/>
  <c r="J408" i="2" s="1"/>
  <c r="E408" i="2"/>
  <c r="K408" i="2" s="1"/>
  <c r="B409" i="2"/>
  <c r="C409" i="2"/>
  <c r="D409" i="2"/>
  <c r="J409" i="2" s="1"/>
  <c r="E409" i="2"/>
  <c r="K409" i="2" s="1"/>
  <c r="B410" i="2"/>
  <c r="C410" i="2"/>
  <c r="D410" i="2"/>
  <c r="J410" i="2" s="1"/>
  <c r="E410" i="2"/>
  <c r="K410" i="2" s="1"/>
  <c r="B411" i="2"/>
  <c r="C411" i="2"/>
  <c r="D411" i="2"/>
  <c r="J411" i="2" s="1"/>
  <c r="E411" i="2"/>
  <c r="K411" i="2" s="1"/>
  <c r="N410" i="1"/>
  <c r="F411" i="2" s="1"/>
  <c r="L411" i="2" s="1"/>
  <c r="M411" i="2" s="1"/>
  <c r="N409" i="1"/>
  <c r="F410" i="2" s="1"/>
  <c r="L410" i="2" s="1"/>
  <c r="M410" i="2" s="1"/>
  <c r="N408" i="1"/>
  <c r="F409" i="2" s="1"/>
  <c r="L409" i="2" s="1"/>
  <c r="M409" i="2" s="1"/>
  <c r="N407" i="1"/>
  <c r="F408" i="2" s="1"/>
  <c r="L408" i="2" s="1"/>
  <c r="M408" i="2" s="1"/>
  <c r="N406" i="1"/>
  <c r="F407" i="2" s="1"/>
  <c r="L407" i="2" s="1"/>
  <c r="M407" i="2" s="1"/>
  <c r="N405" i="1"/>
  <c r="F406" i="2" s="1"/>
  <c r="L406" i="2" s="1"/>
  <c r="M406" i="2" s="1"/>
  <c r="N404" i="1"/>
  <c r="F405" i="2" s="1"/>
  <c r="L405" i="2" s="1"/>
  <c r="M405" i="2" s="1"/>
  <c r="N403" i="1"/>
  <c r="B403" i="2"/>
  <c r="C403" i="2"/>
  <c r="D403" i="2"/>
  <c r="J403" i="2" s="1"/>
  <c r="E403" i="2"/>
  <c r="K403" i="2" s="1"/>
  <c r="B402" i="2"/>
  <c r="C402" i="2"/>
  <c r="D402" i="2"/>
  <c r="J402" i="2" s="1"/>
  <c r="E402" i="2"/>
  <c r="K402" i="2" s="1"/>
  <c r="B401" i="2"/>
  <c r="C401" i="2"/>
  <c r="D401" i="2"/>
  <c r="J401" i="2" s="1"/>
  <c r="E401" i="2"/>
  <c r="K401" i="2" s="1"/>
  <c r="B400" i="2"/>
  <c r="C400" i="2"/>
  <c r="D400" i="2"/>
  <c r="J400" i="2" s="1"/>
  <c r="E400" i="2"/>
  <c r="K400" i="2" s="1"/>
  <c r="B399" i="2"/>
  <c r="C399" i="2"/>
  <c r="D399" i="2"/>
  <c r="J399" i="2" s="1"/>
  <c r="E399" i="2"/>
  <c r="K399" i="2" s="1"/>
  <c r="B398" i="2"/>
  <c r="C398" i="2"/>
  <c r="D398" i="2"/>
  <c r="J398" i="2" s="1"/>
  <c r="E398" i="2"/>
  <c r="K398" i="2" s="1"/>
  <c r="B397" i="2"/>
  <c r="C397" i="2"/>
  <c r="D397" i="2"/>
  <c r="J397" i="2" s="1"/>
  <c r="E397" i="2"/>
  <c r="K397" i="2" s="1"/>
  <c r="B396" i="2"/>
  <c r="C396" i="2"/>
  <c r="D396" i="2"/>
  <c r="J396" i="2" s="1"/>
  <c r="E396" i="2"/>
  <c r="K396" i="2" s="1"/>
  <c r="B395" i="2"/>
  <c r="C395" i="2"/>
  <c r="D395" i="2"/>
  <c r="J395" i="2" s="1"/>
  <c r="E395" i="2"/>
  <c r="K395" i="2" s="1"/>
  <c r="B394" i="2"/>
  <c r="C394" i="2"/>
  <c r="D394" i="2"/>
  <c r="J394" i="2" s="1"/>
  <c r="E394" i="2"/>
  <c r="K394" i="2" s="1"/>
  <c r="B393" i="2"/>
  <c r="C393" i="2"/>
  <c r="D393" i="2"/>
  <c r="J393" i="2" s="1"/>
  <c r="E393" i="2"/>
  <c r="K393" i="2" s="1"/>
  <c r="B392" i="2"/>
  <c r="C392" i="2"/>
  <c r="D392" i="2"/>
  <c r="J392" i="2" s="1"/>
  <c r="E392" i="2"/>
  <c r="K392" i="2" s="1"/>
  <c r="B391" i="2"/>
  <c r="C391" i="2"/>
  <c r="D391" i="2"/>
  <c r="J391" i="2" s="1"/>
  <c r="E391" i="2"/>
  <c r="K391" i="2" s="1"/>
  <c r="B390" i="2"/>
  <c r="C390" i="2"/>
  <c r="D390" i="2"/>
  <c r="J390" i="2" s="1"/>
  <c r="E390" i="2"/>
  <c r="K390" i="2" s="1"/>
  <c r="B389" i="2"/>
  <c r="C389" i="2"/>
  <c r="D389" i="2"/>
  <c r="J389" i="2" s="1"/>
  <c r="E389" i="2"/>
  <c r="K389" i="2" s="1"/>
  <c r="B388" i="2"/>
  <c r="C388" i="2"/>
  <c r="D388" i="2"/>
  <c r="J388" i="2" s="1"/>
  <c r="E388" i="2"/>
  <c r="K388" i="2" s="1"/>
  <c r="B387" i="2"/>
  <c r="C387" i="2"/>
  <c r="D387" i="2"/>
  <c r="J387" i="2" s="1"/>
  <c r="E387" i="2"/>
  <c r="K387" i="2" s="1"/>
  <c r="B386" i="2"/>
  <c r="C386" i="2"/>
  <c r="D386" i="2"/>
  <c r="J386" i="2" s="1"/>
  <c r="E386" i="2"/>
  <c r="K386" i="2" s="1"/>
  <c r="B385" i="2"/>
  <c r="C385" i="2"/>
  <c r="D385" i="2"/>
  <c r="J385" i="2" s="1"/>
  <c r="E385" i="2"/>
  <c r="K385" i="2" s="1"/>
  <c r="B384" i="2"/>
  <c r="C384" i="2"/>
  <c r="D384" i="2"/>
  <c r="J384" i="2" s="1"/>
  <c r="E384" i="2"/>
  <c r="K384" i="2" s="1"/>
  <c r="B383" i="2"/>
  <c r="C383" i="2"/>
  <c r="D383" i="2"/>
  <c r="J383" i="2" s="1"/>
  <c r="E383" i="2"/>
  <c r="K383" i="2" s="1"/>
  <c r="B382" i="2"/>
  <c r="C382" i="2"/>
  <c r="D382" i="2"/>
  <c r="J382" i="2" s="1"/>
  <c r="E382" i="2"/>
  <c r="K382" i="2" s="1"/>
  <c r="B381" i="2"/>
  <c r="C381" i="2"/>
  <c r="D381" i="2"/>
  <c r="J381" i="2" s="1"/>
  <c r="E381" i="2"/>
  <c r="K381" i="2" s="1"/>
  <c r="B380" i="2"/>
  <c r="C380" i="2"/>
  <c r="D380" i="2"/>
  <c r="J380" i="2" s="1"/>
  <c r="E380" i="2"/>
  <c r="K380" i="2" s="1"/>
  <c r="B379" i="2"/>
  <c r="C379" i="2"/>
  <c r="D379" i="2"/>
  <c r="J379" i="2" s="1"/>
  <c r="E379" i="2"/>
  <c r="K379" i="2" s="1"/>
  <c r="B378" i="2"/>
  <c r="C378" i="2"/>
  <c r="D378" i="2"/>
  <c r="J378" i="2" s="1"/>
  <c r="E378" i="2"/>
  <c r="K378" i="2" s="1"/>
  <c r="B377" i="2"/>
  <c r="C377" i="2"/>
  <c r="D377" i="2"/>
  <c r="J377" i="2" s="1"/>
  <c r="E377" i="2"/>
  <c r="K377" i="2" s="1"/>
  <c r="B376" i="2"/>
  <c r="C376" i="2"/>
  <c r="D376" i="2"/>
  <c r="J376" i="2" s="1"/>
  <c r="E376" i="2"/>
  <c r="K376" i="2" s="1"/>
  <c r="B375" i="2"/>
  <c r="C375" i="2"/>
  <c r="D375" i="2"/>
  <c r="J375" i="2" s="1"/>
  <c r="E375" i="2"/>
  <c r="K375" i="2" s="1"/>
  <c r="B374" i="2"/>
  <c r="C374" i="2"/>
  <c r="D374" i="2"/>
  <c r="J374" i="2" s="1"/>
  <c r="E374" i="2"/>
  <c r="K374" i="2" s="1"/>
  <c r="B373" i="2"/>
  <c r="C373" i="2"/>
  <c r="D373" i="2"/>
  <c r="J373" i="2" s="1"/>
  <c r="E373" i="2"/>
  <c r="K373" i="2" s="1"/>
  <c r="B372" i="2"/>
  <c r="C372" i="2"/>
  <c r="D372" i="2"/>
  <c r="J372" i="2" s="1"/>
  <c r="E372" i="2"/>
  <c r="K372" i="2" s="1"/>
  <c r="B371" i="2"/>
  <c r="C371" i="2"/>
  <c r="D371" i="2"/>
  <c r="J371" i="2" s="1"/>
  <c r="E371" i="2"/>
  <c r="K371" i="2" s="1"/>
  <c r="B370" i="2"/>
  <c r="C370" i="2"/>
  <c r="D370" i="2"/>
  <c r="J370" i="2" s="1"/>
  <c r="E370" i="2"/>
  <c r="K370" i="2" s="1"/>
  <c r="B369" i="2"/>
  <c r="C369" i="2"/>
  <c r="D369" i="2"/>
  <c r="J369" i="2" s="1"/>
  <c r="E369" i="2"/>
  <c r="K369" i="2" s="1"/>
  <c r="B368" i="2"/>
  <c r="C368" i="2"/>
  <c r="D368" i="2"/>
  <c r="J368" i="2" s="1"/>
  <c r="E368" i="2"/>
  <c r="K368" i="2" s="1"/>
  <c r="B367" i="2"/>
  <c r="C367" i="2"/>
  <c r="D367" i="2"/>
  <c r="J367" i="2" s="1"/>
  <c r="E367" i="2"/>
  <c r="K367" i="2" s="1"/>
  <c r="B366" i="2"/>
  <c r="C366" i="2"/>
  <c r="D366" i="2"/>
  <c r="J366" i="2" s="1"/>
  <c r="E366" i="2"/>
  <c r="K366" i="2" s="1"/>
  <c r="B365" i="2"/>
  <c r="C365" i="2"/>
  <c r="D365" i="2"/>
  <c r="J365" i="2" s="1"/>
  <c r="E365" i="2"/>
  <c r="K365" i="2" s="1"/>
  <c r="B364" i="2"/>
  <c r="C364" i="2"/>
  <c r="D364" i="2"/>
  <c r="J364" i="2" s="1"/>
  <c r="E364" i="2"/>
  <c r="K364" i="2" s="1"/>
  <c r="B363" i="2"/>
  <c r="C363" i="2"/>
  <c r="D363" i="2"/>
  <c r="J363" i="2" s="1"/>
  <c r="E363" i="2"/>
  <c r="K363" i="2" s="1"/>
  <c r="B362" i="2"/>
  <c r="C362" i="2"/>
  <c r="D362" i="2"/>
  <c r="J362" i="2" s="1"/>
  <c r="E362" i="2"/>
  <c r="K362" i="2" s="1"/>
  <c r="B361" i="2"/>
  <c r="C361" i="2"/>
  <c r="D361" i="2"/>
  <c r="J361" i="2" s="1"/>
  <c r="E361" i="2"/>
  <c r="K361" i="2" s="1"/>
  <c r="B360" i="2"/>
  <c r="C360" i="2"/>
  <c r="D360" i="2"/>
  <c r="J360" i="2" s="1"/>
  <c r="E360" i="2"/>
  <c r="K360" i="2" s="1"/>
  <c r="B359" i="2"/>
  <c r="C359" i="2"/>
  <c r="D359" i="2"/>
  <c r="J359" i="2" s="1"/>
  <c r="E359" i="2"/>
  <c r="K359" i="2" s="1"/>
  <c r="B358" i="2"/>
  <c r="C358" i="2"/>
  <c r="D358" i="2"/>
  <c r="J358" i="2" s="1"/>
  <c r="E358" i="2"/>
  <c r="K358" i="2" s="1"/>
  <c r="B357" i="2"/>
  <c r="C357" i="2"/>
  <c r="D357" i="2"/>
  <c r="J357" i="2" s="1"/>
  <c r="E357" i="2"/>
  <c r="K357" i="2" s="1"/>
  <c r="B356" i="2"/>
  <c r="C356" i="2"/>
  <c r="D356" i="2"/>
  <c r="J356" i="2" s="1"/>
  <c r="E356" i="2"/>
  <c r="K356" i="2" s="1"/>
  <c r="B355" i="2"/>
  <c r="C355" i="2"/>
  <c r="D355" i="2"/>
  <c r="J355" i="2" s="1"/>
  <c r="E355" i="2"/>
  <c r="K355" i="2" s="1"/>
  <c r="B354" i="2"/>
  <c r="C354" i="2"/>
  <c r="D354" i="2"/>
  <c r="J354" i="2" s="1"/>
  <c r="E354" i="2"/>
  <c r="K354" i="2" s="1"/>
  <c r="B353" i="2"/>
  <c r="C353" i="2"/>
  <c r="D353" i="2"/>
  <c r="J353" i="2" s="1"/>
  <c r="E353" i="2"/>
  <c r="K353" i="2" s="1"/>
  <c r="B352" i="2"/>
  <c r="C352" i="2"/>
  <c r="D352" i="2"/>
  <c r="J352" i="2" s="1"/>
  <c r="E352" i="2"/>
  <c r="K352" i="2" s="1"/>
  <c r="B351" i="2"/>
  <c r="C351" i="2"/>
  <c r="D351" i="2"/>
  <c r="J351" i="2" s="1"/>
  <c r="E351" i="2"/>
  <c r="K351" i="2" s="1"/>
  <c r="B350" i="2"/>
  <c r="C350" i="2"/>
  <c r="D350" i="2"/>
  <c r="J350" i="2" s="1"/>
  <c r="E350" i="2"/>
  <c r="K350" i="2" s="1"/>
  <c r="B349" i="2"/>
  <c r="C349" i="2"/>
  <c r="D349" i="2"/>
  <c r="J349" i="2" s="1"/>
  <c r="E349" i="2"/>
  <c r="K349" i="2" s="1"/>
  <c r="B348" i="2"/>
  <c r="C348" i="2"/>
  <c r="D348" i="2"/>
  <c r="J348" i="2" s="1"/>
  <c r="E348" i="2"/>
  <c r="K348" i="2" s="1"/>
  <c r="B347" i="2"/>
  <c r="C347" i="2"/>
  <c r="D347" i="2"/>
  <c r="J347" i="2" s="1"/>
  <c r="E347" i="2"/>
  <c r="K347" i="2" s="1"/>
  <c r="B346" i="2"/>
  <c r="C346" i="2"/>
  <c r="D346" i="2"/>
  <c r="J346" i="2" s="1"/>
  <c r="E346" i="2"/>
  <c r="K346" i="2" s="1"/>
  <c r="B345" i="2"/>
  <c r="C345" i="2"/>
  <c r="D345" i="2"/>
  <c r="J345" i="2" s="1"/>
  <c r="E345" i="2"/>
  <c r="K345" i="2" s="1"/>
  <c r="B344" i="2"/>
  <c r="C344" i="2"/>
  <c r="D344" i="2"/>
  <c r="J344" i="2" s="1"/>
  <c r="E344" i="2"/>
  <c r="K344" i="2" s="1"/>
  <c r="B343" i="2"/>
  <c r="C343" i="2"/>
  <c r="D343" i="2"/>
  <c r="J343" i="2" s="1"/>
  <c r="E343" i="2"/>
  <c r="K343" i="2" s="1"/>
  <c r="B342" i="2"/>
  <c r="C342" i="2"/>
  <c r="D342" i="2"/>
  <c r="J342" i="2" s="1"/>
  <c r="E342" i="2"/>
  <c r="K342" i="2" s="1"/>
  <c r="B341" i="2"/>
  <c r="C341" i="2"/>
  <c r="D341" i="2"/>
  <c r="J341" i="2" s="1"/>
  <c r="E341" i="2"/>
  <c r="K341" i="2" s="1"/>
  <c r="B340" i="2"/>
  <c r="C340" i="2"/>
  <c r="D340" i="2"/>
  <c r="J340" i="2" s="1"/>
  <c r="E340" i="2"/>
  <c r="K340" i="2" s="1"/>
  <c r="B339" i="2"/>
  <c r="C339" i="2"/>
  <c r="D339" i="2"/>
  <c r="J339" i="2" s="1"/>
  <c r="E339" i="2"/>
  <c r="K339" i="2" s="1"/>
  <c r="B338" i="2"/>
  <c r="C338" i="2"/>
  <c r="D338" i="2"/>
  <c r="J338" i="2" s="1"/>
  <c r="E338" i="2"/>
  <c r="K338" i="2" s="1"/>
  <c r="B337" i="2"/>
  <c r="C337" i="2"/>
  <c r="D337" i="2"/>
  <c r="J337" i="2" s="1"/>
  <c r="E337" i="2"/>
  <c r="K337" i="2" s="1"/>
  <c r="B336" i="2"/>
  <c r="C336" i="2"/>
  <c r="D336" i="2"/>
  <c r="J336" i="2" s="1"/>
  <c r="E336" i="2"/>
  <c r="K336" i="2" s="1"/>
  <c r="B335" i="2"/>
  <c r="C335" i="2"/>
  <c r="D335" i="2"/>
  <c r="J335" i="2" s="1"/>
  <c r="E335" i="2"/>
  <c r="K335" i="2" s="1"/>
  <c r="B334" i="2"/>
  <c r="C334" i="2"/>
  <c r="D334" i="2"/>
  <c r="J334" i="2" s="1"/>
  <c r="E334" i="2"/>
  <c r="K334" i="2" s="1"/>
  <c r="B333" i="2"/>
  <c r="C333" i="2"/>
  <c r="D333" i="2"/>
  <c r="J333" i="2" s="1"/>
  <c r="E333" i="2"/>
  <c r="K333" i="2" s="1"/>
  <c r="B332" i="2"/>
  <c r="C332" i="2"/>
  <c r="D332" i="2"/>
  <c r="J332" i="2" s="1"/>
  <c r="E332" i="2"/>
  <c r="K332" i="2" s="1"/>
  <c r="B331" i="2"/>
  <c r="C331" i="2"/>
  <c r="D331" i="2"/>
  <c r="J331" i="2" s="1"/>
  <c r="E331" i="2"/>
  <c r="K331" i="2" s="1"/>
  <c r="B330" i="2"/>
  <c r="C330" i="2"/>
  <c r="D330" i="2"/>
  <c r="J330" i="2" s="1"/>
  <c r="E330" i="2"/>
  <c r="K330" i="2" s="1"/>
  <c r="B329" i="2"/>
  <c r="C329" i="2"/>
  <c r="D329" i="2"/>
  <c r="J329" i="2" s="1"/>
  <c r="E329" i="2"/>
  <c r="K329" i="2" s="1"/>
  <c r="B328" i="2"/>
  <c r="C328" i="2"/>
  <c r="D328" i="2"/>
  <c r="J328" i="2" s="1"/>
  <c r="E328" i="2"/>
  <c r="K328" i="2" s="1"/>
  <c r="B327" i="2"/>
  <c r="C327" i="2"/>
  <c r="D327" i="2"/>
  <c r="J327" i="2" s="1"/>
  <c r="E327" i="2"/>
  <c r="K327" i="2" s="1"/>
  <c r="B326" i="2"/>
  <c r="C326" i="2"/>
  <c r="D326" i="2"/>
  <c r="J326" i="2" s="1"/>
  <c r="E326" i="2"/>
  <c r="K326" i="2" s="1"/>
  <c r="B325" i="2"/>
  <c r="C325" i="2"/>
  <c r="D325" i="2"/>
  <c r="J325" i="2" s="1"/>
  <c r="E325" i="2"/>
  <c r="K325" i="2" s="1"/>
  <c r="B324" i="2"/>
  <c r="C324" i="2"/>
  <c r="D324" i="2"/>
  <c r="J324" i="2" s="1"/>
  <c r="E324" i="2"/>
  <c r="K324" i="2" s="1"/>
  <c r="B323" i="2"/>
  <c r="C323" i="2"/>
  <c r="D323" i="2"/>
  <c r="J323" i="2" s="1"/>
  <c r="E323" i="2"/>
  <c r="K323" i="2" s="1"/>
  <c r="B322" i="2"/>
  <c r="C322" i="2"/>
  <c r="D322" i="2"/>
  <c r="J322" i="2" s="1"/>
  <c r="E322" i="2"/>
  <c r="K322" i="2" s="1"/>
  <c r="B321" i="2"/>
  <c r="C321" i="2"/>
  <c r="D321" i="2"/>
  <c r="J321" i="2" s="1"/>
  <c r="E321" i="2"/>
  <c r="K321" i="2" s="1"/>
  <c r="B320" i="2"/>
  <c r="C320" i="2"/>
  <c r="D320" i="2"/>
  <c r="J320" i="2" s="1"/>
  <c r="E320" i="2"/>
  <c r="K320" i="2" s="1"/>
  <c r="B319" i="2"/>
  <c r="C319" i="2"/>
  <c r="D319" i="2"/>
  <c r="J319" i="2" s="1"/>
  <c r="E319" i="2"/>
  <c r="K319" i="2" s="1"/>
  <c r="B318" i="2"/>
  <c r="C318" i="2"/>
  <c r="D318" i="2"/>
  <c r="J318" i="2" s="1"/>
  <c r="E318" i="2"/>
  <c r="K318" i="2" s="1"/>
  <c r="B317" i="2"/>
  <c r="C317" i="2"/>
  <c r="D317" i="2"/>
  <c r="J317" i="2" s="1"/>
  <c r="E317" i="2"/>
  <c r="K317" i="2" s="1"/>
  <c r="B316" i="2"/>
  <c r="C316" i="2"/>
  <c r="D316" i="2"/>
  <c r="J316" i="2" s="1"/>
  <c r="E316" i="2"/>
  <c r="K316" i="2" s="1"/>
  <c r="B315" i="2"/>
  <c r="C315" i="2"/>
  <c r="D315" i="2"/>
  <c r="J315" i="2" s="1"/>
  <c r="E315" i="2"/>
  <c r="K315" i="2" s="1"/>
  <c r="B314" i="2"/>
  <c r="C314" i="2"/>
  <c r="D314" i="2"/>
  <c r="J314" i="2" s="1"/>
  <c r="E314" i="2"/>
  <c r="K314" i="2" s="1"/>
  <c r="B313" i="2"/>
  <c r="C313" i="2"/>
  <c r="D313" i="2"/>
  <c r="J313" i="2" s="1"/>
  <c r="E313" i="2"/>
  <c r="K313" i="2" s="1"/>
  <c r="B312" i="2"/>
  <c r="C312" i="2"/>
  <c r="D312" i="2"/>
  <c r="J312" i="2" s="1"/>
  <c r="E312" i="2"/>
  <c r="K312" i="2" s="1"/>
  <c r="B311" i="2"/>
  <c r="C311" i="2"/>
  <c r="D311" i="2"/>
  <c r="J311" i="2" s="1"/>
  <c r="E311" i="2"/>
  <c r="K311" i="2" s="1"/>
  <c r="B310" i="2"/>
  <c r="C310" i="2"/>
  <c r="D310" i="2"/>
  <c r="J310" i="2" s="1"/>
  <c r="E310" i="2"/>
  <c r="K310" i="2" s="1"/>
  <c r="B309" i="2"/>
  <c r="C309" i="2"/>
  <c r="D309" i="2"/>
  <c r="J309" i="2" s="1"/>
  <c r="E309" i="2"/>
  <c r="K309" i="2" s="1"/>
  <c r="B308" i="2"/>
  <c r="C308" i="2"/>
  <c r="D308" i="2"/>
  <c r="J308" i="2" s="1"/>
  <c r="E308" i="2"/>
  <c r="K308" i="2" s="1"/>
  <c r="B307" i="2"/>
  <c r="C307" i="2"/>
  <c r="D307" i="2"/>
  <c r="J307" i="2" s="1"/>
  <c r="E307" i="2"/>
  <c r="K307" i="2" s="1"/>
  <c r="B306" i="2"/>
  <c r="C306" i="2"/>
  <c r="D306" i="2"/>
  <c r="J306" i="2" s="1"/>
  <c r="E306" i="2"/>
  <c r="K306" i="2" s="1"/>
  <c r="B305" i="2"/>
  <c r="C305" i="2"/>
  <c r="D305" i="2"/>
  <c r="J305" i="2" s="1"/>
  <c r="E305" i="2"/>
  <c r="K305" i="2" s="1"/>
  <c r="B304" i="2"/>
  <c r="C304" i="2"/>
  <c r="D304" i="2"/>
  <c r="J304" i="2" s="1"/>
  <c r="E304" i="2"/>
  <c r="K304" i="2" s="1"/>
  <c r="B303" i="2"/>
  <c r="C303" i="2"/>
  <c r="D303" i="2"/>
  <c r="J303" i="2" s="1"/>
  <c r="E303" i="2"/>
  <c r="K303" i="2" s="1"/>
  <c r="B302" i="2"/>
  <c r="C302" i="2"/>
  <c r="D302" i="2"/>
  <c r="J302" i="2" s="1"/>
  <c r="E302" i="2"/>
  <c r="K302" i="2" s="1"/>
  <c r="B301" i="2"/>
  <c r="C301" i="2"/>
  <c r="D301" i="2"/>
  <c r="J301" i="2" s="1"/>
  <c r="E301" i="2"/>
  <c r="K301" i="2" s="1"/>
  <c r="B300" i="2"/>
  <c r="C300" i="2"/>
  <c r="D300" i="2"/>
  <c r="J300" i="2" s="1"/>
  <c r="E300" i="2"/>
  <c r="K300" i="2" s="1"/>
  <c r="B299" i="2"/>
  <c r="C299" i="2"/>
  <c r="D299" i="2"/>
  <c r="J299" i="2" s="1"/>
  <c r="E299" i="2"/>
  <c r="K299" i="2" s="1"/>
  <c r="B298" i="2"/>
  <c r="C298" i="2"/>
  <c r="D298" i="2"/>
  <c r="J298" i="2" s="1"/>
  <c r="E298" i="2"/>
  <c r="K298" i="2" s="1"/>
  <c r="B297" i="2"/>
  <c r="C297" i="2"/>
  <c r="D297" i="2"/>
  <c r="J297" i="2" s="1"/>
  <c r="E297" i="2"/>
  <c r="K297" i="2" s="1"/>
  <c r="B296" i="2"/>
  <c r="C296" i="2"/>
  <c r="D296" i="2"/>
  <c r="J296" i="2" s="1"/>
  <c r="E296" i="2"/>
  <c r="K296" i="2" s="1"/>
  <c r="B295" i="2"/>
  <c r="C295" i="2"/>
  <c r="D295" i="2"/>
  <c r="J295" i="2" s="1"/>
  <c r="E295" i="2"/>
  <c r="K295" i="2" s="1"/>
  <c r="B294" i="2"/>
  <c r="C294" i="2"/>
  <c r="D294" i="2"/>
  <c r="J294" i="2" s="1"/>
  <c r="E294" i="2"/>
  <c r="K294" i="2" s="1"/>
  <c r="B293" i="2"/>
  <c r="C293" i="2"/>
  <c r="D293" i="2"/>
  <c r="J293" i="2" s="1"/>
  <c r="E293" i="2"/>
  <c r="K293" i="2" s="1"/>
  <c r="B292" i="2"/>
  <c r="C292" i="2"/>
  <c r="D292" i="2"/>
  <c r="J292" i="2" s="1"/>
  <c r="E292" i="2"/>
  <c r="K292" i="2" s="1"/>
  <c r="B291" i="2"/>
  <c r="C291" i="2"/>
  <c r="D291" i="2"/>
  <c r="J291" i="2" s="1"/>
  <c r="E291" i="2"/>
  <c r="K291" i="2" s="1"/>
  <c r="B290" i="2"/>
  <c r="C290" i="2"/>
  <c r="D290" i="2"/>
  <c r="J290" i="2" s="1"/>
  <c r="E290" i="2"/>
  <c r="K290" i="2" s="1"/>
  <c r="B289" i="2"/>
  <c r="C289" i="2"/>
  <c r="D289" i="2"/>
  <c r="J289" i="2" s="1"/>
  <c r="E289" i="2"/>
  <c r="K289" i="2" s="1"/>
  <c r="B288" i="2"/>
  <c r="C288" i="2"/>
  <c r="D288" i="2"/>
  <c r="J288" i="2" s="1"/>
  <c r="E288" i="2"/>
  <c r="K288" i="2" s="1"/>
  <c r="B287" i="2"/>
  <c r="C287" i="2"/>
  <c r="D287" i="2"/>
  <c r="J287" i="2" s="1"/>
  <c r="E287" i="2"/>
  <c r="K287" i="2" s="1"/>
  <c r="B286" i="2"/>
  <c r="C286" i="2"/>
  <c r="D286" i="2"/>
  <c r="J286" i="2" s="1"/>
  <c r="E286" i="2"/>
  <c r="K286" i="2" s="1"/>
  <c r="B285" i="2"/>
  <c r="C285" i="2"/>
  <c r="D285" i="2"/>
  <c r="J285" i="2" s="1"/>
  <c r="E285" i="2"/>
  <c r="K285" i="2" s="1"/>
  <c r="B284" i="2"/>
  <c r="C284" i="2"/>
  <c r="D284" i="2"/>
  <c r="J284" i="2" s="1"/>
  <c r="E284" i="2"/>
  <c r="K284" i="2" s="1"/>
  <c r="B283" i="2"/>
  <c r="C283" i="2"/>
  <c r="D283" i="2"/>
  <c r="J283" i="2" s="1"/>
  <c r="E283" i="2"/>
  <c r="K283" i="2" s="1"/>
  <c r="B282" i="2"/>
  <c r="C282" i="2"/>
  <c r="D282" i="2"/>
  <c r="J282" i="2" s="1"/>
  <c r="E282" i="2"/>
  <c r="K282" i="2" s="1"/>
  <c r="B281" i="2"/>
  <c r="C281" i="2"/>
  <c r="D281" i="2"/>
  <c r="J281" i="2" s="1"/>
  <c r="E281" i="2"/>
  <c r="K281" i="2" s="1"/>
  <c r="B280" i="2"/>
  <c r="C280" i="2"/>
  <c r="D280" i="2"/>
  <c r="J280" i="2" s="1"/>
  <c r="E280" i="2"/>
  <c r="K280" i="2" s="1"/>
  <c r="B279" i="2"/>
  <c r="C279" i="2"/>
  <c r="D279" i="2"/>
  <c r="J279" i="2" s="1"/>
  <c r="E279" i="2"/>
  <c r="K279" i="2" s="1"/>
  <c r="B278" i="2"/>
  <c r="C278" i="2"/>
  <c r="D278" i="2"/>
  <c r="J278" i="2" s="1"/>
  <c r="E278" i="2"/>
  <c r="K278" i="2" s="1"/>
  <c r="B277" i="2"/>
  <c r="C277" i="2"/>
  <c r="D277" i="2"/>
  <c r="J277" i="2" s="1"/>
  <c r="E277" i="2"/>
  <c r="K277" i="2" s="1"/>
  <c r="B276" i="2"/>
  <c r="C276" i="2"/>
  <c r="D276" i="2"/>
  <c r="J276" i="2" s="1"/>
  <c r="E276" i="2"/>
  <c r="K276" i="2" s="1"/>
  <c r="B275" i="2"/>
  <c r="C275" i="2"/>
  <c r="D275" i="2"/>
  <c r="J275" i="2" s="1"/>
  <c r="E275" i="2"/>
  <c r="K275" i="2" s="1"/>
  <c r="B274" i="2"/>
  <c r="C274" i="2"/>
  <c r="D274" i="2"/>
  <c r="J274" i="2" s="1"/>
  <c r="E274" i="2"/>
  <c r="K274" i="2" s="1"/>
  <c r="B273" i="2"/>
  <c r="C273" i="2"/>
  <c r="D273" i="2"/>
  <c r="J273" i="2" s="1"/>
  <c r="E273" i="2"/>
  <c r="K273" i="2" s="1"/>
  <c r="B272" i="2"/>
  <c r="C272" i="2"/>
  <c r="D272" i="2"/>
  <c r="J272" i="2" s="1"/>
  <c r="E272" i="2"/>
  <c r="K272" i="2" s="1"/>
  <c r="B271" i="2"/>
  <c r="C271" i="2"/>
  <c r="D271" i="2"/>
  <c r="J271" i="2" s="1"/>
  <c r="E271" i="2"/>
  <c r="K271" i="2" s="1"/>
  <c r="B270" i="2"/>
  <c r="C270" i="2"/>
  <c r="D270" i="2"/>
  <c r="J270" i="2" s="1"/>
  <c r="E270" i="2"/>
  <c r="K270" i="2" s="1"/>
  <c r="B269" i="2"/>
  <c r="C269" i="2"/>
  <c r="D269" i="2"/>
  <c r="J269" i="2" s="1"/>
  <c r="E269" i="2"/>
  <c r="K269" i="2" s="1"/>
  <c r="B268" i="2"/>
  <c r="C268" i="2"/>
  <c r="D268" i="2"/>
  <c r="J268" i="2" s="1"/>
  <c r="E268" i="2"/>
  <c r="K268" i="2" s="1"/>
  <c r="B267" i="2"/>
  <c r="C267" i="2"/>
  <c r="D267" i="2"/>
  <c r="J267" i="2" s="1"/>
  <c r="E267" i="2"/>
  <c r="K267" i="2" s="1"/>
  <c r="B266" i="2"/>
  <c r="C266" i="2"/>
  <c r="D266" i="2"/>
  <c r="J266" i="2" s="1"/>
  <c r="E266" i="2"/>
  <c r="K266" i="2" s="1"/>
  <c r="B265" i="2"/>
  <c r="C265" i="2"/>
  <c r="D265" i="2"/>
  <c r="J265" i="2" s="1"/>
  <c r="E265" i="2"/>
  <c r="K265" i="2" s="1"/>
  <c r="B264" i="2"/>
  <c r="C264" i="2"/>
  <c r="D264" i="2"/>
  <c r="J264" i="2" s="1"/>
  <c r="E264" i="2"/>
  <c r="K264" i="2" s="1"/>
  <c r="B263" i="2"/>
  <c r="C263" i="2"/>
  <c r="D263" i="2"/>
  <c r="J263" i="2" s="1"/>
  <c r="E263" i="2"/>
  <c r="K263" i="2" s="1"/>
  <c r="B262" i="2"/>
  <c r="C262" i="2"/>
  <c r="D262" i="2"/>
  <c r="J262" i="2" s="1"/>
  <c r="E262" i="2"/>
  <c r="K262" i="2" s="1"/>
  <c r="B261" i="2"/>
  <c r="C261" i="2"/>
  <c r="D261" i="2"/>
  <c r="J261" i="2" s="1"/>
  <c r="E261" i="2"/>
  <c r="K261" i="2" s="1"/>
  <c r="B260" i="2"/>
  <c r="C260" i="2"/>
  <c r="D260" i="2"/>
  <c r="J260" i="2" s="1"/>
  <c r="E260" i="2"/>
  <c r="K260" i="2" s="1"/>
  <c r="B259" i="2"/>
  <c r="C259" i="2"/>
  <c r="D259" i="2"/>
  <c r="J259" i="2" s="1"/>
  <c r="E259" i="2"/>
  <c r="K259" i="2" s="1"/>
  <c r="B258" i="2"/>
  <c r="C258" i="2"/>
  <c r="D258" i="2"/>
  <c r="J258" i="2" s="1"/>
  <c r="E258" i="2"/>
  <c r="K258" i="2" s="1"/>
  <c r="B257" i="2"/>
  <c r="C257" i="2"/>
  <c r="D257" i="2"/>
  <c r="J257" i="2" s="1"/>
  <c r="E257" i="2"/>
  <c r="K257" i="2" s="1"/>
  <c r="B256" i="2"/>
  <c r="C256" i="2"/>
  <c r="D256" i="2"/>
  <c r="J256" i="2" s="1"/>
  <c r="E256" i="2"/>
  <c r="K256" i="2" s="1"/>
  <c r="B255" i="2"/>
  <c r="C255" i="2"/>
  <c r="D255" i="2"/>
  <c r="J255" i="2" s="1"/>
  <c r="E255" i="2"/>
  <c r="K255" i="2" s="1"/>
  <c r="B254" i="2"/>
  <c r="C254" i="2"/>
  <c r="D254" i="2"/>
  <c r="J254" i="2" s="1"/>
  <c r="E254" i="2"/>
  <c r="K254" i="2" s="1"/>
  <c r="B253" i="2"/>
  <c r="C253" i="2"/>
  <c r="D253" i="2"/>
  <c r="J253" i="2" s="1"/>
  <c r="E253" i="2"/>
  <c r="K253" i="2" s="1"/>
  <c r="B252" i="2"/>
  <c r="C252" i="2"/>
  <c r="D252" i="2"/>
  <c r="J252" i="2" s="1"/>
  <c r="E252" i="2"/>
  <c r="K252" i="2" s="1"/>
  <c r="B251" i="2"/>
  <c r="C251" i="2"/>
  <c r="D251" i="2"/>
  <c r="J251" i="2" s="1"/>
  <c r="E251" i="2"/>
  <c r="K251" i="2" s="1"/>
  <c r="B250" i="2"/>
  <c r="C250" i="2"/>
  <c r="D250" i="2"/>
  <c r="J250" i="2" s="1"/>
  <c r="E250" i="2"/>
  <c r="K250" i="2" s="1"/>
  <c r="B249" i="2"/>
  <c r="C249" i="2"/>
  <c r="D249" i="2"/>
  <c r="J249" i="2" s="1"/>
  <c r="E249" i="2"/>
  <c r="K249" i="2" s="1"/>
  <c r="B248" i="2"/>
  <c r="C248" i="2"/>
  <c r="D248" i="2"/>
  <c r="J248" i="2" s="1"/>
  <c r="E248" i="2"/>
  <c r="K248" i="2" s="1"/>
  <c r="B247" i="2"/>
  <c r="C247" i="2"/>
  <c r="D247" i="2"/>
  <c r="J247" i="2" s="1"/>
  <c r="E247" i="2"/>
  <c r="K247" i="2" s="1"/>
  <c r="B246" i="2"/>
  <c r="C246" i="2"/>
  <c r="D246" i="2"/>
  <c r="J246" i="2" s="1"/>
  <c r="E246" i="2"/>
  <c r="K246" i="2" s="1"/>
  <c r="B245" i="2"/>
  <c r="C245" i="2"/>
  <c r="D245" i="2"/>
  <c r="J245" i="2" s="1"/>
  <c r="E245" i="2"/>
  <c r="K245" i="2" s="1"/>
  <c r="B244" i="2"/>
  <c r="C244" i="2"/>
  <c r="D244" i="2"/>
  <c r="J244" i="2" s="1"/>
  <c r="E244" i="2"/>
  <c r="K244" i="2" s="1"/>
  <c r="B243" i="2"/>
  <c r="C243" i="2"/>
  <c r="D243" i="2"/>
  <c r="J243" i="2" s="1"/>
  <c r="E243" i="2"/>
  <c r="K243" i="2" s="1"/>
  <c r="B242" i="2"/>
  <c r="C242" i="2"/>
  <c r="D242" i="2"/>
  <c r="J242" i="2" s="1"/>
  <c r="E242" i="2"/>
  <c r="K242" i="2" s="1"/>
  <c r="B241" i="2"/>
  <c r="C241" i="2"/>
  <c r="D241" i="2"/>
  <c r="J241" i="2" s="1"/>
  <c r="E241" i="2"/>
  <c r="K241" i="2" s="1"/>
  <c r="B240" i="2"/>
  <c r="C240" i="2"/>
  <c r="D240" i="2"/>
  <c r="J240" i="2" s="1"/>
  <c r="E240" i="2"/>
  <c r="K240" i="2" s="1"/>
  <c r="B239" i="2"/>
  <c r="C239" i="2"/>
  <c r="D239" i="2"/>
  <c r="J239" i="2" s="1"/>
  <c r="E239" i="2"/>
  <c r="K239" i="2" s="1"/>
  <c r="B238" i="2"/>
  <c r="C238" i="2"/>
  <c r="D238" i="2"/>
  <c r="J238" i="2" s="1"/>
  <c r="E238" i="2"/>
  <c r="K238" i="2" s="1"/>
  <c r="B237" i="2"/>
  <c r="C237" i="2"/>
  <c r="D237" i="2"/>
  <c r="J237" i="2" s="1"/>
  <c r="E237" i="2"/>
  <c r="K237" i="2" s="1"/>
  <c r="B236" i="2"/>
  <c r="C236" i="2"/>
  <c r="D236" i="2"/>
  <c r="J236" i="2" s="1"/>
  <c r="E236" i="2"/>
  <c r="K236" i="2" s="1"/>
  <c r="B235" i="2"/>
  <c r="C235" i="2"/>
  <c r="D235" i="2"/>
  <c r="J235" i="2" s="1"/>
  <c r="E235" i="2"/>
  <c r="K235" i="2" s="1"/>
  <c r="B234" i="2"/>
  <c r="C234" i="2"/>
  <c r="D234" i="2"/>
  <c r="J234" i="2" s="1"/>
  <c r="E234" i="2"/>
  <c r="K234" i="2" s="1"/>
  <c r="B233" i="2"/>
  <c r="C233" i="2"/>
  <c r="D233" i="2"/>
  <c r="J233" i="2" s="1"/>
  <c r="E233" i="2"/>
  <c r="K233" i="2" s="1"/>
  <c r="B232" i="2"/>
  <c r="C232" i="2"/>
  <c r="D232" i="2"/>
  <c r="J232" i="2" s="1"/>
  <c r="E232" i="2"/>
  <c r="K232" i="2" s="1"/>
  <c r="B231" i="2"/>
  <c r="C231" i="2"/>
  <c r="D231" i="2"/>
  <c r="J231" i="2" s="1"/>
  <c r="E231" i="2"/>
  <c r="K231" i="2" s="1"/>
  <c r="B230" i="2"/>
  <c r="C230" i="2"/>
  <c r="D230" i="2"/>
  <c r="J230" i="2" s="1"/>
  <c r="E230" i="2"/>
  <c r="K230" i="2" s="1"/>
  <c r="B229" i="2"/>
  <c r="C229" i="2"/>
  <c r="D229" i="2"/>
  <c r="J229" i="2" s="1"/>
  <c r="E229" i="2"/>
  <c r="K229" i="2" s="1"/>
  <c r="B228" i="2"/>
  <c r="C228" i="2"/>
  <c r="D228" i="2"/>
  <c r="J228" i="2" s="1"/>
  <c r="E228" i="2"/>
  <c r="K228" i="2" s="1"/>
  <c r="B227" i="2"/>
  <c r="C227" i="2"/>
  <c r="D227" i="2"/>
  <c r="J227" i="2" s="1"/>
  <c r="E227" i="2"/>
  <c r="K227" i="2" s="1"/>
  <c r="B226" i="2"/>
  <c r="C226" i="2"/>
  <c r="D226" i="2"/>
  <c r="J226" i="2" s="1"/>
  <c r="E226" i="2"/>
  <c r="K226" i="2" s="1"/>
  <c r="B225" i="2"/>
  <c r="C225" i="2"/>
  <c r="D225" i="2"/>
  <c r="J225" i="2" s="1"/>
  <c r="E225" i="2"/>
  <c r="K225" i="2" s="1"/>
  <c r="B224" i="2"/>
  <c r="C224" i="2"/>
  <c r="D224" i="2"/>
  <c r="J224" i="2" s="1"/>
  <c r="E224" i="2"/>
  <c r="K224" i="2" s="1"/>
  <c r="B223" i="2"/>
  <c r="C223" i="2"/>
  <c r="D223" i="2"/>
  <c r="J223" i="2" s="1"/>
  <c r="E223" i="2"/>
  <c r="K223" i="2" s="1"/>
  <c r="B222" i="2"/>
  <c r="C222" i="2"/>
  <c r="D222" i="2"/>
  <c r="J222" i="2" s="1"/>
  <c r="E222" i="2"/>
  <c r="K222" i="2" s="1"/>
  <c r="B221" i="2"/>
  <c r="C221" i="2"/>
  <c r="D221" i="2"/>
  <c r="J221" i="2" s="1"/>
  <c r="E221" i="2"/>
  <c r="K221" i="2" s="1"/>
  <c r="B220" i="2"/>
  <c r="C220" i="2"/>
  <c r="D220" i="2"/>
  <c r="J220" i="2" s="1"/>
  <c r="E220" i="2"/>
  <c r="K220" i="2" s="1"/>
  <c r="B219" i="2"/>
  <c r="C219" i="2"/>
  <c r="D219" i="2"/>
  <c r="J219" i="2" s="1"/>
  <c r="E219" i="2"/>
  <c r="K219" i="2" s="1"/>
  <c r="B218" i="2"/>
  <c r="C218" i="2"/>
  <c r="D218" i="2"/>
  <c r="J218" i="2" s="1"/>
  <c r="E218" i="2"/>
  <c r="K218" i="2" s="1"/>
  <c r="B217" i="2"/>
  <c r="C217" i="2"/>
  <c r="D217" i="2"/>
  <c r="J217" i="2" s="1"/>
  <c r="E217" i="2"/>
  <c r="K217" i="2" s="1"/>
  <c r="B216" i="2"/>
  <c r="C216" i="2"/>
  <c r="D216" i="2"/>
  <c r="J216" i="2" s="1"/>
  <c r="E216" i="2"/>
  <c r="K216" i="2" s="1"/>
  <c r="B215" i="2"/>
  <c r="C215" i="2"/>
  <c r="D215" i="2"/>
  <c r="J215" i="2" s="1"/>
  <c r="E215" i="2"/>
  <c r="K215" i="2" s="1"/>
  <c r="B214" i="2"/>
  <c r="C214" i="2"/>
  <c r="D214" i="2"/>
  <c r="J214" i="2" s="1"/>
  <c r="E214" i="2"/>
  <c r="K214" i="2" s="1"/>
  <c r="B213" i="2"/>
  <c r="C213" i="2"/>
  <c r="D213" i="2"/>
  <c r="J213" i="2" s="1"/>
  <c r="E213" i="2"/>
  <c r="K213" i="2" s="1"/>
  <c r="B212" i="2"/>
  <c r="C212" i="2"/>
  <c r="D212" i="2"/>
  <c r="J212" i="2" s="1"/>
  <c r="E212" i="2"/>
  <c r="K212" i="2" s="1"/>
  <c r="B211" i="2"/>
  <c r="C211" i="2"/>
  <c r="D211" i="2"/>
  <c r="J211" i="2" s="1"/>
  <c r="E211" i="2"/>
  <c r="K211" i="2" s="1"/>
  <c r="B210" i="2"/>
  <c r="C210" i="2"/>
  <c r="D210" i="2"/>
  <c r="J210" i="2" s="1"/>
  <c r="E210" i="2"/>
  <c r="K210" i="2" s="1"/>
  <c r="B209" i="2"/>
  <c r="C209" i="2"/>
  <c r="D209" i="2"/>
  <c r="J209" i="2" s="1"/>
  <c r="E209" i="2"/>
  <c r="K209" i="2" s="1"/>
  <c r="B208" i="2"/>
  <c r="C208" i="2"/>
  <c r="D208" i="2"/>
  <c r="J208" i="2" s="1"/>
  <c r="E208" i="2"/>
  <c r="K208" i="2" s="1"/>
  <c r="B207" i="2"/>
  <c r="C207" i="2"/>
  <c r="D207" i="2"/>
  <c r="J207" i="2" s="1"/>
  <c r="E207" i="2"/>
  <c r="K207" i="2" s="1"/>
  <c r="B206" i="2"/>
  <c r="C206" i="2"/>
  <c r="D206" i="2"/>
  <c r="J206" i="2" s="1"/>
  <c r="E206" i="2"/>
  <c r="K206" i="2" s="1"/>
  <c r="B205" i="2"/>
  <c r="C205" i="2"/>
  <c r="D205" i="2"/>
  <c r="J205" i="2" s="1"/>
  <c r="E205" i="2"/>
  <c r="K205" i="2" s="1"/>
  <c r="B204" i="2"/>
  <c r="C204" i="2"/>
  <c r="D204" i="2"/>
  <c r="J204" i="2" s="1"/>
  <c r="E204" i="2"/>
  <c r="K204" i="2" s="1"/>
  <c r="B203" i="2"/>
  <c r="C203" i="2"/>
  <c r="D203" i="2"/>
  <c r="J203" i="2" s="1"/>
  <c r="E203" i="2"/>
  <c r="K203" i="2" s="1"/>
  <c r="B202" i="2"/>
  <c r="C202" i="2"/>
  <c r="D202" i="2"/>
  <c r="J202" i="2" s="1"/>
  <c r="E202" i="2"/>
  <c r="K202" i="2" s="1"/>
  <c r="B201" i="2"/>
  <c r="C201" i="2"/>
  <c r="D201" i="2"/>
  <c r="J201" i="2" s="1"/>
  <c r="E201" i="2"/>
  <c r="K201" i="2" s="1"/>
  <c r="B200" i="2"/>
  <c r="C200" i="2"/>
  <c r="D200" i="2"/>
  <c r="J200" i="2" s="1"/>
  <c r="E200" i="2"/>
  <c r="K200" i="2" s="1"/>
  <c r="B199" i="2"/>
  <c r="C199" i="2"/>
  <c r="D199" i="2"/>
  <c r="J199" i="2" s="1"/>
  <c r="E199" i="2"/>
  <c r="K199" i="2" s="1"/>
  <c r="B198" i="2"/>
  <c r="C198" i="2"/>
  <c r="D198" i="2"/>
  <c r="J198" i="2" s="1"/>
  <c r="E198" i="2"/>
  <c r="K198" i="2" s="1"/>
  <c r="B197" i="2"/>
  <c r="C197" i="2"/>
  <c r="D197" i="2"/>
  <c r="J197" i="2" s="1"/>
  <c r="E197" i="2"/>
  <c r="K197" i="2" s="1"/>
  <c r="B196" i="2"/>
  <c r="C196" i="2"/>
  <c r="D196" i="2"/>
  <c r="J196" i="2" s="1"/>
  <c r="E196" i="2"/>
  <c r="K196" i="2" s="1"/>
  <c r="B195" i="2"/>
  <c r="C195" i="2"/>
  <c r="D195" i="2"/>
  <c r="J195" i="2" s="1"/>
  <c r="E195" i="2"/>
  <c r="K195" i="2" s="1"/>
  <c r="B194" i="2"/>
  <c r="C194" i="2"/>
  <c r="D194" i="2"/>
  <c r="J194" i="2" s="1"/>
  <c r="E194" i="2"/>
  <c r="K194" i="2" s="1"/>
  <c r="B193" i="2"/>
  <c r="C193" i="2"/>
  <c r="D193" i="2"/>
  <c r="J193" i="2" s="1"/>
  <c r="E193" i="2"/>
  <c r="K193" i="2" s="1"/>
  <c r="B192" i="2"/>
  <c r="C192" i="2"/>
  <c r="D192" i="2"/>
  <c r="J192" i="2" s="1"/>
  <c r="E192" i="2"/>
  <c r="K192" i="2" s="1"/>
  <c r="B191" i="2"/>
  <c r="C191" i="2"/>
  <c r="D191" i="2"/>
  <c r="J191" i="2" s="1"/>
  <c r="E191" i="2"/>
  <c r="K191" i="2" s="1"/>
  <c r="B190" i="2"/>
  <c r="C190" i="2"/>
  <c r="D190" i="2"/>
  <c r="J190" i="2" s="1"/>
  <c r="E190" i="2"/>
  <c r="K190" i="2" s="1"/>
  <c r="B189" i="2"/>
  <c r="C189" i="2"/>
  <c r="D189" i="2"/>
  <c r="J189" i="2" s="1"/>
  <c r="E189" i="2"/>
  <c r="K189" i="2" s="1"/>
  <c r="B188" i="2"/>
  <c r="C188" i="2"/>
  <c r="D188" i="2"/>
  <c r="J188" i="2" s="1"/>
  <c r="E188" i="2"/>
  <c r="K188" i="2" s="1"/>
  <c r="B187" i="2"/>
  <c r="C187" i="2"/>
  <c r="D187" i="2"/>
  <c r="J187" i="2" s="1"/>
  <c r="E187" i="2"/>
  <c r="K187" i="2" s="1"/>
  <c r="B186" i="2"/>
  <c r="C186" i="2"/>
  <c r="D186" i="2"/>
  <c r="J186" i="2" s="1"/>
  <c r="E186" i="2"/>
  <c r="K186" i="2" s="1"/>
  <c r="B185" i="2"/>
  <c r="C185" i="2"/>
  <c r="D185" i="2"/>
  <c r="J185" i="2" s="1"/>
  <c r="E185" i="2"/>
  <c r="K185" i="2" s="1"/>
  <c r="B184" i="2"/>
  <c r="C184" i="2"/>
  <c r="D184" i="2"/>
  <c r="J184" i="2" s="1"/>
  <c r="E184" i="2"/>
  <c r="K184" i="2" s="1"/>
  <c r="B183" i="2"/>
  <c r="C183" i="2"/>
  <c r="D183" i="2"/>
  <c r="J183" i="2" s="1"/>
  <c r="E183" i="2"/>
  <c r="K183" i="2" s="1"/>
  <c r="B182" i="2"/>
  <c r="C182" i="2"/>
  <c r="D182" i="2"/>
  <c r="J182" i="2" s="1"/>
  <c r="E182" i="2"/>
  <c r="K182" i="2" s="1"/>
  <c r="B181" i="2"/>
  <c r="C181" i="2"/>
  <c r="D181" i="2"/>
  <c r="J181" i="2" s="1"/>
  <c r="E181" i="2"/>
  <c r="K181" i="2" s="1"/>
  <c r="B180" i="2"/>
  <c r="C180" i="2"/>
  <c r="D180" i="2"/>
  <c r="J180" i="2" s="1"/>
  <c r="E180" i="2"/>
  <c r="K180" i="2" s="1"/>
  <c r="B179" i="2"/>
  <c r="C179" i="2"/>
  <c r="D179" i="2"/>
  <c r="J179" i="2" s="1"/>
  <c r="E179" i="2"/>
  <c r="K179" i="2" s="1"/>
  <c r="B178" i="2"/>
  <c r="C178" i="2"/>
  <c r="D178" i="2"/>
  <c r="J178" i="2" s="1"/>
  <c r="E178" i="2"/>
  <c r="K178" i="2" s="1"/>
  <c r="B177" i="2"/>
  <c r="C177" i="2"/>
  <c r="D177" i="2"/>
  <c r="J177" i="2" s="1"/>
  <c r="E177" i="2"/>
  <c r="K177" i="2" s="1"/>
  <c r="B176" i="2"/>
  <c r="C176" i="2"/>
  <c r="D176" i="2"/>
  <c r="J176" i="2" s="1"/>
  <c r="E176" i="2"/>
  <c r="K176" i="2" s="1"/>
  <c r="B175" i="2"/>
  <c r="C175" i="2"/>
  <c r="D175" i="2"/>
  <c r="J175" i="2" s="1"/>
  <c r="E175" i="2"/>
  <c r="K175" i="2" s="1"/>
  <c r="B174" i="2"/>
  <c r="C174" i="2"/>
  <c r="D174" i="2"/>
  <c r="J174" i="2" s="1"/>
  <c r="E174" i="2"/>
  <c r="K174" i="2" s="1"/>
  <c r="B173" i="2"/>
  <c r="C173" i="2"/>
  <c r="D173" i="2"/>
  <c r="J173" i="2" s="1"/>
  <c r="E173" i="2"/>
  <c r="K173" i="2" s="1"/>
  <c r="B172" i="2"/>
  <c r="C172" i="2"/>
  <c r="D172" i="2"/>
  <c r="J172" i="2" s="1"/>
  <c r="E172" i="2"/>
  <c r="K172" i="2" s="1"/>
  <c r="B171" i="2"/>
  <c r="C171" i="2"/>
  <c r="D171" i="2"/>
  <c r="J171" i="2" s="1"/>
  <c r="E171" i="2"/>
  <c r="K171" i="2" s="1"/>
  <c r="B170" i="2"/>
  <c r="C170" i="2"/>
  <c r="D170" i="2"/>
  <c r="J170" i="2" s="1"/>
  <c r="E170" i="2"/>
  <c r="K170" i="2" s="1"/>
  <c r="B169" i="2"/>
  <c r="C169" i="2"/>
  <c r="D169" i="2"/>
  <c r="J169" i="2" s="1"/>
  <c r="E169" i="2"/>
  <c r="K169" i="2" s="1"/>
  <c r="B168" i="2"/>
  <c r="C168" i="2"/>
  <c r="D168" i="2"/>
  <c r="J168" i="2" s="1"/>
  <c r="E168" i="2"/>
  <c r="K168" i="2" s="1"/>
  <c r="B167" i="2"/>
  <c r="C167" i="2"/>
  <c r="D167" i="2"/>
  <c r="J167" i="2" s="1"/>
  <c r="E167" i="2"/>
  <c r="K167" i="2" s="1"/>
  <c r="B166" i="2"/>
  <c r="C166" i="2"/>
  <c r="D166" i="2"/>
  <c r="J166" i="2" s="1"/>
  <c r="E166" i="2"/>
  <c r="K166" i="2" s="1"/>
  <c r="B165" i="2"/>
  <c r="C165" i="2"/>
  <c r="D165" i="2"/>
  <c r="J165" i="2" s="1"/>
  <c r="E165" i="2"/>
  <c r="K165" i="2" s="1"/>
  <c r="B164" i="2"/>
  <c r="C164" i="2"/>
  <c r="D164" i="2"/>
  <c r="J164" i="2" s="1"/>
  <c r="E164" i="2"/>
  <c r="K164" i="2" s="1"/>
  <c r="B163" i="2"/>
  <c r="C163" i="2"/>
  <c r="D163" i="2"/>
  <c r="J163" i="2" s="1"/>
  <c r="E163" i="2"/>
  <c r="K163" i="2" s="1"/>
  <c r="B162" i="2"/>
  <c r="C162" i="2"/>
  <c r="D162" i="2"/>
  <c r="J162" i="2" s="1"/>
  <c r="E162" i="2"/>
  <c r="K162" i="2" s="1"/>
  <c r="B161" i="2"/>
  <c r="C161" i="2"/>
  <c r="D161" i="2"/>
  <c r="J161" i="2" s="1"/>
  <c r="E161" i="2"/>
  <c r="K161" i="2" s="1"/>
  <c r="B160" i="2"/>
  <c r="C160" i="2"/>
  <c r="D160" i="2"/>
  <c r="J160" i="2" s="1"/>
  <c r="E160" i="2"/>
  <c r="K160" i="2" s="1"/>
  <c r="B159" i="2"/>
  <c r="C159" i="2"/>
  <c r="D159" i="2"/>
  <c r="J159" i="2" s="1"/>
  <c r="E159" i="2"/>
  <c r="K159" i="2" s="1"/>
  <c r="B158" i="2"/>
  <c r="C158" i="2"/>
  <c r="D158" i="2"/>
  <c r="J158" i="2" s="1"/>
  <c r="E158" i="2"/>
  <c r="K158" i="2" s="1"/>
  <c r="B157" i="2"/>
  <c r="C157" i="2"/>
  <c r="D157" i="2"/>
  <c r="J157" i="2" s="1"/>
  <c r="E157" i="2"/>
  <c r="K157" i="2" s="1"/>
  <c r="B156" i="2"/>
  <c r="C156" i="2"/>
  <c r="D156" i="2"/>
  <c r="J156" i="2" s="1"/>
  <c r="E156" i="2"/>
  <c r="K156" i="2" s="1"/>
  <c r="B155" i="2"/>
  <c r="C155" i="2"/>
  <c r="D155" i="2"/>
  <c r="J155" i="2" s="1"/>
  <c r="E155" i="2"/>
  <c r="K155" i="2" s="1"/>
  <c r="B154" i="2"/>
  <c r="C154" i="2"/>
  <c r="D154" i="2"/>
  <c r="J154" i="2" s="1"/>
  <c r="E154" i="2"/>
  <c r="K154" i="2" s="1"/>
  <c r="B153" i="2"/>
  <c r="C153" i="2"/>
  <c r="D153" i="2"/>
  <c r="J153" i="2" s="1"/>
  <c r="E153" i="2"/>
  <c r="K153" i="2" s="1"/>
  <c r="B152" i="2"/>
  <c r="C152" i="2"/>
  <c r="D152" i="2"/>
  <c r="J152" i="2" s="1"/>
  <c r="E152" i="2"/>
  <c r="K152" i="2" s="1"/>
  <c r="B151" i="2"/>
  <c r="C151" i="2"/>
  <c r="D151" i="2"/>
  <c r="J151" i="2" s="1"/>
  <c r="E151" i="2"/>
  <c r="K151" i="2" s="1"/>
  <c r="B150" i="2"/>
  <c r="C150" i="2"/>
  <c r="D150" i="2"/>
  <c r="J150" i="2" s="1"/>
  <c r="E150" i="2"/>
  <c r="K150" i="2" s="1"/>
  <c r="B149" i="2"/>
  <c r="C149" i="2"/>
  <c r="D149" i="2"/>
  <c r="J149" i="2" s="1"/>
  <c r="E149" i="2"/>
  <c r="K149" i="2" s="1"/>
  <c r="B148" i="2"/>
  <c r="C148" i="2"/>
  <c r="D148" i="2"/>
  <c r="J148" i="2" s="1"/>
  <c r="E148" i="2"/>
  <c r="K148" i="2" s="1"/>
  <c r="B147" i="2"/>
  <c r="C147" i="2"/>
  <c r="D147" i="2"/>
  <c r="J147" i="2" s="1"/>
  <c r="E147" i="2"/>
  <c r="K147" i="2" s="1"/>
  <c r="B146" i="2"/>
  <c r="C146" i="2"/>
  <c r="D146" i="2"/>
  <c r="J146" i="2" s="1"/>
  <c r="E146" i="2"/>
  <c r="K146" i="2" s="1"/>
  <c r="B145" i="2"/>
  <c r="C145" i="2"/>
  <c r="D145" i="2"/>
  <c r="J145" i="2" s="1"/>
  <c r="E145" i="2"/>
  <c r="K145" i="2" s="1"/>
  <c r="B144" i="2"/>
  <c r="C144" i="2"/>
  <c r="D144" i="2"/>
  <c r="J144" i="2" s="1"/>
  <c r="E144" i="2"/>
  <c r="K144" i="2" s="1"/>
  <c r="B143" i="2"/>
  <c r="C143" i="2"/>
  <c r="D143" i="2"/>
  <c r="J143" i="2" s="1"/>
  <c r="E143" i="2"/>
  <c r="K143" i="2" s="1"/>
  <c r="B142" i="2"/>
  <c r="C142" i="2"/>
  <c r="D142" i="2"/>
  <c r="J142" i="2" s="1"/>
  <c r="E142" i="2"/>
  <c r="K142" i="2" s="1"/>
  <c r="B141" i="2"/>
  <c r="C141" i="2"/>
  <c r="D141" i="2"/>
  <c r="J141" i="2" s="1"/>
  <c r="E141" i="2"/>
  <c r="K141" i="2" s="1"/>
  <c r="B140" i="2"/>
  <c r="C140" i="2"/>
  <c r="D140" i="2"/>
  <c r="J140" i="2" s="1"/>
  <c r="E140" i="2"/>
  <c r="K140" i="2" s="1"/>
  <c r="B139" i="2"/>
  <c r="C139" i="2"/>
  <c r="D139" i="2"/>
  <c r="J139" i="2" s="1"/>
  <c r="E139" i="2"/>
  <c r="K139" i="2" s="1"/>
  <c r="B138" i="2"/>
  <c r="C138" i="2"/>
  <c r="D138" i="2"/>
  <c r="J138" i="2" s="1"/>
  <c r="E138" i="2"/>
  <c r="K138" i="2" s="1"/>
  <c r="B137" i="2"/>
  <c r="C137" i="2"/>
  <c r="D137" i="2"/>
  <c r="J137" i="2" s="1"/>
  <c r="E137" i="2"/>
  <c r="K137" i="2" s="1"/>
  <c r="B136" i="2"/>
  <c r="C136" i="2"/>
  <c r="D136" i="2"/>
  <c r="J136" i="2" s="1"/>
  <c r="E136" i="2"/>
  <c r="K136" i="2" s="1"/>
  <c r="B135" i="2"/>
  <c r="C135" i="2"/>
  <c r="D135" i="2"/>
  <c r="J135" i="2" s="1"/>
  <c r="E135" i="2"/>
  <c r="K135" i="2" s="1"/>
  <c r="B134" i="2"/>
  <c r="C134" i="2"/>
  <c r="D134" i="2"/>
  <c r="J134" i="2" s="1"/>
  <c r="E134" i="2"/>
  <c r="K134" i="2" s="1"/>
  <c r="B133" i="2"/>
  <c r="C133" i="2"/>
  <c r="D133" i="2"/>
  <c r="J133" i="2" s="1"/>
  <c r="E133" i="2"/>
  <c r="K133" i="2" s="1"/>
  <c r="B132" i="2"/>
  <c r="C132" i="2"/>
  <c r="D132" i="2"/>
  <c r="J132" i="2" s="1"/>
  <c r="E132" i="2"/>
  <c r="K132" i="2" s="1"/>
  <c r="B131" i="2"/>
  <c r="C131" i="2"/>
  <c r="D131" i="2"/>
  <c r="J131" i="2" s="1"/>
  <c r="E131" i="2"/>
  <c r="K131" i="2" s="1"/>
  <c r="B130" i="2"/>
  <c r="C130" i="2"/>
  <c r="D130" i="2"/>
  <c r="J130" i="2" s="1"/>
  <c r="E130" i="2"/>
  <c r="K130" i="2" s="1"/>
  <c r="B129" i="2"/>
  <c r="C129" i="2"/>
  <c r="D129" i="2"/>
  <c r="J129" i="2" s="1"/>
  <c r="E129" i="2"/>
  <c r="K129" i="2" s="1"/>
  <c r="B128" i="2"/>
  <c r="C128" i="2"/>
  <c r="D128" i="2"/>
  <c r="J128" i="2" s="1"/>
  <c r="E128" i="2"/>
  <c r="K128" i="2" s="1"/>
  <c r="B127" i="2"/>
  <c r="C127" i="2"/>
  <c r="D127" i="2"/>
  <c r="J127" i="2" s="1"/>
  <c r="E127" i="2"/>
  <c r="K127" i="2" s="1"/>
  <c r="B126" i="2"/>
  <c r="C126" i="2"/>
  <c r="D126" i="2"/>
  <c r="J126" i="2" s="1"/>
  <c r="E126" i="2"/>
  <c r="K126" i="2" s="1"/>
  <c r="B125" i="2"/>
  <c r="C125" i="2"/>
  <c r="D125" i="2"/>
  <c r="J125" i="2" s="1"/>
  <c r="E125" i="2"/>
  <c r="K125" i="2" s="1"/>
  <c r="B124" i="2"/>
  <c r="C124" i="2"/>
  <c r="D124" i="2"/>
  <c r="J124" i="2" s="1"/>
  <c r="E124" i="2"/>
  <c r="K124" i="2" s="1"/>
  <c r="B123" i="2"/>
  <c r="C123" i="2"/>
  <c r="D123" i="2"/>
  <c r="J123" i="2" s="1"/>
  <c r="E123" i="2"/>
  <c r="K123" i="2" s="1"/>
  <c r="B122" i="2"/>
  <c r="C122" i="2"/>
  <c r="D122" i="2"/>
  <c r="J122" i="2" s="1"/>
  <c r="E122" i="2"/>
  <c r="K122" i="2" s="1"/>
  <c r="B121" i="2"/>
  <c r="C121" i="2"/>
  <c r="D121" i="2"/>
  <c r="J121" i="2" s="1"/>
  <c r="E121" i="2"/>
  <c r="K121" i="2" s="1"/>
  <c r="B120" i="2"/>
  <c r="C120" i="2"/>
  <c r="D120" i="2"/>
  <c r="J120" i="2" s="1"/>
  <c r="E120" i="2"/>
  <c r="K120" i="2" s="1"/>
  <c r="B119" i="2"/>
  <c r="C119" i="2"/>
  <c r="D119" i="2"/>
  <c r="J119" i="2" s="1"/>
  <c r="E119" i="2"/>
  <c r="K119" i="2" s="1"/>
  <c r="B118" i="2"/>
  <c r="C118" i="2"/>
  <c r="D118" i="2"/>
  <c r="J118" i="2" s="1"/>
  <c r="E118" i="2"/>
  <c r="K118" i="2" s="1"/>
  <c r="B117" i="2"/>
  <c r="C117" i="2"/>
  <c r="D117" i="2"/>
  <c r="J117" i="2" s="1"/>
  <c r="E117" i="2"/>
  <c r="K117" i="2" s="1"/>
  <c r="B116" i="2"/>
  <c r="C116" i="2"/>
  <c r="D116" i="2"/>
  <c r="J116" i="2" s="1"/>
  <c r="E116" i="2"/>
  <c r="K116" i="2" s="1"/>
  <c r="B115" i="2"/>
  <c r="C115" i="2"/>
  <c r="D115" i="2"/>
  <c r="J115" i="2" s="1"/>
  <c r="E115" i="2"/>
  <c r="K115" i="2" s="1"/>
  <c r="B114" i="2"/>
  <c r="C114" i="2"/>
  <c r="D114" i="2"/>
  <c r="J114" i="2" s="1"/>
  <c r="E114" i="2"/>
  <c r="K114" i="2" s="1"/>
  <c r="B113" i="2"/>
  <c r="C113" i="2"/>
  <c r="D113" i="2"/>
  <c r="J113" i="2" s="1"/>
  <c r="E113" i="2"/>
  <c r="K113" i="2" s="1"/>
  <c r="B112" i="2"/>
  <c r="C112" i="2"/>
  <c r="D112" i="2"/>
  <c r="J112" i="2" s="1"/>
  <c r="E112" i="2"/>
  <c r="K112" i="2" s="1"/>
  <c r="B111" i="2"/>
  <c r="C111" i="2"/>
  <c r="D111" i="2"/>
  <c r="J111" i="2" s="1"/>
  <c r="E111" i="2"/>
  <c r="K111" i="2" s="1"/>
  <c r="B110" i="2"/>
  <c r="C110" i="2"/>
  <c r="D110" i="2"/>
  <c r="J110" i="2" s="1"/>
  <c r="E110" i="2"/>
  <c r="K110" i="2" s="1"/>
  <c r="B109" i="2"/>
  <c r="C109" i="2"/>
  <c r="D109" i="2"/>
  <c r="J109" i="2" s="1"/>
  <c r="E109" i="2"/>
  <c r="K109" i="2" s="1"/>
  <c r="B108" i="2"/>
  <c r="C108" i="2"/>
  <c r="D108" i="2"/>
  <c r="J108" i="2" s="1"/>
  <c r="E108" i="2"/>
  <c r="K108" i="2" s="1"/>
  <c r="B107" i="2"/>
  <c r="C107" i="2"/>
  <c r="D107" i="2"/>
  <c r="J107" i="2" s="1"/>
  <c r="E107" i="2"/>
  <c r="K107" i="2" s="1"/>
  <c r="B106" i="2"/>
  <c r="C106" i="2"/>
  <c r="D106" i="2"/>
  <c r="J106" i="2" s="1"/>
  <c r="E106" i="2"/>
  <c r="K106" i="2" s="1"/>
  <c r="B105" i="2"/>
  <c r="C105" i="2"/>
  <c r="D105" i="2"/>
  <c r="J105" i="2" s="1"/>
  <c r="E105" i="2"/>
  <c r="K105" i="2" s="1"/>
  <c r="B104" i="2"/>
  <c r="C104" i="2"/>
  <c r="D104" i="2"/>
  <c r="J104" i="2" s="1"/>
  <c r="E104" i="2"/>
  <c r="K104" i="2" s="1"/>
  <c r="B103" i="2"/>
  <c r="C103" i="2"/>
  <c r="D103" i="2"/>
  <c r="J103" i="2" s="1"/>
  <c r="E103" i="2"/>
  <c r="K103" i="2" s="1"/>
  <c r="B102" i="2"/>
  <c r="C102" i="2"/>
  <c r="D102" i="2"/>
  <c r="J102" i="2" s="1"/>
  <c r="E102" i="2"/>
  <c r="K102" i="2" s="1"/>
  <c r="B101" i="2"/>
  <c r="C101" i="2"/>
  <c r="D101" i="2"/>
  <c r="J101" i="2" s="1"/>
  <c r="E101" i="2"/>
  <c r="K101" i="2" s="1"/>
  <c r="B100" i="2"/>
  <c r="C100" i="2"/>
  <c r="D100" i="2"/>
  <c r="J100" i="2" s="1"/>
  <c r="E100" i="2"/>
  <c r="K100" i="2" s="1"/>
  <c r="B99" i="2"/>
  <c r="C99" i="2"/>
  <c r="D99" i="2"/>
  <c r="J99" i="2" s="1"/>
  <c r="E99" i="2"/>
  <c r="K99" i="2" s="1"/>
  <c r="B98" i="2"/>
  <c r="C98" i="2"/>
  <c r="D98" i="2"/>
  <c r="J98" i="2" s="1"/>
  <c r="E98" i="2"/>
  <c r="K98" i="2" s="1"/>
  <c r="B97" i="2"/>
  <c r="C97" i="2"/>
  <c r="D97" i="2"/>
  <c r="J97" i="2" s="1"/>
  <c r="E97" i="2"/>
  <c r="K97" i="2" s="1"/>
  <c r="B96" i="2"/>
  <c r="C96" i="2"/>
  <c r="D96" i="2"/>
  <c r="J96" i="2" s="1"/>
  <c r="E96" i="2"/>
  <c r="K96" i="2" s="1"/>
  <c r="B95" i="2"/>
  <c r="C95" i="2"/>
  <c r="D95" i="2"/>
  <c r="J95" i="2" s="1"/>
  <c r="E95" i="2"/>
  <c r="K95" i="2" s="1"/>
  <c r="B94" i="2"/>
  <c r="C94" i="2"/>
  <c r="D94" i="2"/>
  <c r="J94" i="2" s="1"/>
  <c r="E94" i="2"/>
  <c r="K94" i="2" s="1"/>
  <c r="B93" i="2"/>
  <c r="C93" i="2"/>
  <c r="D93" i="2"/>
  <c r="J93" i="2" s="1"/>
  <c r="E93" i="2"/>
  <c r="K93" i="2" s="1"/>
  <c r="B92" i="2"/>
  <c r="C92" i="2"/>
  <c r="D92" i="2"/>
  <c r="J92" i="2" s="1"/>
  <c r="E92" i="2"/>
  <c r="K92" i="2" s="1"/>
  <c r="B91" i="2"/>
  <c r="C91" i="2"/>
  <c r="D91" i="2"/>
  <c r="J91" i="2" s="1"/>
  <c r="E91" i="2"/>
  <c r="K91" i="2" s="1"/>
  <c r="B90" i="2"/>
  <c r="C90" i="2"/>
  <c r="D90" i="2"/>
  <c r="J90" i="2" s="1"/>
  <c r="E90" i="2"/>
  <c r="K90" i="2" s="1"/>
  <c r="B89" i="2"/>
  <c r="C89" i="2"/>
  <c r="D89" i="2"/>
  <c r="J89" i="2" s="1"/>
  <c r="E89" i="2"/>
  <c r="K89" i="2" s="1"/>
  <c r="B88" i="2"/>
  <c r="C88" i="2"/>
  <c r="D88" i="2"/>
  <c r="J88" i="2" s="1"/>
  <c r="E88" i="2"/>
  <c r="K88" i="2" s="1"/>
  <c r="B87" i="2"/>
  <c r="C87" i="2"/>
  <c r="D87" i="2"/>
  <c r="J87" i="2" s="1"/>
  <c r="E87" i="2"/>
  <c r="K87" i="2" s="1"/>
  <c r="B86" i="2"/>
  <c r="C86" i="2"/>
  <c r="D86" i="2"/>
  <c r="J86" i="2" s="1"/>
  <c r="E86" i="2"/>
  <c r="K86" i="2" s="1"/>
  <c r="B85" i="2"/>
  <c r="C85" i="2"/>
  <c r="D85" i="2"/>
  <c r="J85" i="2" s="1"/>
  <c r="E85" i="2"/>
  <c r="K85" i="2" s="1"/>
  <c r="B84" i="2"/>
  <c r="C84" i="2"/>
  <c r="D84" i="2"/>
  <c r="J84" i="2" s="1"/>
  <c r="E84" i="2"/>
  <c r="K84" i="2" s="1"/>
  <c r="B83" i="2"/>
  <c r="C83" i="2"/>
  <c r="D83" i="2"/>
  <c r="J83" i="2" s="1"/>
  <c r="E83" i="2"/>
  <c r="K83" i="2" s="1"/>
  <c r="B82" i="2"/>
  <c r="C82" i="2"/>
  <c r="D82" i="2"/>
  <c r="J82" i="2" s="1"/>
  <c r="E82" i="2"/>
  <c r="K82" i="2" s="1"/>
  <c r="B81" i="2"/>
  <c r="C81" i="2"/>
  <c r="D81" i="2"/>
  <c r="J81" i="2" s="1"/>
  <c r="E81" i="2"/>
  <c r="K81" i="2" s="1"/>
  <c r="B80" i="2"/>
  <c r="C80" i="2"/>
  <c r="D80" i="2"/>
  <c r="J80" i="2" s="1"/>
  <c r="E80" i="2"/>
  <c r="K80" i="2" s="1"/>
  <c r="B79" i="2"/>
  <c r="C79" i="2"/>
  <c r="D79" i="2"/>
  <c r="J79" i="2" s="1"/>
  <c r="E79" i="2"/>
  <c r="K79" i="2" s="1"/>
  <c r="B78" i="2"/>
  <c r="C78" i="2"/>
  <c r="D78" i="2"/>
  <c r="J78" i="2" s="1"/>
  <c r="E78" i="2"/>
  <c r="K78" i="2" s="1"/>
  <c r="B77" i="2"/>
  <c r="C77" i="2"/>
  <c r="D77" i="2"/>
  <c r="J77" i="2" s="1"/>
  <c r="E77" i="2"/>
  <c r="K77" i="2" s="1"/>
  <c r="B76" i="2"/>
  <c r="C76" i="2"/>
  <c r="D76" i="2"/>
  <c r="J76" i="2" s="1"/>
  <c r="E76" i="2"/>
  <c r="K76" i="2" s="1"/>
  <c r="B75" i="2"/>
  <c r="C75" i="2"/>
  <c r="D75" i="2"/>
  <c r="J75" i="2" s="1"/>
  <c r="E75" i="2"/>
  <c r="K75" i="2" s="1"/>
  <c r="B74" i="2"/>
  <c r="C74" i="2"/>
  <c r="D74" i="2"/>
  <c r="J74" i="2" s="1"/>
  <c r="E74" i="2"/>
  <c r="K74" i="2" s="1"/>
  <c r="B73" i="2"/>
  <c r="C73" i="2"/>
  <c r="D73" i="2"/>
  <c r="J73" i="2" s="1"/>
  <c r="E73" i="2"/>
  <c r="K73" i="2" s="1"/>
  <c r="B72" i="2"/>
  <c r="C72" i="2"/>
  <c r="D72" i="2"/>
  <c r="J72" i="2" s="1"/>
  <c r="E72" i="2"/>
  <c r="K72" i="2" s="1"/>
  <c r="B71" i="2"/>
  <c r="C71" i="2"/>
  <c r="D71" i="2"/>
  <c r="J71" i="2" s="1"/>
  <c r="E71" i="2"/>
  <c r="K71" i="2" s="1"/>
  <c r="B70" i="2"/>
  <c r="C70" i="2"/>
  <c r="D70" i="2"/>
  <c r="J70" i="2" s="1"/>
  <c r="E70" i="2"/>
  <c r="K70" i="2" s="1"/>
  <c r="B69" i="2"/>
  <c r="C69" i="2"/>
  <c r="D69" i="2"/>
  <c r="J69" i="2" s="1"/>
  <c r="E69" i="2"/>
  <c r="K69" i="2" s="1"/>
  <c r="B68" i="2"/>
  <c r="C68" i="2"/>
  <c r="D68" i="2"/>
  <c r="J68" i="2" s="1"/>
  <c r="E68" i="2"/>
  <c r="K68" i="2" s="1"/>
  <c r="B67" i="2"/>
  <c r="C67" i="2"/>
  <c r="D67" i="2"/>
  <c r="J67" i="2" s="1"/>
  <c r="E67" i="2"/>
  <c r="K67" i="2" s="1"/>
  <c r="B66" i="2"/>
  <c r="C66" i="2"/>
  <c r="D66" i="2"/>
  <c r="J66" i="2" s="1"/>
  <c r="E66" i="2"/>
  <c r="K66" i="2" s="1"/>
  <c r="B65" i="2"/>
  <c r="C65" i="2"/>
  <c r="D65" i="2"/>
  <c r="J65" i="2" s="1"/>
  <c r="E65" i="2"/>
  <c r="K65" i="2" s="1"/>
  <c r="B64" i="2"/>
  <c r="C64" i="2"/>
  <c r="D64" i="2"/>
  <c r="J64" i="2" s="1"/>
  <c r="E64" i="2"/>
  <c r="K64" i="2" s="1"/>
  <c r="B63" i="2"/>
  <c r="C63" i="2"/>
  <c r="D63" i="2"/>
  <c r="J63" i="2" s="1"/>
  <c r="E63" i="2"/>
  <c r="K63" i="2" s="1"/>
  <c r="B62" i="2"/>
  <c r="C62" i="2"/>
  <c r="D62" i="2"/>
  <c r="J62" i="2" s="1"/>
  <c r="E62" i="2"/>
  <c r="K62" i="2" s="1"/>
  <c r="B61" i="2"/>
  <c r="C61" i="2"/>
  <c r="D61" i="2"/>
  <c r="J61" i="2" s="1"/>
  <c r="E61" i="2"/>
  <c r="K61" i="2" s="1"/>
  <c r="B60" i="2"/>
  <c r="C60" i="2"/>
  <c r="D60" i="2"/>
  <c r="J60" i="2" s="1"/>
  <c r="E60" i="2"/>
  <c r="K60" i="2" s="1"/>
  <c r="B59" i="2"/>
  <c r="C59" i="2"/>
  <c r="D59" i="2"/>
  <c r="J59" i="2" s="1"/>
  <c r="E59" i="2"/>
  <c r="K59" i="2" s="1"/>
  <c r="B58" i="2"/>
  <c r="C58" i="2"/>
  <c r="D58" i="2"/>
  <c r="J58" i="2" s="1"/>
  <c r="E58" i="2"/>
  <c r="K58" i="2" s="1"/>
  <c r="B57" i="2"/>
  <c r="C57" i="2"/>
  <c r="D57" i="2"/>
  <c r="J57" i="2" s="1"/>
  <c r="E57" i="2"/>
  <c r="K57" i="2" s="1"/>
  <c r="B56" i="2"/>
  <c r="C56" i="2"/>
  <c r="D56" i="2"/>
  <c r="J56" i="2" s="1"/>
  <c r="E56" i="2"/>
  <c r="K56" i="2" s="1"/>
  <c r="B55" i="2"/>
  <c r="C55" i="2"/>
  <c r="D55" i="2"/>
  <c r="J55" i="2" s="1"/>
  <c r="E55" i="2"/>
  <c r="K55" i="2" s="1"/>
  <c r="B54" i="2"/>
  <c r="C54" i="2"/>
  <c r="D54" i="2"/>
  <c r="J54" i="2" s="1"/>
  <c r="E54" i="2"/>
  <c r="K54" i="2" s="1"/>
  <c r="B53" i="2"/>
  <c r="C53" i="2"/>
  <c r="D53" i="2"/>
  <c r="J53" i="2" s="1"/>
  <c r="E53" i="2"/>
  <c r="K53" i="2" s="1"/>
  <c r="B52" i="2"/>
  <c r="C52" i="2"/>
  <c r="D52" i="2"/>
  <c r="J52" i="2" s="1"/>
  <c r="E52" i="2"/>
  <c r="K52" i="2" s="1"/>
  <c r="B51" i="2"/>
  <c r="C51" i="2"/>
  <c r="D51" i="2"/>
  <c r="J51" i="2" s="1"/>
  <c r="E51" i="2"/>
  <c r="K51" i="2" s="1"/>
  <c r="B50" i="2"/>
  <c r="C50" i="2"/>
  <c r="D50" i="2"/>
  <c r="J50" i="2" s="1"/>
  <c r="E50" i="2"/>
  <c r="K50" i="2" s="1"/>
  <c r="B49" i="2"/>
  <c r="C49" i="2"/>
  <c r="D49" i="2"/>
  <c r="J49" i="2" s="1"/>
  <c r="E49" i="2"/>
  <c r="K49" i="2" s="1"/>
  <c r="B48" i="2"/>
  <c r="C48" i="2"/>
  <c r="D48" i="2"/>
  <c r="J48" i="2" s="1"/>
  <c r="E48" i="2"/>
  <c r="K48" i="2" s="1"/>
  <c r="B47" i="2"/>
  <c r="C47" i="2"/>
  <c r="D47" i="2"/>
  <c r="J47" i="2" s="1"/>
  <c r="E47" i="2"/>
  <c r="K47" i="2" s="1"/>
  <c r="B46" i="2"/>
  <c r="C46" i="2"/>
  <c r="D46" i="2"/>
  <c r="J46" i="2" s="1"/>
  <c r="E46" i="2"/>
  <c r="K46" i="2" s="1"/>
  <c r="B45" i="2"/>
  <c r="C45" i="2"/>
  <c r="D45" i="2"/>
  <c r="J45" i="2" s="1"/>
  <c r="E45" i="2"/>
  <c r="K45" i="2" s="1"/>
  <c r="B44" i="2"/>
  <c r="C44" i="2"/>
  <c r="D44" i="2"/>
  <c r="J44" i="2" s="1"/>
  <c r="E44" i="2"/>
  <c r="K44" i="2" s="1"/>
  <c r="B43" i="2"/>
  <c r="C43" i="2"/>
  <c r="D43" i="2"/>
  <c r="J43" i="2" s="1"/>
  <c r="E43" i="2"/>
  <c r="K43" i="2" s="1"/>
  <c r="B42" i="2"/>
  <c r="C42" i="2"/>
  <c r="D42" i="2"/>
  <c r="J42" i="2" s="1"/>
  <c r="E42" i="2"/>
  <c r="K42" i="2" s="1"/>
  <c r="B41" i="2"/>
  <c r="C41" i="2"/>
  <c r="D41" i="2"/>
  <c r="J41" i="2" s="1"/>
  <c r="E41" i="2"/>
  <c r="K41" i="2" s="1"/>
  <c r="B40" i="2"/>
  <c r="C40" i="2"/>
  <c r="D40" i="2"/>
  <c r="J40" i="2" s="1"/>
  <c r="E40" i="2"/>
  <c r="K40" i="2" s="1"/>
  <c r="B39" i="2"/>
  <c r="C39" i="2"/>
  <c r="D39" i="2"/>
  <c r="J39" i="2" s="1"/>
  <c r="E39" i="2"/>
  <c r="K39" i="2" s="1"/>
  <c r="B38" i="2"/>
  <c r="C38" i="2"/>
  <c r="D38" i="2"/>
  <c r="J38" i="2" s="1"/>
  <c r="E38" i="2"/>
  <c r="K38" i="2" s="1"/>
  <c r="B37" i="2"/>
  <c r="C37" i="2"/>
  <c r="D37" i="2"/>
  <c r="J37" i="2" s="1"/>
  <c r="E37" i="2"/>
  <c r="K37" i="2" s="1"/>
  <c r="B36" i="2"/>
  <c r="C36" i="2"/>
  <c r="D36" i="2"/>
  <c r="J36" i="2" s="1"/>
  <c r="E36" i="2"/>
  <c r="K36" i="2" s="1"/>
  <c r="B35" i="2"/>
  <c r="C35" i="2"/>
  <c r="D35" i="2"/>
  <c r="J35" i="2" s="1"/>
  <c r="E35" i="2"/>
  <c r="K35" i="2" s="1"/>
  <c r="B34" i="2"/>
  <c r="C34" i="2"/>
  <c r="D34" i="2"/>
  <c r="J34" i="2" s="1"/>
  <c r="E34" i="2"/>
  <c r="K34" i="2" s="1"/>
  <c r="B33" i="2"/>
  <c r="C33" i="2"/>
  <c r="D33" i="2"/>
  <c r="J33" i="2" s="1"/>
  <c r="E33" i="2"/>
  <c r="K33" i="2" s="1"/>
  <c r="B32" i="2"/>
  <c r="C32" i="2"/>
  <c r="D32" i="2"/>
  <c r="J32" i="2" s="1"/>
  <c r="E32" i="2"/>
  <c r="K32" i="2" s="1"/>
  <c r="B31" i="2"/>
  <c r="C31" i="2"/>
  <c r="D31" i="2"/>
  <c r="J31" i="2" s="1"/>
  <c r="E31" i="2"/>
  <c r="K31" i="2" s="1"/>
  <c r="B30" i="2"/>
  <c r="C30" i="2"/>
  <c r="D30" i="2"/>
  <c r="J30" i="2" s="1"/>
  <c r="E30" i="2"/>
  <c r="K30" i="2" s="1"/>
  <c r="B29" i="2"/>
  <c r="C29" i="2"/>
  <c r="D29" i="2"/>
  <c r="J29" i="2" s="1"/>
  <c r="E29" i="2"/>
  <c r="K29" i="2" s="1"/>
  <c r="B28" i="2"/>
  <c r="C28" i="2"/>
  <c r="D28" i="2"/>
  <c r="J28" i="2" s="1"/>
  <c r="E28" i="2"/>
  <c r="K28" i="2" s="1"/>
  <c r="B27" i="2"/>
  <c r="C27" i="2"/>
  <c r="D27" i="2"/>
  <c r="J27" i="2" s="1"/>
  <c r="E27" i="2"/>
  <c r="K27" i="2" s="1"/>
  <c r="B26" i="2"/>
  <c r="C26" i="2"/>
  <c r="D26" i="2"/>
  <c r="J26" i="2" s="1"/>
  <c r="E26" i="2"/>
  <c r="K26" i="2" s="1"/>
  <c r="B25" i="2"/>
  <c r="C25" i="2"/>
  <c r="D25" i="2"/>
  <c r="J25" i="2" s="1"/>
  <c r="E25" i="2"/>
  <c r="K25" i="2" s="1"/>
  <c r="B24" i="2"/>
  <c r="C24" i="2"/>
  <c r="D24" i="2"/>
  <c r="J24" i="2" s="1"/>
  <c r="E24" i="2"/>
  <c r="K24" i="2" s="1"/>
  <c r="B23" i="2"/>
  <c r="C23" i="2"/>
  <c r="D23" i="2"/>
  <c r="J23" i="2" s="1"/>
  <c r="E23" i="2"/>
  <c r="K23" i="2" s="1"/>
  <c r="B22" i="2"/>
  <c r="C22" i="2"/>
  <c r="D22" i="2"/>
  <c r="J22" i="2" s="1"/>
  <c r="E22" i="2"/>
  <c r="K22" i="2" s="1"/>
  <c r="B21" i="2"/>
  <c r="C21" i="2"/>
  <c r="D21" i="2"/>
  <c r="J21" i="2" s="1"/>
  <c r="E21" i="2"/>
  <c r="K21" i="2" s="1"/>
  <c r="B20" i="2"/>
  <c r="C20" i="2"/>
  <c r="D20" i="2"/>
  <c r="J20" i="2" s="1"/>
  <c r="E20" i="2"/>
  <c r="K20" i="2" s="1"/>
  <c r="B19" i="2"/>
  <c r="C19" i="2"/>
  <c r="D19" i="2"/>
  <c r="J19" i="2" s="1"/>
  <c r="E19" i="2"/>
  <c r="K19" i="2" s="1"/>
  <c r="B18" i="2"/>
  <c r="C18" i="2"/>
  <c r="D18" i="2"/>
  <c r="J18" i="2" s="1"/>
  <c r="E18" i="2"/>
  <c r="K18" i="2" s="1"/>
  <c r="B17" i="2"/>
  <c r="C17" i="2"/>
  <c r="D17" i="2"/>
  <c r="J17" i="2" s="1"/>
  <c r="E17" i="2"/>
  <c r="K17" i="2" s="1"/>
  <c r="B16" i="2"/>
  <c r="C16" i="2"/>
  <c r="D16" i="2"/>
  <c r="J16" i="2" s="1"/>
  <c r="E16" i="2"/>
  <c r="K16" i="2" s="1"/>
  <c r="B15" i="2"/>
  <c r="C15" i="2"/>
  <c r="D15" i="2"/>
  <c r="J15" i="2" s="1"/>
  <c r="E15" i="2"/>
  <c r="K15" i="2" s="1"/>
  <c r="B14" i="2"/>
  <c r="C14" i="2"/>
  <c r="D14" i="2"/>
  <c r="J14" i="2" s="1"/>
  <c r="E14" i="2"/>
  <c r="K14" i="2" s="1"/>
  <c r="B13" i="2"/>
  <c r="C13" i="2"/>
  <c r="D13" i="2"/>
  <c r="J13" i="2" s="1"/>
  <c r="E13" i="2"/>
  <c r="K13" i="2" s="1"/>
  <c r="B12" i="2"/>
  <c r="C12" i="2"/>
  <c r="D12" i="2"/>
  <c r="J12" i="2" s="1"/>
  <c r="E12" i="2"/>
  <c r="K12" i="2" s="1"/>
  <c r="B11" i="2"/>
  <c r="C11" i="2"/>
  <c r="D11" i="2"/>
  <c r="J11" i="2" s="1"/>
  <c r="E11" i="2"/>
  <c r="K11" i="2" s="1"/>
  <c r="B10" i="2"/>
  <c r="C10" i="2"/>
  <c r="D10" i="2"/>
  <c r="J10" i="2" s="1"/>
  <c r="E10" i="2"/>
  <c r="K10" i="2" s="1"/>
  <c r="B9" i="2"/>
  <c r="C9" i="2"/>
  <c r="D9" i="2"/>
  <c r="J9" i="2" s="1"/>
  <c r="E9" i="2"/>
  <c r="K9" i="2" s="1"/>
  <c r="B8" i="2"/>
  <c r="C8" i="2"/>
  <c r="D8" i="2"/>
  <c r="J8" i="2" s="1"/>
  <c r="E8" i="2"/>
  <c r="K8" i="2" s="1"/>
  <c r="B7" i="2"/>
  <c r="C7" i="2"/>
  <c r="D7" i="2"/>
  <c r="J7" i="2" s="1"/>
  <c r="E7" i="2"/>
  <c r="K7" i="2" s="1"/>
  <c r="N237" i="1"/>
  <c r="F403" i="2" s="1"/>
  <c r="L403" i="2" s="1"/>
  <c r="M403" i="2" s="1"/>
  <c r="N402" i="1"/>
  <c r="F402" i="2" s="1"/>
  <c r="L402" i="2" s="1"/>
  <c r="M402" i="2" s="1"/>
  <c r="N401" i="1"/>
  <c r="F396" i="2" s="1"/>
  <c r="L396" i="2" s="1"/>
  <c r="M396" i="2" s="1"/>
  <c r="N400" i="1"/>
  <c r="F395" i="2" s="1"/>
  <c r="L395" i="2" s="1"/>
  <c r="M395" i="2" s="1"/>
  <c r="N399" i="1"/>
  <c r="F394" i="2" s="1"/>
  <c r="L394" i="2" s="1"/>
  <c r="M394" i="2" s="1"/>
  <c r="N398" i="1"/>
  <c r="F393" i="2" s="1"/>
  <c r="L393" i="2" s="1"/>
  <c r="M393" i="2" s="1"/>
  <c r="N397" i="1"/>
  <c r="F392" i="2" s="1"/>
  <c r="L392" i="2" s="1"/>
  <c r="M392" i="2" s="1"/>
  <c r="N396" i="1"/>
  <c r="F391" i="2" s="1"/>
  <c r="L391" i="2" s="1"/>
  <c r="M391" i="2" s="1"/>
  <c r="N395" i="1"/>
  <c r="F390" i="2" s="1"/>
  <c r="L390" i="2" s="1"/>
  <c r="M390" i="2" s="1"/>
  <c r="N394" i="1"/>
  <c r="F389" i="2" s="1"/>
  <c r="L389" i="2" s="1"/>
  <c r="M389" i="2" s="1"/>
  <c r="N393" i="1"/>
  <c r="F388" i="2" s="1"/>
  <c r="L388" i="2" s="1"/>
  <c r="M388" i="2" s="1"/>
  <c r="N392" i="1"/>
  <c r="F387" i="2" s="1"/>
  <c r="L387" i="2" s="1"/>
  <c r="M387" i="2" s="1"/>
  <c r="N391" i="1"/>
  <c r="F386" i="2" s="1"/>
  <c r="L386" i="2" s="1"/>
  <c r="M386" i="2" s="1"/>
  <c r="N390" i="1"/>
  <c r="F401" i="2" s="1"/>
  <c r="L401" i="2" s="1"/>
  <c r="M401" i="2" s="1"/>
  <c r="N389" i="1"/>
  <c r="F400" i="2" s="1"/>
  <c r="L400" i="2" s="1"/>
  <c r="M400" i="2" s="1"/>
  <c r="N388" i="1"/>
  <c r="F385" i="2" s="1"/>
  <c r="L385" i="2" s="1"/>
  <c r="M385" i="2" s="1"/>
  <c r="N387" i="1"/>
  <c r="F384" i="2" s="1"/>
  <c r="L384" i="2" s="1"/>
  <c r="M384" i="2" s="1"/>
  <c r="N386" i="1"/>
  <c r="F383" i="2" s="1"/>
  <c r="L383" i="2" s="1"/>
  <c r="M383" i="2" s="1"/>
  <c r="N385" i="1"/>
  <c r="F382" i="2" s="1"/>
  <c r="L382" i="2" s="1"/>
  <c r="M382" i="2" s="1"/>
  <c r="N384" i="1"/>
  <c r="F381" i="2" s="1"/>
  <c r="L381" i="2" s="1"/>
  <c r="M381" i="2" s="1"/>
  <c r="N383" i="1"/>
  <c r="F380" i="2" s="1"/>
  <c r="L380" i="2" s="1"/>
  <c r="M380" i="2" s="1"/>
  <c r="N382" i="1"/>
  <c r="F379" i="2" s="1"/>
  <c r="L379" i="2" s="1"/>
  <c r="M379" i="2" s="1"/>
  <c r="N381" i="1"/>
  <c r="F378" i="2" s="1"/>
  <c r="L378" i="2" s="1"/>
  <c r="M378" i="2" s="1"/>
  <c r="N380" i="1"/>
  <c r="F377" i="2" s="1"/>
  <c r="L377" i="2" s="1"/>
  <c r="M377" i="2" s="1"/>
  <c r="N379" i="1"/>
  <c r="F376" i="2" s="1"/>
  <c r="L376" i="2" s="1"/>
  <c r="M376" i="2" s="1"/>
  <c r="N378" i="1"/>
  <c r="F375" i="2" s="1"/>
  <c r="L375" i="2" s="1"/>
  <c r="M375" i="2" s="1"/>
  <c r="N377" i="1"/>
  <c r="F374" i="2" s="1"/>
  <c r="L374" i="2" s="1"/>
  <c r="M374" i="2" s="1"/>
  <c r="N376" i="1"/>
  <c r="F373" i="2" s="1"/>
  <c r="L373" i="2" s="1"/>
  <c r="M373" i="2" s="1"/>
  <c r="N375" i="1"/>
  <c r="F372" i="2" s="1"/>
  <c r="L372" i="2" s="1"/>
  <c r="M372" i="2" s="1"/>
  <c r="N374" i="1"/>
  <c r="F371" i="2" s="1"/>
  <c r="L371" i="2" s="1"/>
  <c r="M371" i="2" s="1"/>
  <c r="N373" i="1"/>
  <c r="F370" i="2" s="1"/>
  <c r="L370" i="2" s="1"/>
  <c r="M370" i="2" s="1"/>
  <c r="N372" i="1"/>
  <c r="F369" i="2" s="1"/>
  <c r="L369" i="2" s="1"/>
  <c r="M369" i="2" s="1"/>
  <c r="N371" i="1"/>
  <c r="F368" i="2" s="1"/>
  <c r="L368" i="2" s="1"/>
  <c r="M368" i="2" s="1"/>
  <c r="N370" i="1"/>
  <c r="F367" i="2" s="1"/>
  <c r="L367" i="2" s="1"/>
  <c r="M367" i="2" s="1"/>
  <c r="N369" i="1"/>
  <c r="F366" i="2" s="1"/>
  <c r="L366" i="2" s="1"/>
  <c r="M366" i="2" s="1"/>
  <c r="N368" i="1"/>
  <c r="F365" i="2" s="1"/>
  <c r="L365" i="2" s="1"/>
  <c r="M365" i="2" s="1"/>
  <c r="N367" i="1"/>
  <c r="F364" i="2" s="1"/>
  <c r="L364" i="2" s="1"/>
  <c r="M364" i="2" s="1"/>
  <c r="N366" i="1"/>
  <c r="F363" i="2" s="1"/>
  <c r="L363" i="2" s="1"/>
  <c r="M363" i="2" s="1"/>
  <c r="N365" i="1"/>
  <c r="F362" i="2" s="1"/>
  <c r="L362" i="2" s="1"/>
  <c r="M362" i="2" s="1"/>
  <c r="N364" i="1"/>
  <c r="F361" i="2" s="1"/>
  <c r="L361" i="2" s="1"/>
  <c r="M361" i="2" s="1"/>
  <c r="N363" i="1"/>
  <c r="F360" i="2" s="1"/>
  <c r="L360" i="2" s="1"/>
  <c r="M360" i="2" s="1"/>
  <c r="N362" i="1"/>
  <c r="F359" i="2" s="1"/>
  <c r="L359" i="2" s="1"/>
  <c r="M359" i="2" s="1"/>
  <c r="N361" i="1"/>
  <c r="F358" i="2" s="1"/>
  <c r="L358" i="2" s="1"/>
  <c r="M358" i="2" s="1"/>
  <c r="N360" i="1"/>
  <c r="F357" i="2" s="1"/>
  <c r="L357" i="2" s="1"/>
  <c r="M357" i="2" s="1"/>
  <c r="N359" i="1"/>
  <c r="F356" i="2" s="1"/>
  <c r="L356" i="2" s="1"/>
  <c r="M356" i="2" s="1"/>
  <c r="N358" i="1"/>
  <c r="F355" i="2" s="1"/>
  <c r="L355" i="2" s="1"/>
  <c r="M355" i="2" s="1"/>
  <c r="N357" i="1"/>
  <c r="F354" i="2" s="1"/>
  <c r="L354" i="2" s="1"/>
  <c r="M354" i="2" s="1"/>
  <c r="N356" i="1"/>
  <c r="F353" i="2" s="1"/>
  <c r="L353" i="2" s="1"/>
  <c r="M353" i="2" s="1"/>
  <c r="N355" i="1"/>
  <c r="F352" i="2" s="1"/>
  <c r="L352" i="2" s="1"/>
  <c r="M352" i="2" s="1"/>
  <c r="N354" i="1"/>
  <c r="F351" i="2" s="1"/>
  <c r="L351" i="2" s="1"/>
  <c r="M351" i="2" s="1"/>
  <c r="N353" i="1"/>
  <c r="F350" i="2" s="1"/>
  <c r="L350" i="2" s="1"/>
  <c r="M350" i="2" s="1"/>
  <c r="N352" i="1"/>
  <c r="F349" i="2" s="1"/>
  <c r="L349" i="2" s="1"/>
  <c r="M349" i="2" s="1"/>
  <c r="N351" i="1"/>
  <c r="F348" i="2" s="1"/>
  <c r="L348" i="2" s="1"/>
  <c r="M348" i="2" s="1"/>
  <c r="N350" i="1"/>
  <c r="F347" i="2" s="1"/>
  <c r="L347" i="2" s="1"/>
  <c r="M347" i="2" s="1"/>
  <c r="N349" i="1"/>
  <c r="F346" i="2" s="1"/>
  <c r="L346" i="2" s="1"/>
  <c r="M346" i="2" s="1"/>
  <c r="N348" i="1"/>
  <c r="F345" i="2" s="1"/>
  <c r="L345" i="2" s="1"/>
  <c r="M345" i="2" s="1"/>
  <c r="N347" i="1"/>
  <c r="F344" i="2" s="1"/>
  <c r="L344" i="2" s="1"/>
  <c r="M344" i="2" s="1"/>
  <c r="N346" i="1"/>
  <c r="F343" i="2" s="1"/>
  <c r="L343" i="2" s="1"/>
  <c r="M343" i="2" s="1"/>
  <c r="N345" i="1"/>
  <c r="F342" i="2" s="1"/>
  <c r="L342" i="2" s="1"/>
  <c r="M342" i="2" s="1"/>
  <c r="N344" i="1"/>
  <c r="F341" i="2" s="1"/>
  <c r="L341" i="2" s="1"/>
  <c r="M341" i="2" s="1"/>
  <c r="N343" i="1"/>
  <c r="N342" i="1"/>
  <c r="F340" i="2" s="1"/>
  <c r="L340" i="2" s="1"/>
  <c r="M340" i="2" s="1"/>
  <c r="N341" i="1"/>
  <c r="F339" i="2" s="1"/>
  <c r="L339" i="2" s="1"/>
  <c r="M339" i="2" s="1"/>
  <c r="N340" i="1"/>
  <c r="F338" i="2" s="1"/>
  <c r="L338" i="2" s="1"/>
  <c r="M338" i="2" s="1"/>
  <c r="N339" i="1"/>
  <c r="F337" i="2" s="1"/>
  <c r="L337" i="2" s="1"/>
  <c r="M337" i="2" s="1"/>
  <c r="N338" i="1"/>
  <c r="F336" i="2" s="1"/>
  <c r="L336" i="2" s="1"/>
  <c r="M336" i="2" s="1"/>
  <c r="N337" i="1"/>
  <c r="F335" i="2" s="1"/>
  <c r="L335" i="2" s="1"/>
  <c r="M335" i="2" s="1"/>
  <c r="N336" i="1"/>
  <c r="F334" i="2" s="1"/>
  <c r="L334" i="2" s="1"/>
  <c r="M334" i="2" s="1"/>
  <c r="N335" i="1"/>
  <c r="F333" i="2" s="1"/>
  <c r="L333" i="2" s="1"/>
  <c r="M333" i="2" s="1"/>
  <c r="N334" i="1"/>
  <c r="F332" i="2" s="1"/>
  <c r="L332" i="2" s="1"/>
  <c r="M332" i="2" s="1"/>
  <c r="N333" i="1"/>
  <c r="F331" i="2" s="1"/>
  <c r="L331" i="2" s="1"/>
  <c r="M331" i="2" s="1"/>
  <c r="N332" i="1"/>
  <c r="F330" i="2" s="1"/>
  <c r="L330" i="2" s="1"/>
  <c r="M330" i="2" s="1"/>
  <c r="N331" i="1"/>
  <c r="F329" i="2" s="1"/>
  <c r="L329" i="2" s="1"/>
  <c r="M329" i="2" s="1"/>
  <c r="N330" i="1"/>
  <c r="F328" i="2" s="1"/>
  <c r="L328" i="2" s="1"/>
  <c r="M328" i="2" s="1"/>
  <c r="N329" i="1"/>
  <c r="F327" i="2" s="1"/>
  <c r="L327" i="2" s="1"/>
  <c r="M327" i="2" s="1"/>
  <c r="N328" i="1"/>
  <c r="F326" i="2" s="1"/>
  <c r="L326" i="2" s="1"/>
  <c r="M326" i="2" s="1"/>
  <c r="N327" i="1"/>
  <c r="F325" i="2" s="1"/>
  <c r="L325" i="2" s="1"/>
  <c r="M325" i="2" s="1"/>
  <c r="N326" i="1"/>
  <c r="F324" i="2" s="1"/>
  <c r="L324" i="2" s="1"/>
  <c r="M324" i="2" s="1"/>
  <c r="N325" i="1"/>
  <c r="F323" i="2" s="1"/>
  <c r="L323" i="2" s="1"/>
  <c r="M323" i="2" s="1"/>
  <c r="N324" i="1"/>
  <c r="F322" i="2" s="1"/>
  <c r="L322" i="2" s="1"/>
  <c r="M322" i="2" s="1"/>
  <c r="N323" i="1"/>
  <c r="F321" i="2" s="1"/>
  <c r="L321" i="2" s="1"/>
  <c r="M321" i="2" s="1"/>
  <c r="N322" i="1"/>
  <c r="F320" i="2" s="1"/>
  <c r="L320" i="2" s="1"/>
  <c r="M320" i="2" s="1"/>
  <c r="N321" i="1"/>
  <c r="F319" i="2" s="1"/>
  <c r="L319" i="2" s="1"/>
  <c r="M319" i="2" s="1"/>
  <c r="N320" i="1"/>
  <c r="F318" i="2" s="1"/>
  <c r="L318" i="2" s="1"/>
  <c r="M318" i="2" s="1"/>
  <c r="N319" i="1"/>
  <c r="F317" i="2" s="1"/>
  <c r="L317" i="2" s="1"/>
  <c r="M317" i="2" s="1"/>
  <c r="N318" i="1"/>
  <c r="F316" i="2" s="1"/>
  <c r="L316" i="2" s="1"/>
  <c r="M316" i="2" s="1"/>
  <c r="N317" i="1"/>
  <c r="F315" i="2" s="1"/>
  <c r="L315" i="2" s="1"/>
  <c r="M315" i="2" s="1"/>
  <c r="N316" i="1"/>
  <c r="F314" i="2" s="1"/>
  <c r="L314" i="2" s="1"/>
  <c r="M314" i="2" s="1"/>
  <c r="N315" i="1"/>
  <c r="F313" i="2" s="1"/>
  <c r="L313" i="2" s="1"/>
  <c r="M313" i="2" s="1"/>
  <c r="N314" i="1"/>
  <c r="F312" i="2" s="1"/>
  <c r="L312" i="2" s="1"/>
  <c r="M312" i="2" s="1"/>
  <c r="N313" i="1"/>
  <c r="F311" i="2" s="1"/>
  <c r="L311" i="2" s="1"/>
  <c r="M311" i="2" s="1"/>
  <c r="N312" i="1"/>
  <c r="F310" i="2" s="1"/>
  <c r="L310" i="2" s="1"/>
  <c r="M310" i="2" s="1"/>
  <c r="N311" i="1"/>
  <c r="F309" i="2" s="1"/>
  <c r="L309" i="2" s="1"/>
  <c r="M309" i="2" s="1"/>
  <c r="N310" i="1"/>
  <c r="F308" i="2" s="1"/>
  <c r="L308" i="2" s="1"/>
  <c r="M308" i="2" s="1"/>
  <c r="N309" i="1"/>
  <c r="F307" i="2" s="1"/>
  <c r="L307" i="2" s="1"/>
  <c r="M307" i="2" s="1"/>
  <c r="N308" i="1"/>
  <c r="F306" i="2" s="1"/>
  <c r="L306" i="2" s="1"/>
  <c r="M306" i="2" s="1"/>
  <c r="N307" i="1"/>
  <c r="F305" i="2" s="1"/>
  <c r="L305" i="2" s="1"/>
  <c r="M305" i="2" s="1"/>
  <c r="N306" i="1"/>
  <c r="F304" i="2" s="1"/>
  <c r="L304" i="2" s="1"/>
  <c r="M304" i="2" s="1"/>
  <c r="N305" i="1"/>
  <c r="F303" i="2" s="1"/>
  <c r="L303" i="2" s="1"/>
  <c r="M303" i="2" s="1"/>
  <c r="N304" i="1"/>
  <c r="F302" i="2" s="1"/>
  <c r="L302" i="2" s="1"/>
  <c r="M302" i="2" s="1"/>
  <c r="N303" i="1"/>
  <c r="F301" i="2" s="1"/>
  <c r="L301" i="2" s="1"/>
  <c r="M301" i="2" s="1"/>
  <c r="N302" i="1"/>
  <c r="F300" i="2" s="1"/>
  <c r="L300" i="2" s="1"/>
  <c r="M300" i="2" s="1"/>
  <c r="N301" i="1"/>
  <c r="F299" i="2" s="1"/>
  <c r="L299" i="2" s="1"/>
  <c r="M299" i="2" s="1"/>
  <c r="N300" i="1"/>
  <c r="F298" i="2" s="1"/>
  <c r="L298" i="2" s="1"/>
  <c r="M298" i="2" s="1"/>
  <c r="N299" i="1"/>
  <c r="F297" i="2" s="1"/>
  <c r="L297" i="2" s="1"/>
  <c r="M297" i="2" s="1"/>
  <c r="N298" i="1"/>
  <c r="F296" i="2" s="1"/>
  <c r="L296" i="2" s="1"/>
  <c r="M296" i="2" s="1"/>
  <c r="N297" i="1"/>
  <c r="F295" i="2" s="1"/>
  <c r="L295" i="2" s="1"/>
  <c r="M295" i="2" s="1"/>
  <c r="N296" i="1"/>
  <c r="F294" i="2" s="1"/>
  <c r="L294" i="2" s="1"/>
  <c r="M294" i="2" s="1"/>
  <c r="N295" i="1"/>
  <c r="F293" i="2" s="1"/>
  <c r="L293" i="2" s="1"/>
  <c r="M293" i="2" s="1"/>
  <c r="N294" i="1"/>
  <c r="F292" i="2" s="1"/>
  <c r="L292" i="2" s="1"/>
  <c r="M292" i="2" s="1"/>
  <c r="N293" i="1"/>
  <c r="F291" i="2" s="1"/>
  <c r="L291" i="2" s="1"/>
  <c r="M291" i="2" s="1"/>
  <c r="N292" i="1"/>
  <c r="F290" i="2" s="1"/>
  <c r="L290" i="2" s="1"/>
  <c r="M290" i="2" s="1"/>
  <c r="N291" i="1"/>
  <c r="F289" i="2" s="1"/>
  <c r="L289" i="2" s="1"/>
  <c r="M289" i="2" s="1"/>
  <c r="N290" i="1"/>
  <c r="F288" i="2" s="1"/>
  <c r="L288" i="2" s="1"/>
  <c r="M288" i="2" s="1"/>
  <c r="N289" i="1"/>
  <c r="F287" i="2" s="1"/>
  <c r="L287" i="2" s="1"/>
  <c r="M287" i="2" s="1"/>
  <c r="N288" i="1"/>
  <c r="F286" i="2" s="1"/>
  <c r="L286" i="2" s="1"/>
  <c r="M286" i="2" s="1"/>
  <c r="N287" i="1"/>
  <c r="F285" i="2" s="1"/>
  <c r="L285" i="2" s="1"/>
  <c r="M285" i="2" s="1"/>
  <c r="N286" i="1"/>
  <c r="F284" i="2" s="1"/>
  <c r="L284" i="2" s="1"/>
  <c r="M284" i="2" s="1"/>
  <c r="N285" i="1"/>
  <c r="F283" i="2" s="1"/>
  <c r="L283" i="2" s="1"/>
  <c r="M283" i="2" s="1"/>
  <c r="N284" i="1"/>
  <c r="F282" i="2" s="1"/>
  <c r="L282" i="2" s="1"/>
  <c r="M282" i="2" s="1"/>
  <c r="N283" i="1"/>
  <c r="F281" i="2" s="1"/>
  <c r="L281" i="2" s="1"/>
  <c r="M281" i="2" s="1"/>
  <c r="N282" i="1"/>
  <c r="F280" i="2" s="1"/>
  <c r="L280" i="2" s="1"/>
  <c r="M280" i="2" s="1"/>
  <c r="N281" i="1"/>
  <c r="F279" i="2" s="1"/>
  <c r="L279" i="2" s="1"/>
  <c r="M279" i="2" s="1"/>
  <c r="N280" i="1"/>
  <c r="F278" i="2" s="1"/>
  <c r="L278" i="2" s="1"/>
  <c r="M278" i="2" s="1"/>
  <c r="N279" i="1"/>
  <c r="F277" i="2" s="1"/>
  <c r="L277" i="2" s="1"/>
  <c r="M277" i="2" s="1"/>
  <c r="N278" i="1"/>
  <c r="F276" i="2" s="1"/>
  <c r="L276" i="2" s="1"/>
  <c r="M276" i="2" s="1"/>
  <c r="N277" i="1"/>
  <c r="F275" i="2" s="1"/>
  <c r="L275" i="2" s="1"/>
  <c r="M275" i="2" s="1"/>
  <c r="N276" i="1"/>
  <c r="F274" i="2" s="1"/>
  <c r="L274" i="2" s="1"/>
  <c r="M274" i="2" s="1"/>
  <c r="N275" i="1"/>
  <c r="F273" i="2" s="1"/>
  <c r="L273" i="2" s="1"/>
  <c r="M273" i="2" s="1"/>
  <c r="N274" i="1"/>
  <c r="F272" i="2" s="1"/>
  <c r="L272" i="2" s="1"/>
  <c r="M272" i="2" s="1"/>
  <c r="N273" i="1"/>
  <c r="F271" i="2" s="1"/>
  <c r="L271" i="2" s="1"/>
  <c r="M271" i="2" s="1"/>
  <c r="N272" i="1"/>
  <c r="F270" i="2" s="1"/>
  <c r="L270" i="2" s="1"/>
  <c r="M270" i="2" s="1"/>
  <c r="N271" i="1"/>
  <c r="F269" i="2" s="1"/>
  <c r="L269" i="2" s="1"/>
  <c r="M269" i="2" s="1"/>
  <c r="N270" i="1"/>
  <c r="F268" i="2" s="1"/>
  <c r="L268" i="2" s="1"/>
  <c r="M268" i="2" s="1"/>
  <c r="N269" i="1"/>
  <c r="F267" i="2" s="1"/>
  <c r="L267" i="2" s="1"/>
  <c r="M267" i="2" s="1"/>
  <c r="N268" i="1"/>
  <c r="F266" i="2" s="1"/>
  <c r="L266" i="2" s="1"/>
  <c r="M266" i="2" s="1"/>
  <c r="N267" i="1"/>
  <c r="F265" i="2" s="1"/>
  <c r="L265" i="2" s="1"/>
  <c r="M265" i="2" s="1"/>
  <c r="N266" i="1"/>
  <c r="F264" i="2" s="1"/>
  <c r="L264" i="2" s="1"/>
  <c r="M264" i="2" s="1"/>
  <c r="N265" i="1"/>
  <c r="F263" i="2" s="1"/>
  <c r="L263" i="2" s="1"/>
  <c r="M263" i="2" s="1"/>
  <c r="N264" i="1"/>
  <c r="F262" i="2" s="1"/>
  <c r="L262" i="2" s="1"/>
  <c r="M262" i="2" s="1"/>
  <c r="N263" i="1"/>
  <c r="F261" i="2" s="1"/>
  <c r="L261" i="2" s="1"/>
  <c r="M261" i="2" s="1"/>
  <c r="N262" i="1"/>
  <c r="F260" i="2" s="1"/>
  <c r="L260" i="2" s="1"/>
  <c r="M260" i="2" s="1"/>
  <c r="N261" i="1"/>
  <c r="F259" i="2" s="1"/>
  <c r="L259" i="2" s="1"/>
  <c r="M259" i="2" s="1"/>
  <c r="N260" i="1"/>
  <c r="F258" i="2" s="1"/>
  <c r="L258" i="2" s="1"/>
  <c r="M258" i="2" s="1"/>
  <c r="N259" i="1"/>
  <c r="F257" i="2" s="1"/>
  <c r="L257" i="2" s="1"/>
  <c r="M257" i="2" s="1"/>
  <c r="N258" i="1"/>
  <c r="F256" i="2" s="1"/>
  <c r="L256" i="2" s="1"/>
  <c r="M256" i="2" s="1"/>
  <c r="N257" i="1"/>
  <c r="F255" i="2" s="1"/>
  <c r="L255" i="2" s="1"/>
  <c r="M255" i="2" s="1"/>
  <c r="N256" i="1"/>
  <c r="F254" i="2" s="1"/>
  <c r="L254" i="2" s="1"/>
  <c r="M254" i="2" s="1"/>
  <c r="N255" i="1"/>
  <c r="F253" i="2" s="1"/>
  <c r="L253" i="2" s="1"/>
  <c r="M253" i="2" s="1"/>
  <c r="N254" i="1"/>
  <c r="F252" i="2" s="1"/>
  <c r="L252" i="2" s="1"/>
  <c r="M252" i="2" s="1"/>
  <c r="N253" i="1"/>
  <c r="F251" i="2" s="1"/>
  <c r="L251" i="2" s="1"/>
  <c r="M251" i="2" s="1"/>
  <c r="N252" i="1"/>
  <c r="F250" i="2" s="1"/>
  <c r="L250" i="2" s="1"/>
  <c r="M250" i="2" s="1"/>
  <c r="N251" i="1"/>
  <c r="F249" i="2" s="1"/>
  <c r="L249" i="2" s="1"/>
  <c r="M249" i="2" s="1"/>
  <c r="N250" i="1"/>
  <c r="F248" i="2" s="1"/>
  <c r="L248" i="2" s="1"/>
  <c r="M248" i="2" s="1"/>
  <c r="N249" i="1"/>
  <c r="F247" i="2" s="1"/>
  <c r="L247" i="2" s="1"/>
  <c r="M247" i="2" s="1"/>
  <c r="N248" i="1"/>
  <c r="F246" i="2" s="1"/>
  <c r="L246" i="2" s="1"/>
  <c r="M246" i="2" s="1"/>
  <c r="N247" i="1"/>
  <c r="F245" i="2" s="1"/>
  <c r="L245" i="2" s="1"/>
  <c r="M245" i="2" s="1"/>
  <c r="N246" i="1"/>
  <c r="F244" i="2" s="1"/>
  <c r="L244" i="2" s="1"/>
  <c r="M244" i="2" s="1"/>
  <c r="N245" i="1"/>
  <c r="F243" i="2" s="1"/>
  <c r="L243" i="2" s="1"/>
  <c r="M243" i="2" s="1"/>
  <c r="N244" i="1"/>
  <c r="F242" i="2" s="1"/>
  <c r="L242" i="2" s="1"/>
  <c r="M242" i="2" s="1"/>
  <c r="N243" i="1"/>
  <c r="F241" i="2" s="1"/>
  <c r="L241" i="2" s="1"/>
  <c r="M241" i="2" s="1"/>
  <c r="N242" i="1"/>
  <c r="F240" i="2" s="1"/>
  <c r="L240" i="2" s="1"/>
  <c r="M240" i="2" s="1"/>
  <c r="N241" i="1"/>
  <c r="F239" i="2" s="1"/>
  <c r="L239" i="2" s="1"/>
  <c r="M239" i="2" s="1"/>
  <c r="N240" i="1"/>
  <c r="F238" i="2" s="1"/>
  <c r="L238" i="2" s="1"/>
  <c r="M238" i="2" s="1"/>
  <c r="N239" i="1"/>
  <c r="F237" i="2" s="1"/>
  <c r="L237" i="2" s="1"/>
  <c r="M237" i="2" s="1"/>
  <c r="N238" i="1"/>
  <c r="F236" i="2" s="1"/>
  <c r="L236" i="2" s="1"/>
  <c r="M236" i="2" s="1"/>
  <c r="N236" i="1"/>
  <c r="F399" i="2" s="1"/>
  <c r="L399" i="2" s="1"/>
  <c r="M399" i="2" s="1"/>
  <c r="N235" i="1"/>
  <c r="F398" i="2" s="1"/>
  <c r="L398" i="2" s="1"/>
  <c r="M398" i="2" s="1"/>
  <c r="N234" i="1"/>
  <c r="F397" i="2" s="1"/>
  <c r="L397" i="2" s="1"/>
  <c r="M397" i="2" s="1"/>
  <c r="N224" i="1"/>
  <c r="F226" i="2" s="1"/>
  <c r="L226" i="2" s="1"/>
  <c r="M226" i="2" s="1"/>
  <c r="N220" i="1"/>
  <c r="F222" i="2" s="1"/>
  <c r="L222" i="2" s="1"/>
  <c r="M222" i="2" s="1"/>
  <c r="N217" i="1"/>
  <c r="F219" i="2" s="1"/>
  <c r="L219" i="2" s="1"/>
  <c r="M219" i="2" s="1"/>
  <c r="N216" i="1"/>
  <c r="F414" i="2" s="1"/>
  <c r="L414" i="2" s="1"/>
  <c r="M414" i="2" s="1"/>
  <c r="N215" i="1"/>
  <c r="F413" i="2" s="1"/>
  <c r="L413" i="2" s="1"/>
  <c r="M413" i="2" s="1"/>
  <c r="N214" i="1"/>
  <c r="F412" i="2" s="1"/>
  <c r="L412" i="2" s="1"/>
  <c r="M412" i="2" s="1"/>
  <c r="N210" i="1"/>
  <c r="F215" i="2" s="1"/>
  <c r="L215" i="2" s="1"/>
  <c r="M215" i="2" s="1"/>
  <c r="N207" i="1"/>
  <c r="F212" i="2" s="1"/>
  <c r="L212" i="2" s="1"/>
  <c r="M212" i="2" s="1"/>
  <c r="N203" i="1"/>
  <c r="F208" i="2" s="1"/>
  <c r="L208" i="2" s="1"/>
  <c r="M208" i="2" s="1"/>
  <c r="N196" i="1"/>
  <c r="F201" i="2" s="1"/>
  <c r="L201" i="2" s="1"/>
  <c r="M201" i="2" s="1"/>
  <c r="N195" i="1"/>
  <c r="F200" i="2" s="1"/>
  <c r="L200" i="2" s="1"/>
  <c r="M200" i="2" s="1"/>
  <c r="N193" i="1"/>
  <c r="F198" i="2" s="1"/>
  <c r="L198" i="2" s="1"/>
  <c r="M198" i="2" s="1"/>
  <c r="N189" i="1"/>
  <c r="F194" i="2" s="1"/>
  <c r="L194" i="2" s="1"/>
  <c r="M194" i="2" s="1"/>
  <c r="N182" i="1"/>
  <c r="F187" i="2" s="1"/>
  <c r="L187" i="2" s="1"/>
  <c r="M187" i="2" s="1"/>
  <c r="N169" i="1"/>
  <c r="F174" i="2" s="1"/>
  <c r="L174" i="2" s="1"/>
  <c r="M174" i="2" s="1"/>
  <c r="N168" i="1"/>
  <c r="F173" i="2" s="1"/>
  <c r="L173" i="2" s="1"/>
  <c r="M173" i="2" s="1"/>
  <c r="N164" i="1"/>
  <c r="N159" i="1"/>
  <c r="F164" i="2" s="1"/>
  <c r="L164" i="2" s="1"/>
  <c r="M164" i="2" s="1"/>
  <c r="N158" i="1"/>
  <c r="F163" i="2" s="1"/>
  <c r="L163" i="2" s="1"/>
  <c r="M163" i="2" s="1"/>
  <c r="N155" i="1"/>
  <c r="F160" i="2" s="1"/>
  <c r="L160" i="2" s="1"/>
  <c r="M160" i="2" s="1"/>
  <c r="N154" i="1"/>
  <c r="F159" i="2" s="1"/>
  <c r="L159" i="2" s="1"/>
  <c r="M159" i="2" s="1"/>
  <c r="N153" i="1"/>
  <c r="F158" i="2" s="1"/>
  <c r="L158" i="2" s="1"/>
  <c r="M158" i="2" s="1"/>
  <c r="N152" i="1"/>
  <c r="F157" i="2" s="1"/>
  <c r="L157" i="2" s="1"/>
  <c r="M157" i="2" s="1"/>
  <c r="N151" i="1"/>
  <c r="F156" i="2" s="1"/>
  <c r="L156" i="2" s="1"/>
  <c r="M156" i="2" s="1"/>
  <c r="N150" i="1"/>
  <c r="F155" i="2" s="1"/>
  <c r="L155" i="2" s="1"/>
  <c r="M155" i="2" s="1"/>
  <c r="N144" i="1"/>
  <c r="F149" i="2" s="1"/>
  <c r="L149" i="2" s="1"/>
  <c r="M149" i="2" s="1"/>
  <c r="N134" i="1"/>
  <c r="F139" i="2" s="1"/>
  <c r="L139" i="2" s="1"/>
  <c r="M139" i="2" s="1"/>
  <c r="N116" i="1"/>
  <c r="F121" i="2" s="1"/>
  <c r="L121" i="2" s="1"/>
  <c r="M121" i="2" s="1"/>
  <c r="N107" i="1"/>
  <c r="F112" i="2" s="1"/>
  <c r="L112" i="2" s="1"/>
  <c r="M112" i="2" s="1"/>
  <c r="N106" i="1"/>
  <c r="F111" i="2" s="1"/>
  <c r="L111" i="2" s="1"/>
  <c r="M111" i="2" s="1"/>
  <c r="N99" i="1"/>
  <c r="F104" i="2" s="1"/>
  <c r="L104" i="2" s="1"/>
  <c r="M104" i="2" s="1"/>
  <c r="N88" i="1"/>
  <c r="F93" i="2" s="1"/>
  <c r="L93" i="2" s="1"/>
  <c r="M93" i="2" s="1"/>
  <c r="N61" i="1"/>
  <c r="F66" i="2" s="1"/>
  <c r="L66" i="2" s="1"/>
  <c r="M66" i="2" s="1"/>
  <c r="N52" i="1"/>
  <c r="F57" i="2" s="1"/>
  <c r="L57" i="2" s="1"/>
  <c r="M57" i="2" s="1"/>
  <c r="N34" i="1"/>
  <c r="F39" i="2" s="1"/>
  <c r="L39" i="2" s="1"/>
  <c r="M39" i="2" s="1"/>
  <c r="E4" i="2"/>
  <c r="N233" i="1"/>
  <c r="F235" i="2" s="1"/>
  <c r="L235" i="2" s="1"/>
  <c r="M235" i="2" s="1"/>
  <c r="N232" i="1"/>
  <c r="F234" i="2" s="1"/>
  <c r="L234" i="2" s="1"/>
  <c r="M234" i="2" s="1"/>
  <c r="N231" i="1"/>
  <c r="F233" i="2" s="1"/>
  <c r="L233" i="2" s="1"/>
  <c r="M233" i="2" s="1"/>
  <c r="N230" i="1"/>
  <c r="F232" i="2" s="1"/>
  <c r="L232" i="2" s="1"/>
  <c r="M232" i="2" s="1"/>
  <c r="N229" i="1"/>
  <c r="F231" i="2" s="1"/>
  <c r="L231" i="2" s="1"/>
  <c r="M231" i="2" s="1"/>
  <c r="N228" i="1"/>
  <c r="F230" i="2" s="1"/>
  <c r="L230" i="2" s="1"/>
  <c r="M230" i="2" s="1"/>
  <c r="N227" i="1"/>
  <c r="F229" i="2" s="1"/>
  <c r="L229" i="2" s="1"/>
  <c r="M229" i="2" s="1"/>
  <c r="N226" i="1"/>
  <c r="F228" i="2" s="1"/>
  <c r="L228" i="2" s="1"/>
  <c r="M228" i="2" s="1"/>
  <c r="N225" i="1"/>
  <c r="F227" i="2" s="1"/>
  <c r="L227" i="2" s="1"/>
  <c r="M227" i="2" s="1"/>
  <c r="N223" i="1"/>
  <c r="F225" i="2" s="1"/>
  <c r="L225" i="2" s="1"/>
  <c r="M225" i="2" s="1"/>
  <c r="N222" i="1"/>
  <c r="F224" i="2" s="1"/>
  <c r="L224" i="2" s="1"/>
  <c r="M224" i="2" s="1"/>
  <c r="N221" i="1"/>
  <c r="F223" i="2" s="1"/>
  <c r="L223" i="2" s="1"/>
  <c r="M223" i="2" s="1"/>
  <c r="N219" i="1"/>
  <c r="F221" i="2" s="1"/>
  <c r="L221" i="2" s="1"/>
  <c r="M221" i="2" s="1"/>
  <c r="N218" i="1"/>
  <c r="F220" i="2" s="1"/>
  <c r="L220" i="2" s="1"/>
  <c r="M220" i="2" s="1"/>
  <c r="N213" i="1"/>
  <c r="F218" i="2" s="1"/>
  <c r="L218" i="2" s="1"/>
  <c r="M218" i="2" s="1"/>
  <c r="N212" i="1"/>
  <c r="F217" i="2" s="1"/>
  <c r="L217" i="2" s="1"/>
  <c r="M217" i="2" s="1"/>
  <c r="N211" i="1"/>
  <c r="F216" i="2" s="1"/>
  <c r="L216" i="2" s="1"/>
  <c r="M216" i="2" s="1"/>
  <c r="N209" i="1"/>
  <c r="F214" i="2" s="1"/>
  <c r="L214" i="2" s="1"/>
  <c r="M214" i="2" s="1"/>
  <c r="N208" i="1"/>
  <c r="F213" i="2" s="1"/>
  <c r="L213" i="2" s="1"/>
  <c r="M213" i="2" s="1"/>
  <c r="N206" i="1"/>
  <c r="F211" i="2" s="1"/>
  <c r="L211" i="2" s="1"/>
  <c r="M211" i="2" s="1"/>
  <c r="N205" i="1"/>
  <c r="F210" i="2" s="1"/>
  <c r="L210" i="2" s="1"/>
  <c r="M210" i="2" s="1"/>
  <c r="N204" i="1"/>
  <c r="F209" i="2" s="1"/>
  <c r="L209" i="2" s="1"/>
  <c r="M209" i="2" s="1"/>
  <c r="N202" i="1"/>
  <c r="F207" i="2" s="1"/>
  <c r="L207" i="2" s="1"/>
  <c r="M207" i="2" s="1"/>
  <c r="N201" i="1"/>
  <c r="F206" i="2" s="1"/>
  <c r="L206" i="2" s="1"/>
  <c r="M206" i="2" s="1"/>
  <c r="N200" i="1"/>
  <c r="F205" i="2" s="1"/>
  <c r="L205" i="2" s="1"/>
  <c r="M205" i="2" s="1"/>
  <c r="N199" i="1"/>
  <c r="F204" i="2" s="1"/>
  <c r="L204" i="2" s="1"/>
  <c r="M204" i="2" s="1"/>
  <c r="N198" i="1"/>
  <c r="F203" i="2" s="1"/>
  <c r="L203" i="2" s="1"/>
  <c r="M203" i="2" s="1"/>
  <c r="N197" i="1"/>
  <c r="F202" i="2" s="1"/>
  <c r="L202" i="2" s="1"/>
  <c r="M202" i="2" s="1"/>
  <c r="N194" i="1"/>
  <c r="F199" i="2" s="1"/>
  <c r="L199" i="2" s="1"/>
  <c r="M199" i="2" s="1"/>
  <c r="N192" i="1"/>
  <c r="F197" i="2" s="1"/>
  <c r="L197" i="2" s="1"/>
  <c r="M197" i="2" s="1"/>
  <c r="N191" i="1"/>
  <c r="F196" i="2" s="1"/>
  <c r="L196" i="2" s="1"/>
  <c r="M196" i="2" s="1"/>
  <c r="N190" i="1"/>
  <c r="F195" i="2" s="1"/>
  <c r="L195" i="2" s="1"/>
  <c r="M195" i="2" s="1"/>
  <c r="N188" i="1"/>
  <c r="F193" i="2" s="1"/>
  <c r="L193" i="2" s="1"/>
  <c r="M193" i="2" s="1"/>
  <c r="N187" i="1"/>
  <c r="F192" i="2" s="1"/>
  <c r="L192" i="2" s="1"/>
  <c r="M192" i="2" s="1"/>
  <c r="N186" i="1"/>
  <c r="F191" i="2" s="1"/>
  <c r="L191" i="2" s="1"/>
  <c r="M191" i="2" s="1"/>
  <c r="N185" i="1"/>
  <c r="F190" i="2" s="1"/>
  <c r="L190" i="2" s="1"/>
  <c r="M190" i="2" s="1"/>
  <c r="N184" i="1"/>
  <c r="F189" i="2" s="1"/>
  <c r="L189" i="2" s="1"/>
  <c r="M189" i="2" s="1"/>
  <c r="N183" i="1"/>
  <c r="F188" i="2" s="1"/>
  <c r="L188" i="2" s="1"/>
  <c r="M188" i="2" s="1"/>
  <c r="N181" i="1"/>
  <c r="F186" i="2" s="1"/>
  <c r="L186" i="2" s="1"/>
  <c r="M186" i="2" s="1"/>
  <c r="N180" i="1"/>
  <c r="F185" i="2" s="1"/>
  <c r="L185" i="2" s="1"/>
  <c r="M185" i="2" s="1"/>
  <c r="N179" i="1"/>
  <c r="F184" i="2" s="1"/>
  <c r="L184" i="2" s="1"/>
  <c r="M184" i="2" s="1"/>
  <c r="N178" i="1"/>
  <c r="F183" i="2" s="1"/>
  <c r="L183" i="2" s="1"/>
  <c r="M183" i="2" s="1"/>
  <c r="N177" i="1"/>
  <c r="F182" i="2" s="1"/>
  <c r="L182" i="2" s="1"/>
  <c r="M182" i="2" s="1"/>
  <c r="N176" i="1"/>
  <c r="F181" i="2" s="1"/>
  <c r="L181" i="2" s="1"/>
  <c r="M181" i="2" s="1"/>
  <c r="N175" i="1"/>
  <c r="F180" i="2" s="1"/>
  <c r="L180" i="2" s="1"/>
  <c r="M180" i="2" s="1"/>
  <c r="N174" i="1"/>
  <c r="F179" i="2" s="1"/>
  <c r="L179" i="2" s="1"/>
  <c r="M179" i="2" s="1"/>
  <c r="N173" i="1"/>
  <c r="F178" i="2" s="1"/>
  <c r="L178" i="2" s="1"/>
  <c r="M178" i="2" s="1"/>
  <c r="N172" i="1"/>
  <c r="F177" i="2" s="1"/>
  <c r="L177" i="2" s="1"/>
  <c r="M177" i="2" s="1"/>
  <c r="N171" i="1"/>
  <c r="F176" i="2" s="1"/>
  <c r="L176" i="2" s="1"/>
  <c r="M176" i="2" s="1"/>
  <c r="N170" i="1"/>
  <c r="F175" i="2" s="1"/>
  <c r="L175" i="2" s="1"/>
  <c r="M175" i="2" s="1"/>
  <c r="N167" i="1"/>
  <c r="F172" i="2" s="1"/>
  <c r="L172" i="2" s="1"/>
  <c r="M172" i="2" s="1"/>
  <c r="N166" i="1"/>
  <c r="F171" i="2" s="1"/>
  <c r="L171" i="2" s="1"/>
  <c r="M171" i="2" s="1"/>
  <c r="N165" i="1"/>
  <c r="F170" i="2" s="1"/>
  <c r="L170" i="2" s="1"/>
  <c r="M170" i="2" s="1"/>
  <c r="N163" i="1"/>
  <c r="F168" i="2" s="1"/>
  <c r="L168" i="2" s="1"/>
  <c r="M168" i="2" s="1"/>
  <c r="N162" i="1"/>
  <c r="F167" i="2" s="1"/>
  <c r="L167" i="2" s="1"/>
  <c r="M167" i="2" s="1"/>
  <c r="N161" i="1"/>
  <c r="N160" i="1"/>
  <c r="F165" i="2" s="1"/>
  <c r="L165" i="2" s="1"/>
  <c r="M165" i="2" s="1"/>
  <c r="N157" i="1"/>
  <c r="F162" i="2" s="1"/>
  <c r="L162" i="2" s="1"/>
  <c r="M162" i="2" s="1"/>
  <c r="N156" i="1"/>
  <c r="F161" i="2" s="1"/>
  <c r="L161" i="2" s="1"/>
  <c r="M161" i="2" s="1"/>
  <c r="N149" i="1"/>
  <c r="F154" i="2" s="1"/>
  <c r="L154" i="2" s="1"/>
  <c r="M154" i="2" s="1"/>
  <c r="N148" i="1"/>
  <c r="F153" i="2" s="1"/>
  <c r="L153" i="2" s="1"/>
  <c r="M153" i="2" s="1"/>
  <c r="N147" i="1"/>
  <c r="F152" i="2" s="1"/>
  <c r="L152" i="2" s="1"/>
  <c r="M152" i="2" s="1"/>
  <c r="N146" i="1"/>
  <c r="F151" i="2" s="1"/>
  <c r="L151" i="2" s="1"/>
  <c r="M151" i="2" s="1"/>
  <c r="N145" i="1"/>
  <c r="F150" i="2" s="1"/>
  <c r="L150" i="2" s="1"/>
  <c r="M150" i="2" s="1"/>
  <c r="N143" i="1"/>
  <c r="F148" i="2" s="1"/>
  <c r="L148" i="2" s="1"/>
  <c r="M148" i="2" s="1"/>
  <c r="N142" i="1"/>
  <c r="F147" i="2" s="1"/>
  <c r="L147" i="2" s="1"/>
  <c r="M147" i="2" s="1"/>
  <c r="N141" i="1"/>
  <c r="F146" i="2" s="1"/>
  <c r="L146" i="2" s="1"/>
  <c r="M146" i="2" s="1"/>
  <c r="N140" i="1"/>
  <c r="F145" i="2" s="1"/>
  <c r="L145" i="2" s="1"/>
  <c r="M145" i="2" s="1"/>
  <c r="N139" i="1"/>
  <c r="F144" i="2" s="1"/>
  <c r="L144" i="2" s="1"/>
  <c r="M144" i="2" s="1"/>
  <c r="N138" i="1"/>
  <c r="F143" i="2" s="1"/>
  <c r="L143" i="2" s="1"/>
  <c r="M143" i="2" s="1"/>
  <c r="N137" i="1"/>
  <c r="F142" i="2" s="1"/>
  <c r="L142" i="2" s="1"/>
  <c r="M142" i="2" s="1"/>
  <c r="N136" i="1"/>
  <c r="F141" i="2" s="1"/>
  <c r="L141" i="2" s="1"/>
  <c r="M141" i="2" s="1"/>
  <c r="N135" i="1"/>
  <c r="F140" i="2" s="1"/>
  <c r="L140" i="2" s="1"/>
  <c r="M140" i="2" s="1"/>
  <c r="N133" i="1"/>
  <c r="F138" i="2" s="1"/>
  <c r="L138" i="2" s="1"/>
  <c r="M138" i="2" s="1"/>
  <c r="N132" i="1"/>
  <c r="F137" i="2" s="1"/>
  <c r="L137" i="2" s="1"/>
  <c r="M137" i="2" s="1"/>
  <c r="N131" i="1"/>
  <c r="F136" i="2" s="1"/>
  <c r="L136" i="2" s="1"/>
  <c r="M136" i="2" s="1"/>
  <c r="N130" i="1"/>
  <c r="F135" i="2" s="1"/>
  <c r="L135" i="2" s="1"/>
  <c r="M135" i="2" s="1"/>
  <c r="N129" i="1"/>
  <c r="F134" i="2" s="1"/>
  <c r="L134" i="2" s="1"/>
  <c r="M134" i="2" s="1"/>
  <c r="N128" i="1"/>
  <c r="F133" i="2" s="1"/>
  <c r="L133" i="2" s="1"/>
  <c r="M133" i="2" s="1"/>
  <c r="N127" i="1"/>
  <c r="F132" i="2" s="1"/>
  <c r="L132" i="2" s="1"/>
  <c r="M132" i="2" s="1"/>
  <c r="N126" i="1"/>
  <c r="F131" i="2" s="1"/>
  <c r="L131" i="2" s="1"/>
  <c r="M131" i="2" s="1"/>
  <c r="N125" i="1"/>
  <c r="F130" i="2" s="1"/>
  <c r="L130" i="2" s="1"/>
  <c r="M130" i="2" s="1"/>
  <c r="N124" i="1"/>
  <c r="F129" i="2" s="1"/>
  <c r="L129" i="2" s="1"/>
  <c r="M129" i="2" s="1"/>
  <c r="N123" i="1"/>
  <c r="F128" i="2" s="1"/>
  <c r="L128" i="2" s="1"/>
  <c r="M128" i="2" s="1"/>
  <c r="N122" i="1"/>
  <c r="F127" i="2" s="1"/>
  <c r="L127" i="2" s="1"/>
  <c r="M127" i="2" s="1"/>
  <c r="N121" i="1"/>
  <c r="F126" i="2" s="1"/>
  <c r="L126" i="2" s="1"/>
  <c r="M126" i="2" s="1"/>
  <c r="N120" i="1"/>
  <c r="F125" i="2" s="1"/>
  <c r="L125" i="2" s="1"/>
  <c r="M125" i="2" s="1"/>
  <c r="N119" i="1"/>
  <c r="F124" i="2" s="1"/>
  <c r="L124" i="2" s="1"/>
  <c r="M124" i="2" s="1"/>
  <c r="N118" i="1"/>
  <c r="F123" i="2" s="1"/>
  <c r="L123" i="2" s="1"/>
  <c r="M123" i="2" s="1"/>
  <c r="N117" i="1"/>
  <c r="F122" i="2" s="1"/>
  <c r="L122" i="2" s="1"/>
  <c r="M122" i="2" s="1"/>
  <c r="N115" i="1"/>
  <c r="F120" i="2" s="1"/>
  <c r="L120" i="2" s="1"/>
  <c r="M120" i="2" s="1"/>
  <c r="N114" i="1"/>
  <c r="F119" i="2" s="1"/>
  <c r="L119" i="2" s="1"/>
  <c r="M119" i="2" s="1"/>
  <c r="N113" i="1"/>
  <c r="F118" i="2" s="1"/>
  <c r="L118" i="2" s="1"/>
  <c r="M118" i="2" s="1"/>
  <c r="N112" i="1"/>
  <c r="F117" i="2" s="1"/>
  <c r="L117" i="2" s="1"/>
  <c r="M117" i="2" s="1"/>
  <c r="N111" i="1"/>
  <c r="F116" i="2" s="1"/>
  <c r="L116" i="2" s="1"/>
  <c r="M116" i="2" s="1"/>
  <c r="N110" i="1"/>
  <c r="F115" i="2" s="1"/>
  <c r="L115" i="2" s="1"/>
  <c r="M115" i="2" s="1"/>
  <c r="N109" i="1"/>
  <c r="F114" i="2" s="1"/>
  <c r="L114" i="2" s="1"/>
  <c r="M114" i="2" s="1"/>
  <c r="N108" i="1"/>
  <c r="F113" i="2" s="1"/>
  <c r="L113" i="2" s="1"/>
  <c r="M113" i="2" s="1"/>
  <c r="N105" i="1"/>
  <c r="F110" i="2" s="1"/>
  <c r="L110" i="2" s="1"/>
  <c r="M110" i="2" s="1"/>
  <c r="N104" i="1"/>
  <c r="F109" i="2" s="1"/>
  <c r="L109" i="2" s="1"/>
  <c r="M109" i="2" s="1"/>
  <c r="N103" i="1"/>
  <c r="F108" i="2" s="1"/>
  <c r="L108" i="2" s="1"/>
  <c r="M108" i="2" s="1"/>
  <c r="N102" i="1"/>
  <c r="N101" i="1"/>
  <c r="F106" i="2" s="1"/>
  <c r="L106" i="2" s="1"/>
  <c r="M106" i="2" s="1"/>
  <c r="N100" i="1"/>
  <c r="F105" i="2" s="1"/>
  <c r="L105" i="2" s="1"/>
  <c r="M105" i="2" s="1"/>
  <c r="N98" i="1"/>
  <c r="F103" i="2" s="1"/>
  <c r="L103" i="2" s="1"/>
  <c r="M103" i="2" s="1"/>
  <c r="N97" i="1"/>
  <c r="F102" i="2" s="1"/>
  <c r="L102" i="2" s="1"/>
  <c r="M102" i="2" s="1"/>
  <c r="N96" i="1"/>
  <c r="F101" i="2" s="1"/>
  <c r="L101" i="2" s="1"/>
  <c r="M101" i="2" s="1"/>
  <c r="N95" i="1"/>
  <c r="F100" i="2" s="1"/>
  <c r="L100" i="2" s="1"/>
  <c r="M100" i="2" s="1"/>
  <c r="N94" i="1"/>
  <c r="F99" i="2" s="1"/>
  <c r="L99" i="2" s="1"/>
  <c r="M99" i="2" s="1"/>
  <c r="N93" i="1"/>
  <c r="F98" i="2" s="1"/>
  <c r="L98" i="2" s="1"/>
  <c r="M98" i="2" s="1"/>
  <c r="N92" i="1"/>
  <c r="F97" i="2" s="1"/>
  <c r="L97" i="2" s="1"/>
  <c r="M97" i="2" s="1"/>
  <c r="N91" i="1"/>
  <c r="F96" i="2" s="1"/>
  <c r="L96" i="2" s="1"/>
  <c r="M96" i="2" s="1"/>
  <c r="N90" i="1"/>
  <c r="F95" i="2" s="1"/>
  <c r="L95" i="2" s="1"/>
  <c r="M95" i="2" s="1"/>
  <c r="N89" i="1"/>
  <c r="F94" i="2" s="1"/>
  <c r="L94" i="2" s="1"/>
  <c r="M94" i="2" s="1"/>
  <c r="N87" i="1"/>
  <c r="F92" i="2" s="1"/>
  <c r="L92" i="2" s="1"/>
  <c r="M92" i="2" s="1"/>
  <c r="N86" i="1"/>
  <c r="F91" i="2" s="1"/>
  <c r="L91" i="2" s="1"/>
  <c r="M91" i="2" s="1"/>
  <c r="N85" i="1"/>
  <c r="F90" i="2" s="1"/>
  <c r="L90" i="2" s="1"/>
  <c r="M90" i="2" s="1"/>
  <c r="N84" i="1"/>
  <c r="F89" i="2" s="1"/>
  <c r="L89" i="2" s="1"/>
  <c r="M89" i="2" s="1"/>
  <c r="N83" i="1"/>
  <c r="F88" i="2" s="1"/>
  <c r="L88" i="2" s="1"/>
  <c r="M88" i="2" s="1"/>
  <c r="N82" i="1"/>
  <c r="F87" i="2" s="1"/>
  <c r="L87" i="2" s="1"/>
  <c r="M87" i="2" s="1"/>
  <c r="N81" i="1"/>
  <c r="F86" i="2" s="1"/>
  <c r="L86" i="2" s="1"/>
  <c r="M86" i="2" s="1"/>
  <c r="N80" i="1"/>
  <c r="F85" i="2" s="1"/>
  <c r="L85" i="2" s="1"/>
  <c r="M85" i="2" s="1"/>
  <c r="N79" i="1"/>
  <c r="F84" i="2" s="1"/>
  <c r="L84" i="2" s="1"/>
  <c r="M84" i="2" s="1"/>
  <c r="N78" i="1"/>
  <c r="F83" i="2" s="1"/>
  <c r="L83" i="2" s="1"/>
  <c r="M83" i="2" s="1"/>
  <c r="N77" i="1"/>
  <c r="F82" i="2" s="1"/>
  <c r="L82" i="2" s="1"/>
  <c r="M82" i="2" s="1"/>
  <c r="N76" i="1"/>
  <c r="F81" i="2" s="1"/>
  <c r="L81" i="2" s="1"/>
  <c r="M81" i="2" s="1"/>
  <c r="N75" i="1"/>
  <c r="F80" i="2" s="1"/>
  <c r="L80" i="2" s="1"/>
  <c r="M80" i="2" s="1"/>
  <c r="N74" i="1"/>
  <c r="F79" i="2" s="1"/>
  <c r="L79" i="2" s="1"/>
  <c r="M79" i="2" s="1"/>
  <c r="N73" i="1"/>
  <c r="F78" i="2" s="1"/>
  <c r="L78" i="2" s="1"/>
  <c r="M78" i="2" s="1"/>
  <c r="N72" i="1"/>
  <c r="F77" i="2" s="1"/>
  <c r="L77" i="2" s="1"/>
  <c r="M77" i="2" s="1"/>
  <c r="N71" i="1"/>
  <c r="N70" i="1"/>
  <c r="F75" i="2" s="1"/>
  <c r="L75" i="2" s="1"/>
  <c r="M75" i="2" s="1"/>
  <c r="N69" i="1"/>
  <c r="F74" i="2" s="1"/>
  <c r="L74" i="2" s="1"/>
  <c r="M74" i="2" s="1"/>
  <c r="N68" i="1"/>
  <c r="F73" i="2" s="1"/>
  <c r="L73" i="2" s="1"/>
  <c r="M73" i="2" s="1"/>
  <c r="N67" i="1"/>
  <c r="F72" i="2" s="1"/>
  <c r="L72" i="2" s="1"/>
  <c r="M72" i="2" s="1"/>
  <c r="N66" i="1"/>
  <c r="F71" i="2" s="1"/>
  <c r="L71" i="2" s="1"/>
  <c r="M71" i="2" s="1"/>
  <c r="N65" i="1"/>
  <c r="F70" i="2" s="1"/>
  <c r="L70" i="2" s="1"/>
  <c r="M70" i="2" s="1"/>
  <c r="N64" i="1"/>
  <c r="F69" i="2" s="1"/>
  <c r="L69" i="2" s="1"/>
  <c r="M69" i="2" s="1"/>
  <c r="N63" i="1"/>
  <c r="F68" i="2" s="1"/>
  <c r="L68" i="2" s="1"/>
  <c r="M68" i="2" s="1"/>
  <c r="N62" i="1"/>
  <c r="F67" i="2" s="1"/>
  <c r="L67" i="2" s="1"/>
  <c r="M67" i="2" s="1"/>
  <c r="N60" i="1"/>
  <c r="F65" i="2" s="1"/>
  <c r="L65" i="2" s="1"/>
  <c r="M65" i="2" s="1"/>
  <c r="N59" i="1"/>
  <c r="F64" i="2" s="1"/>
  <c r="L64" i="2" s="1"/>
  <c r="M64" i="2" s="1"/>
  <c r="N58" i="1"/>
  <c r="F63" i="2" s="1"/>
  <c r="L63" i="2" s="1"/>
  <c r="M63" i="2" s="1"/>
  <c r="N57" i="1"/>
  <c r="F62" i="2" s="1"/>
  <c r="L62" i="2" s="1"/>
  <c r="M62" i="2" s="1"/>
  <c r="N56" i="1"/>
  <c r="F61" i="2" s="1"/>
  <c r="L61" i="2" s="1"/>
  <c r="M61" i="2" s="1"/>
  <c r="N55" i="1"/>
  <c r="F60" i="2" s="1"/>
  <c r="L60" i="2" s="1"/>
  <c r="M60" i="2" s="1"/>
  <c r="N54" i="1"/>
  <c r="F59" i="2" s="1"/>
  <c r="L59" i="2" s="1"/>
  <c r="M59" i="2" s="1"/>
  <c r="N53" i="1"/>
  <c r="F58" i="2" s="1"/>
  <c r="L58" i="2" s="1"/>
  <c r="M58" i="2" s="1"/>
  <c r="N51" i="1"/>
  <c r="F56" i="2" s="1"/>
  <c r="L56" i="2" s="1"/>
  <c r="M56" i="2" s="1"/>
  <c r="N50" i="1"/>
  <c r="F55" i="2" s="1"/>
  <c r="L55" i="2" s="1"/>
  <c r="M55" i="2" s="1"/>
  <c r="N49" i="1"/>
  <c r="F54" i="2" s="1"/>
  <c r="L54" i="2" s="1"/>
  <c r="M54" i="2" s="1"/>
  <c r="N48" i="1"/>
  <c r="F53" i="2" s="1"/>
  <c r="L53" i="2" s="1"/>
  <c r="M53" i="2" s="1"/>
  <c r="N47" i="1"/>
  <c r="F52" i="2" s="1"/>
  <c r="L52" i="2" s="1"/>
  <c r="M52" i="2" s="1"/>
  <c r="N46" i="1"/>
  <c r="F51" i="2" s="1"/>
  <c r="L51" i="2" s="1"/>
  <c r="M51" i="2" s="1"/>
  <c r="N45" i="1"/>
  <c r="F50" i="2" s="1"/>
  <c r="L50" i="2" s="1"/>
  <c r="M50" i="2" s="1"/>
  <c r="N44" i="1"/>
  <c r="F49" i="2" s="1"/>
  <c r="L49" i="2" s="1"/>
  <c r="M49" i="2" s="1"/>
  <c r="N43" i="1"/>
  <c r="F48" i="2" s="1"/>
  <c r="L48" i="2" s="1"/>
  <c r="M48" i="2" s="1"/>
  <c r="N42" i="1"/>
  <c r="F47" i="2" s="1"/>
  <c r="L47" i="2" s="1"/>
  <c r="M47" i="2" s="1"/>
  <c r="N41" i="1"/>
  <c r="N40" i="1"/>
  <c r="F45" i="2" s="1"/>
  <c r="L45" i="2" s="1"/>
  <c r="M45" i="2" s="1"/>
  <c r="N39" i="1"/>
  <c r="F44" i="2" s="1"/>
  <c r="L44" i="2" s="1"/>
  <c r="M44" i="2" s="1"/>
  <c r="N38" i="1"/>
  <c r="F43" i="2" s="1"/>
  <c r="L43" i="2" s="1"/>
  <c r="M43" i="2" s="1"/>
  <c r="N37" i="1"/>
  <c r="F42" i="2" s="1"/>
  <c r="L42" i="2" s="1"/>
  <c r="M42" i="2" s="1"/>
  <c r="N36" i="1"/>
  <c r="F41" i="2" s="1"/>
  <c r="L41" i="2" s="1"/>
  <c r="M41" i="2" s="1"/>
  <c r="N35" i="1"/>
  <c r="F40" i="2" s="1"/>
  <c r="L40" i="2" s="1"/>
  <c r="M40" i="2" s="1"/>
  <c r="N33" i="1"/>
  <c r="F38" i="2" s="1"/>
  <c r="L38" i="2" s="1"/>
  <c r="M38" i="2" s="1"/>
  <c r="N32" i="1"/>
  <c r="F37" i="2" s="1"/>
  <c r="L37" i="2" s="1"/>
  <c r="M37" i="2" s="1"/>
  <c r="N31" i="1"/>
  <c r="F36" i="2" s="1"/>
  <c r="L36" i="2" s="1"/>
  <c r="M36" i="2" s="1"/>
  <c r="N30" i="1"/>
  <c r="N29" i="1"/>
  <c r="F34" i="2" s="1"/>
  <c r="L34" i="2" s="1"/>
  <c r="M34" i="2" s="1"/>
  <c r="N28" i="1"/>
  <c r="F33" i="2" s="1"/>
  <c r="L33" i="2" s="1"/>
  <c r="M33" i="2" s="1"/>
  <c r="N27" i="1"/>
  <c r="F32" i="2" s="1"/>
  <c r="L32" i="2" s="1"/>
  <c r="M32" i="2" s="1"/>
  <c r="N26" i="1"/>
  <c r="F31" i="2" s="1"/>
  <c r="L31" i="2" s="1"/>
  <c r="M31" i="2" s="1"/>
  <c r="N25" i="1"/>
  <c r="F30" i="2" s="1"/>
  <c r="L30" i="2" s="1"/>
  <c r="M30" i="2" s="1"/>
  <c r="N24" i="1"/>
  <c r="F29" i="2" s="1"/>
  <c r="L29" i="2" s="1"/>
  <c r="M29" i="2" s="1"/>
  <c r="N23" i="1"/>
  <c r="F28" i="2" s="1"/>
  <c r="L28" i="2" s="1"/>
  <c r="M28" i="2" s="1"/>
  <c r="N22" i="1"/>
  <c r="F27" i="2" s="1"/>
  <c r="L27" i="2" s="1"/>
  <c r="M27" i="2" s="1"/>
  <c r="N21" i="1"/>
  <c r="F26" i="2" s="1"/>
  <c r="L26" i="2" s="1"/>
  <c r="M26" i="2" s="1"/>
  <c r="N20" i="1"/>
  <c r="F25" i="2" s="1"/>
  <c r="L25" i="2" s="1"/>
  <c r="M25" i="2" s="1"/>
  <c r="N19" i="1"/>
  <c r="F24" i="2" s="1"/>
  <c r="L24" i="2" s="1"/>
  <c r="M24" i="2" s="1"/>
  <c r="N18" i="1"/>
  <c r="F23" i="2" s="1"/>
  <c r="L23" i="2" s="1"/>
  <c r="M23" i="2" s="1"/>
  <c r="N17" i="1"/>
  <c r="F22" i="2" s="1"/>
  <c r="L22" i="2" s="1"/>
  <c r="M22" i="2" s="1"/>
  <c r="N16" i="1"/>
  <c r="F21" i="2" s="1"/>
  <c r="L21" i="2" s="1"/>
  <c r="M21" i="2" s="1"/>
  <c r="N15" i="1"/>
  <c r="F20" i="2" s="1"/>
  <c r="L20" i="2" s="1"/>
  <c r="M20" i="2" s="1"/>
  <c r="N14" i="1"/>
  <c r="F19" i="2" s="1"/>
  <c r="L19" i="2" s="1"/>
  <c r="M19" i="2" s="1"/>
  <c r="N13" i="1"/>
  <c r="N12" i="1"/>
  <c r="N11" i="1"/>
  <c r="F16" i="2" s="1"/>
  <c r="L16" i="2" s="1"/>
  <c r="M16" i="2" s="1"/>
  <c r="N10" i="1"/>
  <c r="F15" i="2" s="1"/>
  <c r="L15" i="2" s="1"/>
  <c r="M15" i="2" s="1"/>
  <c r="N9" i="1"/>
  <c r="F14" i="2" s="1"/>
  <c r="L14" i="2" s="1"/>
  <c r="M14" i="2" s="1"/>
  <c r="N8" i="1"/>
  <c r="F13" i="2" s="1"/>
  <c r="L13" i="2" s="1"/>
  <c r="M13" i="2" s="1"/>
  <c r="N7" i="1"/>
  <c r="F12" i="2" s="1"/>
  <c r="L12" i="2" s="1"/>
  <c r="M12" i="2" s="1"/>
  <c r="N6" i="1"/>
  <c r="F11" i="2" s="1"/>
  <c r="L11" i="2" s="1"/>
  <c r="M11" i="2" s="1"/>
  <c r="N5" i="1"/>
  <c r="F10" i="2" s="1"/>
  <c r="L10" i="2" s="1"/>
  <c r="M10" i="2" s="1"/>
  <c r="N4" i="1"/>
  <c r="N3" i="1"/>
  <c r="F8" i="2" s="1"/>
  <c r="L8" i="2" s="1"/>
  <c r="M8" i="2" s="1"/>
  <c r="N2" i="1"/>
  <c r="F17" i="2" l="1"/>
  <c r="L17" i="2" s="1"/>
  <c r="M17" i="2" s="1"/>
  <c r="C10" i="3"/>
  <c r="F9" i="2"/>
  <c r="L9" i="2" s="1"/>
  <c r="M9" i="2" s="1"/>
  <c r="C11" i="3"/>
  <c r="F169" i="2"/>
  <c r="L169" i="2" s="1"/>
  <c r="M169" i="2" s="1"/>
  <c r="C12" i="3"/>
  <c r="C5" i="3"/>
  <c r="E5" i="3" s="1"/>
  <c r="N696" i="1"/>
  <c r="C5" i="7"/>
  <c r="G5" i="7" s="1"/>
  <c r="N17" i="8"/>
  <c r="C10" i="7"/>
  <c r="E10" i="7" s="1"/>
  <c r="F7" i="6"/>
  <c r="L7" i="6" s="1"/>
  <c r="C4" i="6"/>
  <c r="G4" i="6" s="1"/>
  <c r="G5" i="3"/>
  <c r="F166" i="2"/>
  <c r="L166" i="2" s="1"/>
  <c r="M166" i="2" s="1"/>
  <c r="C15" i="3"/>
  <c r="F46" i="2"/>
  <c r="L46" i="2" s="1"/>
  <c r="M46" i="2" s="1"/>
  <c r="C14" i="3"/>
  <c r="F35" i="2"/>
  <c r="L35" i="2" s="1"/>
  <c r="M35" i="2" s="1"/>
  <c r="C13" i="3"/>
  <c r="N15" i="5"/>
  <c r="F76" i="2"/>
  <c r="L76" i="2" s="1"/>
  <c r="M76" i="2" s="1"/>
  <c r="C16" i="3"/>
  <c r="F9" i="3"/>
  <c r="F10" i="3"/>
  <c r="G11" i="3"/>
  <c r="F12" i="3"/>
  <c r="G12" i="3"/>
  <c r="G9" i="3"/>
  <c r="G10" i="3"/>
  <c r="F404" i="2"/>
  <c r="L404" i="2" s="1"/>
  <c r="M404" i="2" s="1"/>
  <c r="F11" i="3"/>
  <c r="F107" i="2"/>
  <c r="L107" i="2" s="1"/>
  <c r="M107" i="2" s="1"/>
  <c r="C17" i="3"/>
  <c r="F18" i="2"/>
  <c r="L18" i="2" s="1"/>
  <c r="M18" i="2" s="1"/>
  <c r="C18" i="3"/>
  <c r="F7" i="2"/>
  <c r="A23" i="3" a="1"/>
  <c r="J10" i="3"/>
  <c r="L24" i="3"/>
  <c r="M24" i="3" s="1"/>
  <c r="L29" i="3"/>
  <c r="L23" i="3"/>
  <c r="M23" i="3" s="1"/>
  <c r="J9" i="3"/>
  <c r="L7" i="2" l="1"/>
  <c r="I5" i="7" s="1"/>
  <c r="J39" i="3" a="1"/>
  <c r="A39" i="3" a="1"/>
  <c r="L26" i="3"/>
  <c r="L25" i="3"/>
  <c r="I5" i="3" l="1"/>
  <c r="M7" i="2"/>
  <c r="C4" i="2"/>
  <c r="G4" i="2" s="1"/>
  <c r="H10" i="7" l="1"/>
  <c r="I10" i="7"/>
  <c r="J10" i="7"/>
  <c r="K4" i="2"/>
  <c r="I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<sst xmlns="http://schemas.openxmlformats.org/spreadsheetml/2006/main" count="25469" uniqueCount="21915">
  <si>
    <t>Artikelnummer</t>
  </si>
  <si>
    <t>Titel</t>
  </si>
  <si>
    <t>Verlag</t>
  </si>
  <si>
    <t>Ort / Region</t>
  </si>
  <si>
    <t>Kategorie / Motiv</t>
  </si>
  <si>
    <t>Erhaltungszustand</t>
  </si>
  <si>
    <t>Zustand Details</t>
  </si>
  <si>
    <t>Gelaufen (J/N)</t>
  </si>
  <si>
    <t>Baujahr / Postamt</t>
  </si>
  <si>
    <t>Stempel Info</t>
  </si>
  <si>
    <t>Empfänger / Absender</t>
  </si>
  <si>
    <t>Wert Min (€)</t>
  </si>
  <si>
    <t>Wert Max (€)</t>
  </si>
  <si>
    <t>Verkaufspreis (€)</t>
  </si>
  <si>
    <t>Status</t>
  </si>
  <si>
    <t>Besondere Merkmale</t>
  </si>
  <si>
    <t>AK-2026-0001</t>
  </si>
  <si>
    <t>München – Karlsplatz (Stachus) mit Steinbogen und Stadtwappen</t>
  </si>
  <si>
    <t>Historischer Kunstverlag</t>
  </si>
  <si>
    <t>München</t>
  </si>
  <si>
    <t>Topografie / Stadtansicht</t>
  </si>
  <si>
    <t>Gut (Z2)</t>
  </si>
  <si>
    <t>Schöne Lithografie mit Zierrahmen, gelaufen</t>
  </si>
  <si>
    <t>Ja</t>
  </si>
  <si>
    <t>ca. 1905</t>
  </si>
  <si>
    <t>München Postamt</t>
  </si>
  <si>
    <t>Sammlungsbestand</t>
  </si>
  <si>
    <t>Im Bestand</t>
  </si>
  <si>
    <t>Lithografie, Wappen</t>
  </si>
  <si>
    <t>AK-2026-0002</t>
  </si>
  <si>
    <t>Straubing – Ludwigsplatz (Blick vom unteren Tor)</t>
  </si>
  <si>
    <t>Lokaler Verlag Straubing</t>
  </si>
  <si>
    <t>Straubing</t>
  </si>
  <si>
    <t>Topografie / Straßenbild</t>
  </si>
  <si>
    <t>Vorderseitig beschrieben, sauberer Erhalt</t>
  </si>
  <si>
    <t>ca. 1908</t>
  </si>
  <si>
    <t>Historischer Straßenzug</t>
  </si>
  <si>
    <t>AK-2026-0003</t>
  </si>
  <si>
    <t>Nürnberg – Schöner Brunnen mit Marktgeschehen</t>
  </si>
  <si>
    <t>Ottmar Zieher</t>
  </si>
  <si>
    <t>Nürnberg</t>
  </si>
  <si>
    <t>Topografie / Sehenswürdigkeit</t>
  </si>
  <si>
    <t>Altersentsprechend (Z2-3)</t>
  </si>
  <si>
    <t>Vorderseite stark beschrieben, optischer Zustand etwas eingeschränkt</t>
  </si>
  <si>
    <t>ca. 1906</t>
  </si>
  <si>
    <t>Marktgeschehen, beschriebene Vorderseite</t>
  </si>
  <si>
    <t>AK-2026-0004</t>
  </si>
  <si>
    <t>Beratzhausen – Gesamtansicht (gelaufen über Holnstein nach Lupburg)</t>
  </si>
  <si>
    <t>Lokaler Verlag</t>
  </si>
  <si>
    <t>Beratzhausen / Holnstein</t>
  </si>
  <si>
    <t>Topografie / Oberpfalz</t>
  </si>
  <si>
    <t>Sehr gut (Z1-2)</t>
  </si>
  <si>
    <t>Sauber gestempelt, schöne Handschrift</t>
  </si>
  <si>
    <t>1909</t>
  </si>
  <si>
    <t>Holnstein / Lupburg</t>
  </si>
  <si>
    <t>An Josef Pauerer</t>
  </si>
  <si>
    <t>Heimatkarte Oberpfalz, Stempel Holnstein</t>
  </si>
  <si>
    <t>AK-2026-0005</t>
  </si>
  <si>
    <t>München – Künstler-Jubiläumskarte 1821–1911 (W. Diez, Oscar Consée)</t>
  </si>
  <si>
    <t>Oscar Consée, München 5</t>
  </si>
  <si>
    <t>Künstlerkarte / Jubiläum</t>
  </si>
  <si>
    <t>Sehr gut (Z1)</t>
  </si>
  <si>
    <t>Ungelaufen, brillante Farben</t>
  </si>
  <si>
    <t>Nein</t>
  </si>
  <si>
    <t>1910 / 1911</t>
  </si>
  <si>
    <t>Ungestempelt</t>
  </si>
  <si>
    <t>Unbeschrieben</t>
  </si>
  <si>
    <t>Signiert W. Diez, Prinzregent Luitpold Jubiläum</t>
  </si>
  <si>
    <t>AK-2026-0006</t>
  </si>
  <si>
    <t>München – Künstler-Jubiläumskarte 1821–1911 (gelaufen nach Beratzhausen 1911)</t>
  </si>
  <si>
    <t>München / Beratzhausen</t>
  </si>
  <si>
    <t>Gelaufen mit Marke und Stempel Lupburg 1911</t>
  </si>
  <si>
    <t>1911</t>
  </si>
  <si>
    <t>Lupburg, 10.03.1911</t>
  </si>
  <si>
    <t>Josef Pauerer / Josef Vogl Geschwister</t>
  </si>
  <si>
    <t>Sütterlin-Text, Prinzregent Luitpold</t>
  </si>
  <si>
    <t>AK-2026-0007</t>
  </si>
  <si>
    <t>München – Künstler-Jubiläumskarte 1911 mit Kindern (gelaufen nach Beratzhausen)</t>
  </si>
  <si>
    <t>Befriedigend bis Gut (Z2-3)</t>
  </si>
  <si>
    <t>Starke Flecken/Verschmutzungen am Unterrand</t>
  </si>
  <si>
    <t>Josef Pauerer / Vater, Mutti &amp; Geschwister</t>
  </si>
  <si>
    <t>Kindermotiv, Randverschmutzungen</t>
  </si>
  <si>
    <t>AK-2026-0008</t>
  </si>
  <si>
    <t>München – Künstler-Jubiläumskarte 1911 mit Kindern (ungelaufen, Randspuren)</t>
  </si>
  <si>
    <t>Vorderseitig leichte Klebe- und Schmutzspuren unten, ungelaufen</t>
  </si>
  <si>
    <t>ca. 1911</t>
  </si>
  <si>
    <t>Kindermotiv, ungelaufene Variante</t>
  </si>
  <si>
    <t>AK-2026-0009</t>
  </si>
  <si>
    <t>München – Künstler-Jubiläumskarte 1911 mit Kindern (sauberer Zustand, ungelaufen)</t>
  </si>
  <si>
    <t>Vorderseite sauber, Kanten gut erhalten, ungelaufen</t>
  </si>
  <si>
    <t>Kindermotiv, sehr guter Zustand</t>
  </si>
  <si>
    <t>AK-2026-0010</t>
  </si>
  <si>
    <t>Nürnberg – Prinzregenten-Denkmal mit Edelweiß-Prägung</t>
  </si>
  <si>
    <t>Paul Seyfert, Dresden (No. 904)</t>
  </si>
  <si>
    <t>Denkmäler / Prägekarte</t>
  </si>
  <si>
    <t>Vorderseite kräftige Prägung, leichte Eckenbestoßung unten; gelaufen mit 5-Pfennig Bayern-Marke</t>
  </si>
  <si>
    <t>1901</t>
  </si>
  <si>
    <t>Nürnberg / Schleiz, 03.05.1901</t>
  </si>
  <si>
    <t>Otto Rahtel, b. Schleiz (Reuß)</t>
  </si>
  <si>
    <t>Prägung / Relief, Edelweiß, Sütterlin / Handschrift</t>
  </si>
  <si>
    <t>AK-2026-0011</t>
  </si>
  <si>
    <t>Regensburg – Emmeranerthor mit Seitenflügel des Fürstlichen Taxis Palais</t>
  </si>
  <si>
    <t>Jacob Frankel, Regensburg (No. 565)</t>
  </si>
  <si>
    <t>Regensburg</t>
  </si>
  <si>
    <t>Topografie / Lithografie</t>
  </si>
  <si>
    <t>Vorderseitig mit Wappen und Relief, gelaufen mit 5-Pfennig Bayern-Marke</t>
  </si>
  <si>
    <t>Regensburg / Wiesenfelden, 13.12.1901</t>
  </si>
  <si>
    <t>Hochwürden Herrn Pfarrer Anton Windhager, Wiesenfelden b. Wörth a.d. Donau</t>
  </si>
  <si>
    <t>Lithografie, Wappen, Relief, Fürst Thurn und Taxis</t>
  </si>
  <si>
    <t>AK-2026-0012</t>
  </si>
  <si>
    <t>Passau – Panorama-Gesamtansicht vom Fluss aus</t>
  </si>
  <si>
    <t>A. Hermann, Passau</t>
  </si>
  <si>
    <t>Passau</t>
  </si>
  <si>
    <t>Vorderseitig mit handschriftlichem Text, gelaufen mit 5-Pfennig Bayern-Marke</t>
  </si>
  <si>
    <t>Passau / Wiesenfelden, 27.08.1903</t>
  </si>
  <si>
    <t>Kolorierte Lithografie, Flussansicht, Sütterlin / Handschrift</t>
  </si>
  <si>
    <t>AK-2026-0013</t>
  </si>
  <si>
    <t>München – Karlstor mit bayerischem Wappen und Löwen</t>
  </si>
  <si>
    <t>Historischer Kunstverlag / Litho</t>
  </si>
  <si>
    <t>Prächtige Wappen-Lithografie mit Sütterlin-Text, gelaufen mit 5-Pfennig Bayern-Marke</t>
  </si>
  <si>
    <t>München / Straubing / Wiesenfelden, 18.08.1901</t>
  </si>
  <si>
    <t>Lithografie, Bayerisches Wappen, Löwen, Karlstor</t>
  </si>
  <si>
    <t>AK-2026-0014</t>
  </si>
  <si>
    <t>Regensburg – Gruss aus Regensburg (Dom, Bischof Ignatius, Altar)</t>
  </si>
  <si>
    <t>Verlag von Jakob Frankel, Regensburg (No. 100)</t>
  </si>
  <si>
    <t>Topografie / Mehrbild-Lithografie</t>
  </si>
  <si>
    <t>Mehrbild-Lithografie mit Porträt Bischof Ignatius, gelaufen mit 5-Pfennig Bayern-Marke</t>
  </si>
  <si>
    <t>Regensburg / Straubing / Wiesenfelden, 09.06.1900</t>
  </si>
  <si>
    <t>H. Hochwürden Herrn Pfarrer Anton Windhager, Wiesenfelden b. Wörth a.d. Donau</t>
  </si>
  <si>
    <t>Lithografie, Bischof Ignatius, Dom Regensburg, Mehrbild</t>
  </si>
  <si>
    <t>AK-2026-0015</t>
  </si>
  <si>
    <t>München – Gruss vom Hofbräuhaus (Junge mit Bierkrug und Dackel)</t>
  </si>
  <si>
    <t>Ottmar Zieher, München</t>
  </si>
  <si>
    <t>Künstlerkarte / Humor</t>
  </si>
  <si>
    <t>Farbige Litho mit Junge in Tracht und Dackel, gelaufen mit 5-Pfennig Bayern-Marke</t>
  </si>
  <si>
    <t>Straubing / Wiesenfelden, 11.03.1902</t>
  </si>
  <si>
    <t>Ottmar Zieher Verlag, Hofbräuhaus, Dackel, Tracht</t>
  </si>
  <si>
    <t>AK-2026-0016</t>
  </si>
  <si>
    <t>Regensburg – Gruss aus Regensburg (Walhalla, Brücke, Neupfarrkirche)</t>
  </si>
  <si>
    <t>Verlag von Jakob Frankel, Regensburg</t>
  </si>
  <si>
    <t>Farbige Lithografie mit Weinlaub-Rahmung, gelaufen mit 5-Pfennig Bayern-Marke</t>
  </si>
  <si>
    <t>Regensburg / Straubing / Wiesenfelden, 15.07.1899</t>
  </si>
  <si>
    <t>Hochwürden Hochwohlgeboren Herrn Anton Windhager, Pfarrer, Wiesenfelden b. Wörth a.d. Donau</t>
  </si>
  <si>
    <t>Mehrbild, Walhalla, Steinerne Brücke, Jugendstil-Ornamentik</t>
  </si>
  <si>
    <t>AK-2026-0017</t>
  </si>
  <si>
    <t>Regensburg – Moltkeplatz im Schnee (Nachtschneekarte mit Dom)</t>
  </si>
  <si>
    <t>Hermann Martin, Kunstverlag, Nürnberg (No. 939)</t>
  </si>
  <si>
    <t>Topografie / Nachtschneekarte</t>
  </si>
  <si>
    <t>Stimmungsvolle Nachtansicht im Schnee mit Sternenhimmel, gelaufen mit 5-Pfennig Bayern-Marke</t>
  </si>
  <si>
    <t>Regensburg / Straubing / Wiesenfelden, 29.01.1901</t>
  </si>
  <si>
    <t>Nachtschneekarte, Sternenhimmel, Regensburger Dom, Moltkeplatz</t>
  </si>
  <si>
    <t>AK-2026-0018</t>
  </si>
  <si>
    <t>München – Justizpalast und Treppenhaus</t>
  </si>
  <si>
    <t>Druck u. Verlag von Louis Glaser, Leipzig (No. 5268)</t>
  </si>
  <si>
    <t>Farbige Litho mit Justizpalast und Prunktreppenhaus, gelaufen mit 5-Pfennig Bayern-Marke</t>
  </si>
  <si>
    <t>München / Straubing / Wiesenfelden, 02./03.08.1898</t>
  </si>
  <si>
    <t>H. Hochwürden Herrn Anton Windhager, Pfarrer, Wiesenfelden über Straubing</t>
  </si>
  <si>
    <t>Justizpalast, Treppenhaus, Louis Glaser Verlag, Mehrbild</t>
  </si>
  <si>
    <t>AK-2026-0019</t>
  </si>
  <si>
    <t>Altenthann – Ortsansicht, Gasthof Gansmeier und Schulhaus</t>
  </si>
  <si>
    <t>Foto-Elfner, Regensburg, St. Petersweg 19</t>
  </si>
  <si>
    <t>Altenthann</t>
  </si>
  <si>
    <t>Topografie / Mehrbild-Ansichtskarte</t>
  </si>
  <si>
    <t>Mehrbildkarte mit Gasthof Gansmeier, gelaufen mit 6-Pfennig Deutsches Reich Marke</t>
  </si>
  <si>
    <t>Otterbach / Lupburg, 29.10.1943</t>
  </si>
  <si>
    <t>Frl. Gabriele Sauerer in Lupburg, Post Lupburg</t>
  </si>
  <si>
    <t>Altenthann, Gasthof Gansmeier, Mehrbild, Weltkriegszeit 1943</t>
  </si>
  <si>
    <t>AK-2026-0020</t>
  </si>
  <si>
    <t>Regensburg – Walhalla (Ansicht von unten mit den Terrassen)</t>
  </si>
  <si>
    <t>O. Schleich Nacht., Dresden, Doppeltonlichtdruck (No. 4491)</t>
  </si>
  <si>
    <t>Regensburg / Donaustauf</t>
  </si>
  <si>
    <t>Topografie / Echt-Lichtdruck</t>
  </si>
  <si>
    <t>Einfarbiger Doppelton-Lichtdruck, gelaufen mit Stempel von Regensburg</t>
  </si>
  <si>
    <t>Regensburg / Parsberg, 03.06.1905</t>
  </si>
  <si>
    <t>Herrn Joseph P. Pandarm?, Parsberg</t>
  </si>
  <si>
    <t>Walhalla, Donaustauf, O. Schleich Nacht. Dresden, Lichtdruck</t>
  </si>
  <si>
    <t>AK-2026-0021</t>
  </si>
  <si>
    <t>Regensburg – Panorama mit Postillon und Briefkasten</t>
  </si>
  <si>
    <t>Topografie / Postkarten-Motiv-Lithografie</t>
  </si>
  <si>
    <t>Farblitho mit Postbote, Pferd und Regensburger Altstadt-Panorama, gelaufen</t>
  </si>
  <si>
    <t>Nabburg / Oberviechtach / Bernhardswald / Pirkensee, 15./16.10.1903</t>
  </si>
  <si>
    <t>An Herrn Joh. Gansmeier, Pirkensee</t>
  </si>
  <si>
    <t>Postillon, Jakob Frankel Verlag, Regensburger Dom, Litho</t>
  </si>
  <si>
    <t>AK-2026-0022</t>
  </si>
  <si>
    <t>Regensburg – Gruss aus Regensburg (Donau-Ansicht mit Wappen)</t>
  </si>
  <si>
    <t>Verlag von Jakob Frankel, Regensburg (No. 254)</t>
  </si>
  <si>
    <t>Topografie / Passepartout-Lithografie</t>
  </si>
  <si>
    <t>Passepartout-Karte mit Reliefprägung, Wappen und Farblitho, gelaufen</t>
  </si>
  <si>
    <t>Regensburg / Nabburg / Oberviechtach, 23.10.1902</t>
  </si>
  <si>
    <t>Herrn Josef Gansmeier, Pirkensee b. Burglengenfeld</t>
  </si>
  <si>
    <t>Passepartout, Wappen, Jakob Frankel Verlag, Donau-Ansicht</t>
  </si>
  <si>
    <t>AK-2026-0023</t>
  </si>
  <si>
    <t>Regensburg – Gruss aus Regensburg (Dom und Rathaus)</t>
  </si>
  <si>
    <t>Verlag &amp; Druck Kunst Anstalt Rosenblatt, Frankfurt a. M. (No. 860)</t>
  </si>
  <si>
    <t>Farbige Lithografie mit Dom und Rathaus, gelaufen mit 5-Pfennig Bayern-Marke</t>
  </si>
  <si>
    <t>Regensburg / Straubing / Wiesenfelden, 06.02.1901</t>
  </si>
  <si>
    <t>Mehrbild, Dom, Rathaus, Rosenblatt Verlag, Litho</t>
  </si>
  <si>
    <t>AK-2026-0024</t>
  </si>
  <si>
    <t>München – Das große Wandgemälde im Festsaal des Kgl. Hofbräuhauses</t>
  </si>
  <si>
    <t>Ferdinand Wagner / o. Verlag</t>
  </si>
  <si>
    <t>Topografie / Kunstkarte-Lithografie</t>
  </si>
  <si>
    <t>Befriedigend bis Mäßig (Z3)</t>
  </si>
  <si>
    <t>Farblitho, gelaufen mit 5-Pfennig Bayern-Marke, linker Rand eingerissen</t>
  </si>
  <si>
    <t>Straubing / Wiesenfelden, 28.01.1903</t>
  </si>
  <si>
    <t>Hochwohlgeboren Herrn Elisabeth Windhager, Pensionärin, Wiesenfelden</t>
  </si>
  <si>
    <t>Hofbräuhaus, Wandgemälde, Ferdinand Wagner, Randmangel / Riss</t>
  </si>
  <si>
    <t>AK-2026-0025</t>
  </si>
  <si>
    <t>Humoristische Ansichtskarte – „Mir wann oaner sog'n tat, daß i a Preiß bi'!“</t>
  </si>
  <si>
    <t>Unbekannter Verlag (Nr. 429)</t>
  </si>
  <si>
    <t>München / o.A.</t>
  </si>
  <si>
    <t>Humor / Künstlerkarte</t>
  </si>
  <si>
    <t>Farbige Litho mit bayerischem Typen, gelaufen mit 5-Pfennig Bayern-Marke</t>
  </si>
  <si>
    <t>München / Leipzig, 17.03.1911</t>
  </si>
  <si>
    <t>Herrn Otto Raithel, stud. mec., Leipzig, Lessingstr. 18</t>
  </si>
  <si>
    <t>Humor, Preiß, bayerische Mundart, Künstlerkarte, Otto Raithel</t>
  </si>
  <si>
    <t>AK-2026-0026</t>
  </si>
  <si>
    <t>Dürnsricht – Blick auf Dürnsricht mit Bäckerei &amp; Kolonialwarengeschäft Bartmann</t>
  </si>
  <si>
    <t>Foto-Atelier Baier, Amberg Obpf.</t>
  </si>
  <si>
    <t>Dürnsricht</t>
  </si>
  <si>
    <t>Mehrbildkarte mit Ortsansicht und dem Haus der Bäckerei Bartmann, gelaufen mit 6-Pfennig Deutsches-Reich-Marke</t>
  </si>
  <si>
    <t>Regensburg / Parsberg, 13.08.1931</t>
  </si>
  <si>
    <t>Familie Josef Alkofer?, Gem.-Oberkommissar, Parsberg, Obpf.</t>
  </si>
  <si>
    <t>Dürnsricht, Bäckerei Bartmann, Kolonialwaren, Baier Amberg, Ortsansicht</t>
  </si>
  <si>
    <t>AK-2026-0027</t>
  </si>
  <si>
    <t>Schloss Banz – Gruss aus Mainthal, Schloss Banz (Jugendstil-Litho)</t>
  </si>
  <si>
    <t>Unbekannter Verlag</t>
  </si>
  <si>
    <t>Mainthal / Schloss Banz</t>
  </si>
  <si>
    <t>Topografie / Jugendstil-Lithografie</t>
  </si>
  <si>
    <t>Befriedigend (Z3)</t>
  </si>
  <si>
    <t>Farblitho mit Jugendstil-Ranken und Wappen, gelaufen, oberer Rand leicht eingerissen / beschädigt</t>
  </si>
  <si>
    <t>Bad Staffelstein / Hof, 22.07.1902</t>
  </si>
  <si>
    <t>Herrn Carl Raithel, Güterexpedient, Hof (Münchener Str. 19)</t>
  </si>
  <si>
    <t>Schloss Banz, Mainthal, Jugendstil, Wappen, Randmangel / Beschädigung</t>
  </si>
  <si>
    <t>AK-2026-0028</t>
  </si>
  <si>
    <t>Kelheim – Die Befreiungshalle und Blick auf Kelheim</t>
  </si>
  <si>
    <t>Lautz &amp; Isenbeck, Darmstadt (No. 4014)</t>
  </si>
  <si>
    <t>Kelheim</t>
  </si>
  <si>
    <t>Topografie / Lichtdruck-Ansichtskarte</t>
  </si>
  <si>
    <t>Gut bis Sehr gut (Z2+)</t>
  </si>
  <si>
    <t>S/W-Lichtdruck, gelaufen mit Stempel Befreiungshalle und 5-Pfennig Bayern-Marke</t>
  </si>
  <si>
    <t>Kelheim / Schleiz / Plottersdorf, 06.05.1901</t>
  </si>
  <si>
    <t>An Herrn Otto Raithel bei Herrn Pastor Dr. Haller, Plottersdorf b. Schleiz (Reuß)</t>
  </si>
  <si>
    <t>Befreiungshalle, Kelheim, Donau, Lautz &amp; Isenbeck, 1901</t>
  </si>
  <si>
    <t>AK-2026-0029</t>
  </si>
  <si>
    <t>Lupburg – Gruss aus Lupburg (Ortsansicht mit Burg)</t>
  </si>
  <si>
    <t>Verlag von Joh. Landfried, Lupburg</t>
  </si>
  <si>
    <t>Lupburg</t>
  </si>
  <si>
    <t>Topografie / Ansichtskarte</t>
  </si>
  <si>
    <t>S/W-Ansichtskarte mit Ortsansicht und Burg Lupburg, gelaufen mit 5-Pfennig Bayern-Marke</t>
  </si>
  <si>
    <t>Lupburg / Landshut, 18.03.1908</t>
  </si>
  <si>
    <t>Frl. Marisi Vogl im Institut Seligenthal, Landshut (Niederbayern)</t>
  </si>
  <si>
    <t>Lupburg, Burg Lupburg, Landfried Verlag, Seligenthal, Landshut</t>
  </si>
  <si>
    <t>AK-2026-0030</t>
  </si>
  <si>
    <t>Ingolstadt – Gruss aus Ingolstadt (Donauansicht mit Brücke)</t>
  </si>
  <si>
    <t>Chr. Bayerlein jr., Ingolstadt (No. 1240)</t>
  </si>
  <si>
    <t>Ingolstadt</t>
  </si>
  <si>
    <t>S/W-Ansichtskarte mit Zierrand/Prägung, gelaufen mit Stempel Ingolstadt und Ankunftsstempel Schleiz</t>
  </si>
  <si>
    <t>Ingolstadt / Schleiz / Plottersdorf, 04.05.1901</t>
  </si>
  <si>
    <t>Ingolstadt, Donau, Bayerlein Verlag, 1901</t>
  </si>
  <si>
    <t>AK-2026-0031</t>
  </si>
  <si>
    <t>Gößweinstein – Gruss aus Gößweinstein, Fränkische Schweiz (Mehrbild-Echtphoto)</t>
  </si>
  <si>
    <t>Kunstverlagsanstalt F. v. Leistner &amp; Demartin, Muggendorf/Ofr. (12/804)</t>
  </si>
  <si>
    <t>Gößweinstein</t>
  </si>
  <si>
    <t>Topografie / Mehrbild-Echtphotokarte</t>
  </si>
  <si>
    <t>S/W-Echtphotokarte mit vielen Ansichten, Wappen/Spruch und gezahntem Rand, ungelaufen</t>
  </si>
  <si>
    <t>Unbekannt</t>
  </si>
  <si>
    <t>Gößweinstein, Fränkische Schweiz, Leistner &amp; Demartin, Mehrbildkarte, Echtphoto</t>
  </si>
  <si>
    <t>AK-2026-0032</t>
  </si>
  <si>
    <t>Burglengenfeld – Naabbrücke mit Burg</t>
  </si>
  <si>
    <t>Maria Lautenschlager, Schreibwaren, Burglengenfeld (78451)</t>
  </si>
  <si>
    <t>Burglengenfeld</t>
  </si>
  <si>
    <t>S/W-Ansichtskarte der Naabbrücke mit der Burg im Hintergrund, gelaufen mit 6-Pfennig Deutsches-Reich-Marke</t>
  </si>
  <si>
    <t>Burglengenfeld / Lupburg, 26.06.1941</t>
  </si>
  <si>
    <t>Familie Josef Laurer, Lupburg über Parsberg</t>
  </si>
  <si>
    <t>Burglengenfeld, Naabbrücke, Burg, Lautenschlager, Oberpfalz</t>
  </si>
  <si>
    <t>AK-2026-0034</t>
  </si>
  <si>
    <t>Gößweinstein – Höhenkurort Gössweinstein, Blick vom Gernerfels (Echtphoto)</t>
  </si>
  <si>
    <t>Kunstanstalt E. von Leistner, Muggendorf</t>
  </si>
  <si>
    <t>Topografie / Echtphotokarte</t>
  </si>
  <si>
    <t>S/W-Echtphotokarte mit Stempel Gössweinstein (500m) vom 17.07.1933, gelaufen</t>
  </si>
  <si>
    <t>Gößweinstein / Parsberg, 17.07.1933</t>
  </si>
  <si>
    <t>Herrn Josef Sauerer, Gasanstaltspächter, Parsberg (Oberpfalz)</t>
  </si>
  <si>
    <t>Gößweinstein, Gernerfels, Leistner, Bromsilber-Abzug, 1933</t>
  </si>
  <si>
    <t>AK-2026-0035</t>
  </si>
  <si>
    <t>Parsberg i. Opf. – Südansicht &amp; Östliche Ansicht (Mehrbild)</t>
  </si>
  <si>
    <t>Verlag A. Bermüller, Parsberg (439)</t>
  </si>
  <si>
    <t>Parsberg</t>
  </si>
  <si>
    <t>S/W-Mehrbildkarte mit Schloss Parsberg, gelaufen mit Stempel Lupburg vom 03.07.1909</t>
  </si>
  <si>
    <t>Lupburg / Holnstein b. Berching, 02.07.1909</t>
  </si>
  <si>
    <t>Herrn Joseph Sauerer, Gand. Forst. [Gendarmerie-Station / Forstamt], Holnstein b. Berching</t>
  </si>
  <si>
    <t>Parsberg, Oberpfalz, Schloss Parsberg, Bermüller Verlag, 1909</t>
  </si>
  <si>
    <t>AK-2026-0036</t>
  </si>
  <si>
    <t>Amberg Opf. – St. Georgskirche</t>
  </si>
  <si>
    <t>F. H. Dennerlein, Kunstverlag, Nürnberg (6)</t>
  </si>
  <si>
    <t>Amberg</t>
  </si>
  <si>
    <t>S/W-Ansichtskarte mit Stempel Amberg vom 18.03.1955 und Notopfer-Marke, gelaufen</t>
  </si>
  <si>
    <t>Amberg / Lupburg, 18.03.1955</t>
  </si>
  <si>
    <t>Gend. Kommissar Josef Sauerer, Lupburg, Kreis Parsberg</t>
  </si>
  <si>
    <t>Amberg, St. Georgskirche, Dennerlein Verlag, 1955, Notopfer Berlin</t>
  </si>
  <si>
    <t>AK-2026-0037</t>
  </si>
  <si>
    <t>Regensburg – Seminar Obermünster, Portal</t>
  </si>
  <si>
    <t>Unbekannt / Verlagslos</t>
  </si>
  <si>
    <t>S/W-Ansichtskarte mit Stempel Regensburg (Deutsches Reich 6 Pf-Marke), gelaufen</t>
  </si>
  <si>
    <t>Regensburg / Lupburg b. Parsberg</t>
  </si>
  <si>
    <t>Herrn Jos. Sauerer, Gend. Oberkommissär a. D., Lupburg b. Parsberg</t>
  </si>
  <si>
    <t>Regensburg, Obermünster, Seminar, Portal, Kirche</t>
  </si>
  <si>
    <t>AK-2026-0038</t>
  </si>
  <si>
    <t>Bad Reichenhall – Bayerisches Feuerwehr-Erholungsheim &amp; Predigtstuhl</t>
  </si>
  <si>
    <t>Martin Herpich, Kunst- u. Verlagsanstalt, München</t>
  </si>
  <si>
    <t>Bad Reichenhall</t>
  </si>
  <si>
    <t>S/W-Ansichtskarte mit Sonderstempel „Predigtstuhl-Bahn Bad Reichenhall“ und Stempel vom 07.09.1936, gelaufen</t>
  </si>
  <si>
    <t>Bad Reichenhall / Lupburg b. Parsberg, 07.09.1936</t>
  </si>
  <si>
    <t>Frau Lina Sauerer, Lupburg b. Parsberg, Opf.</t>
  </si>
  <si>
    <t>Bad Reichenhall, Feuerwehr-Erholungsheim, Predigtstuhlbahn, Berchtesgadener Land, 1936</t>
  </si>
  <si>
    <t>AK-2026-0039</t>
  </si>
  <si>
    <t>Linz a. D. – Pöstlingberg (Fliegeraufnahme / Luftbild)</t>
  </si>
  <si>
    <t>Österreichische Luftbild-Industrie Bad Ischl (896)</t>
  </si>
  <si>
    <t>Linz (Österreich)</t>
  </si>
  <si>
    <t>Topografie / Luftbild-Ansichtskarte</t>
  </si>
  <si>
    <t>Sepia-Luftbildkarte mit Stempel vom August 1940, gelaufen</t>
  </si>
  <si>
    <t>Linz / Lupburg b. Parsberg, 01.08.1940</t>
  </si>
  <si>
    <t>Familie Jos. Sauerer, Gend. Oberkommissär a. D., Lupburg b. Parsberg u. Regensburg bey. Oberpfg.</t>
  </si>
  <si>
    <t>Linz, Pöstlingberg, Österreich, Luftbild, Fliegeraufnahme, 1940</t>
  </si>
  <si>
    <t>AK-2026-0040</t>
  </si>
  <si>
    <t>Donaustauf bei Regensburg – Walhalla</t>
  </si>
  <si>
    <t>Donaustauf</t>
  </si>
  <si>
    <t>S/W-Ansichtskarte mit Stempel Donaustauf, gelaufen</t>
  </si>
  <si>
    <t>Donaustauf / [Empfängerort unklar]</t>
  </si>
  <si>
    <t>Herrn Josef Sauerer, [Gendarmerie / Kumpfmühl bei Regensburg]</t>
  </si>
  <si>
    <t>Donaustauf, Walhalla, Regensburg, Monumentalbau, Ruhmeshalle</t>
  </si>
  <si>
    <t>AK-2026-0041</t>
  </si>
  <si>
    <t>Donaustauf – Walhalla (Tempel deutscher Ehren)</t>
  </si>
  <si>
    <t>Hermann Martin, Kunstverlag, Nürnberg (1033)</t>
  </si>
  <si>
    <t>Topografie / Litho-Ansichtskarte</t>
  </si>
  <si>
    <t>Kolorierte Ansichtskarte mit Stempel Fürth (Bayern) und Ankunftsstempel Velburg vom August 1904, gelaufen</t>
  </si>
  <si>
    <t>Fürth (Bayern) / Velburg, 03.08.1904</t>
  </si>
  <si>
    <t>Herrn Joseph Sauerer, kgl. Gendarm, Velburg</t>
  </si>
  <si>
    <t>Donaustauf, Walhalla, König Ludwig I., Koloriert, Litho, 1904, Velburg, Fürth</t>
  </si>
  <si>
    <t>AK-2026-0042</t>
  </si>
  <si>
    <t>Parsberg – Schloßaufgang</t>
  </si>
  <si>
    <t>Verlag: Buchhandlung L. Bermüller, Parsberg (P 5038 42)</t>
  </si>
  <si>
    <t>Sehr gut (Z1- bis Z2+)</t>
  </si>
  <si>
    <t>S/W-Ansichtskarte mit Schloss Parsberg und Aufgang, ungelaufen</t>
  </si>
  <si>
    <t>Unbekannt / Ohne Empfänger</t>
  </si>
  <si>
    <t>Parsberg, Schloßaufgang, Zwiebeltürme, Schloss, Bermüller Verlag, Oberpfalz</t>
  </si>
  <si>
    <t>AK-2026-0043</t>
  </si>
  <si>
    <t>Regensburg – Am Wiedfang</t>
  </si>
  <si>
    <t>S/W-Ansichtskarte mit Stempel Regensburg vom Juli (Deutsches Reich), gelaufen</t>
  </si>
  <si>
    <t>Regensburg / Velburg b. Parsberg (bzw. geändert)</t>
  </si>
  <si>
    <t>Herrn Joseph Sauerer, Gend. Oberkommissär a. D., Velburg b. Parsberg</t>
  </si>
  <si>
    <t>Regensburg, Am Wiedfang, Brunnen, Altstadt, historisch</t>
  </si>
  <si>
    <t>AK-2026-0044</t>
  </si>
  <si>
    <t>Lupburg – Neue Pfarrkirche (Innenraum / Altarraum)</t>
  </si>
  <si>
    <t>Photo-Perras, Photobedarf, Parsberg (f 17)</t>
  </si>
  <si>
    <t>S/W-Ansichtskarte vom Kircheninneren, ungelaufen</t>
  </si>
  <si>
    <t>Lupburg, Neue Pfarrkirche, Innenansicht, Altar, Kanzel, Photo-Perras, Parsberg, Oberpfalz</t>
  </si>
  <si>
    <t>AK-2026-0045</t>
  </si>
  <si>
    <t>München – Königl. Hofbräuhaus (Gruss aus München)</t>
  </si>
  <si>
    <t>Verlag &amp; Druck Kunst-Anstalt Rosenblatt, Frankfurt a. M. (4762)</t>
  </si>
  <si>
    <t>Kolorierte Litho-Ansichtskarte mit Stempel Muenchen vom 18.12.1900 und Ankunftsstempel Wiesenfelden, gelaufen</t>
  </si>
  <si>
    <t>Muenchen / Wiesenfelden, 18.12.1900</t>
  </si>
  <si>
    <t>Wohlgeb. Herrn Andreas Windberger, Kgl. Pfarrer Wohlgeboren, Wiesenfelden b. Thierhaupten (bzw. Vilsbiburg / Opf.)</t>
  </si>
  <si>
    <t>München, Hofbräuhaus, Gruss aus München, Bierkrug, Litho, koloriert, 1900, Wiesenfelden, Rosenblatt Verlag</t>
  </si>
  <si>
    <t>AK-2026-0046</t>
  </si>
  <si>
    <t>Rosenheim – Gruss aus Rosenheim (Alpenpanorama)</t>
  </si>
  <si>
    <t>Verlag Arno Loth, Rosenheim (4367)</t>
  </si>
  <si>
    <t>Rosenheim</t>
  </si>
  <si>
    <t>Kolorierte Litho-Ansichtskarte mit Stempel Rosenheim und Ankunftsstempel Wiesenfelden vom 29.08.1903, gelaufen</t>
  </si>
  <si>
    <t>Rosenheim / Wiesenfelden, 28./29.08.1903</t>
  </si>
  <si>
    <t>Hochwürdigen Herrn Pfarrer Al. Windbarger, Fräulein in Wiesenfelden (Thierhaupten / Opf.)</t>
  </si>
  <si>
    <t>Rosenheim, Gruss aus Rosenheim, Alpen, Panorama, Litho, koloriert, 1903, Arno Loth Verlag</t>
  </si>
  <si>
    <t>AK-2026-0047</t>
  </si>
  <si>
    <t>Regensburg – Der Dom (107m, Westfassade)</t>
  </si>
  <si>
    <t>Georg Deinzer, Nürnberg (No. 174)</t>
  </si>
  <si>
    <t>S/W-Ansichtskarte mit Stempel Regensburg vom 10.2.1939 (Deutsches Reich), gelaufen</t>
  </si>
  <si>
    <t>Regensburg / Lupburg, 10.02.1939</t>
  </si>
  <si>
    <t>Familie Josef Sauerer, Gend. Oberkommissär a. D., Lupburg über Parsberg</t>
  </si>
  <si>
    <t>Regensburg, Dom, Westfassade, Kathedrale, 107m, Georg Deinzer, Nürnberg, 1939</t>
  </si>
  <si>
    <t>AK-2026-0048</t>
  </si>
  <si>
    <t>Regensburg – Haus Thurn und Taxis (Jubiläums-Ansichtskarte 1748–1898)</t>
  </si>
  <si>
    <t>Topografie / Historische Ansichtskarte</t>
  </si>
  <si>
    <t>Historische Litho-Ansichtskarte mit Stempel Oberviechtach vom 10.1.1899, gelaufen</t>
  </si>
  <si>
    <t>Regensburg / Oberviechtach, 10.01.1899</t>
  </si>
  <si>
    <t>Herrn Joseph Sauerer, Gendarm in Oberviechtach, Post daselbst</t>
  </si>
  <si>
    <t>Regensburg, Thurn und Taxis, Jubiläum, 1748, 1898, Fürst Albert, Fürstin Margarethe, Post, Jakob Frankel, 1899</t>
  </si>
  <si>
    <t>AK-2026-0049</t>
  </si>
  <si>
    <t>München – Marienplatz gegen altes Rathaus (Flaggenschmuck)</t>
  </si>
  <si>
    <t>F. J. H. – M. (Nr. 218)</t>
  </si>
  <si>
    <t>Kolorierte Ansichtskarte mit Stempel vom 10.12.1934 (Deutsches Reich), gelaufen</t>
  </si>
  <si>
    <t>München / Parsberg (Opf.), 10.12.1934</t>
  </si>
  <si>
    <t>Familie Sauerer, Oberkommissär, Parsberg (Opf.)</t>
  </si>
  <si>
    <t>München, Marienplatz, altes Rathaus, Flaggenschmuck, Straßenbahn, 1934, Oberpfalz</t>
  </si>
  <si>
    <t>AK-2026-0050</t>
  </si>
  <si>
    <t>Metz – Gruss aus Metz (Theater, Paradeplatz, Kathedrale)</t>
  </si>
  <si>
    <t>Druck u. Verlag v. Louis Glaser, Leipzig</t>
  </si>
  <si>
    <t>Metz (Elsaß-Lothringen)</t>
  </si>
  <si>
    <t>Topografie / Mehrfeld-Litho</t>
  </si>
  <si>
    <t>Litho-Ansichtskarte mit Stempel Metz vom 20.2.1899 (Deutsche Reichspost), gelaufen</t>
  </si>
  <si>
    <t>Metz / Reiting (Donaustauf), 20.02.1899</t>
  </si>
  <si>
    <t>Herrn Joseph Sauerer, Ökonom in Reiting, Post Donaustauf (Oberpfalz)</t>
  </si>
  <si>
    <t>Metz, Gruss aus Metz, Theater, Paradeplatz, Stadthaus, Kathedrale, Louis Glaser, Leipzig, 1899</t>
  </si>
  <si>
    <t>AK-2026-0051</t>
  </si>
  <si>
    <t>Seubersdorf – Schulhaus</t>
  </si>
  <si>
    <t>Unbekannt (Nr. 7518)</t>
  </si>
  <si>
    <t>Seubersdorf (Oberpfalz)</t>
  </si>
  <si>
    <t>Sehr gut (Z1- bis Z2)</t>
  </si>
  <si>
    <t>Kolorierte Ansichtskarte, ungelaufen, unbeschrieben</t>
  </si>
  <si>
    <t>Ca. 1910–1920</t>
  </si>
  <si>
    <t>–</t>
  </si>
  <si>
    <t>Seubersdorf, Schulhaus, Schulgebäude, Oberpfalz, Steinbau, 7518</t>
  </si>
  <si>
    <t>AK-2026-0052</t>
  </si>
  <si>
    <t>Nürnberg – Gruss aus Nürnberg (Burg)</t>
  </si>
  <si>
    <t>Verlag von Kaspar Bader, München</t>
  </si>
  <si>
    <t>Historische Ansichtskarte mit Stempel Marktredwitz vom 15.07.1900, gelaufen</t>
  </si>
  <si>
    <t>Nürnberg / Marktredwitz, 15.07.1900</t>
  </si>
  <si>
    <t>Herrn Lorenz Thoma, Maschinenfabrik J. Beckstein, Marktredwitz (Oberfranken)</t>
  </si>
  <si>
    <t>Nürnberg, Burg, Gruss aus Nürnberg, Kaspar Bader, München, 1900, Marktredwitz, Oberfranken</t>
  </si>
  <si>
    <t>AK-2026-0053</t>
  </si>
  <si>
    <t>München – Saal im kgl. Hofbräuhaus</t>
  </si>
  <si>
    <t>Photochrom No 8 (Photoglob Zürich)</t>
  </si>
  <si>
    <t>Farbige Litho-Ansichtskarte mit Stempel München vom 11.08.1900, gelaufen</t>
  </si>
  <si>
    <t>München / [Empfänger in Wörthstraße 2], 11.08.1900</t>
  </si>
  <si>
    <t>Herrn Alois Raster, Gymnasiast in Wörthstraße 2</t>
  </si>
  <si>
    <t>München, Hofbräuhaus, Festsaal, Saal, Photoglob Zürich, 1900, Wörthstraße</t>
  </si>
  <si>
    <t>AK-2026-0054</t>
  </si>
  <si>
    <t>Tegernsee – Gesamtansicht mit See und Bergen</t>
  </si>
  <si>
    <t>Tegernsee</t>
  </si>
  <si>
    <t>Kolorierte Ansichtskarte mit Stempel vom 8.6.1907 und Ankunftsstempel Schleiz, gelaufen</t>
  </si>
  <si>
    <t>Tegernsee / Vettersdorf (Schleiz), 08./09.06.1907</t>
  </si>
  <si>
    <t>Herrn Otto Raithel bei Herrn Repor. Dr. Haller, Vettersdorf b. Schleiz (Reuß j.L.)</t>
  </si>
  <si>
    <t>Tegernsee, See, Alpen, Panorama, koloriert, 1907, Vettersdorf, Schleiz</t>
  </si>
  <si>
    <t>AK-2026-0055</t>
  </si>
  <si>
    <t>Oberpfraudorf – Gruß aus Oberpfraudorf (Schreinerei &amp; Gemischtwaren Krottner)</t>
  </si>
  <si>
    <t>Verlag: Schreinerei u. Gemischtwaren von Krottner (Nr. 6923)</t>
  </si>
  <si>
    <t>Oberpfraudorf (Oberpfalz)</t>
  </si>
  <si>
    <t>S/W-Ansichtskarte mit Ortsansicht und Laden, ungelaufen</t>
  </si>
  <si>
    <t>Oberpfraudorf, Schreinerei, Gemischtwaren, Krottner, Persil, Ortsansicht, Oberpfalz, 6923</t>
  </si>
  <si>
    <t>AK-2026-0056</t>
  </si>
  <si>
    <t>Regensburg – Steinerne Brücke, Salzspeicher und Dom</t>
  </si>
  <si>
    <t>Kosmos-Verlag (Franckh-Verlag), Stuttgart (Nr. 19639-86a)</t>
  </si>
  <si>
    <t>Topografie / Echtfoto-Ansichtskarte</t>
  </si>
  <si>
    <t>S/W-Echte-Fotokarte, ungelaufen, unbeschrieben</t>
  </si>
  <si>
    <t>Regensburg, Steinerne Brücke, Salzspeicher, Dom, Donau, Kosmos Verlag, Echtfoto</t>
  </si>
  <si>
    <t>AK-2026-0057</t>
  </si>
  <si>
    <t>Regensburg – Mehrfelderkarte (Steinerne Brücke, Walhalla, Donaupartie, Adolf-Hitler-Brücke)</t>
  </si>
  <si>
    <t>Unbekannt / Verlagslos (REGENSBURG)</t>
  </si>
  <si>
    <t>Topografie / Mehrfelder-Ansichtskarte</t>
  </si>
  <si>
    <t>S/W-Mehrfelder-Ansichtskarte, ungelaufen, unbeschrieben</t>
  </si>
  <si>
    <t>Regensburg, Mehrfelderkarte, Steinerne Brücke, Walhalla, Donaupartie, Adolf-Hitler-Brücke, Nibelungenbrücke</t>
  </si>
  <si>
    <t>AK-2026-0058</t>
  </si>
  <si>
    <t>Altötting – Kapellplatz und Basilika</t>
  </si>
  <si>
    <t>Verlag V. Gabriel Wallherr, Altötting</t>
  </si>
  <si>
    <t>Altötting</t>
  </si>
  <si>
    <t>S/W-Ansichtskarte als Drucksache mit Stempel Altötting und Ankunftsstempel Wiesenfelden vom 10.06.1903, gelaufen</t>
  </si>
  <si>
    <t>Altötting / Wiesenfelden, 09./10.06.1903</t>
  </si>
  <si>
    <t>Wohlge. Frau Glosbauer, Theil b. Neumarkt/Opf. (bzw. Wiesenfelden)</t>
  </si>
  <si>
    <t>Altötting, Kapellplatz, Basilika, Wallherr Verlag, Drucksache, 1903, Oberpfalz</t>
  </si>
  <si>
    <t>AK-2026-0059</t>
  </si>
  <si>
    <t>Obersalzberg – Mehrfelderkarte mit historischen Motiven (Hitler-Haus, Kehlsteinhaus, Göring-Haus etc.)</t>
  </si>
  <si>
    <t>Ansichtskartenfabrik Schöning &amp; Co., Lübeck (Bgd 424-N)</t>
  </si>
  <si>
    <t>Obersalzberg (Berchtesgaden)</t>
  </si>
  <si>
    <t>S/W-Mehrfelder-Ansichtskarte mit Stempel Bad Reichenhall (1950er Jahre), gelaufen</t>
  </si>
  <si>
    <t>Ca. 1955</t>
  </si>
  <si>
    <t>Obersalzberg / Erlangen, ca. 1950er</t>
  </si>
  <si>
    <t>Familie Gustav Adolph, Erlangen, Am Röthelheim 5</t>
  </si>
  <si>
    <t>Obersalzberg, Berchtesgaden, Hitler-Haus, Kehlsteinhaus, Göring-Haus, SS-Kasernen, Schöning Lübeck, 1950er, Erlangen</t>
  </si>
  <si>
    <t>AK-2026-0060</t>
  </si>
  <si>
    <t>Lupburg (Oberpfalz)</t>
  </si>
  <si>
    <t>Topografie / Soldatenkarte</t>
  </si>
  <si>
    <t>S/W-Ansichtskarte als Soldatenkarte mit Stempel Lupburg vom 1.2.1909, gelaufen</t>
  </si>
  <si>
    <t>Lupburg / Grünstaude (Hemau), 01.02.1909</t>
  </si>
  <si>
    <t>Herrn Joseph Sauerer, Gendarm, Grünstaude Post Hemau</t>
  </si>
  <si>
    <t>Lupburg, Burg, Soldatenkarte, Joh. Landfried, 1909, Oberpfalz, Grünstaude, Hemau</t>
  </si>
  <si>
    <t>AK-2026-0061</t>
  </si>
  <si>
    <t>Vichtenstein a. Donau – Burg Vichtenstein</t>
  </si>
  <si>
    <t>Alleinverlag A. Art, Passau (Nr. 24001)</t>
  </si>
  <si>
    <t>Vichtenstein (Österreich / Oberösterreich)</t>
  </si>
  <si>
    <t>S/W-Ansichtskarte mit Stempel Passau vom 1. Sep. (1930er Jahre), gelaufen</t>
  </si>
  <si>
    <t>Ca. 1930–1938</t>
  </si>
  <si>
    <t>Vichtenstein / Passau, 01.09.</t>
  </si>
  <si>
    <t>Unbekannt / Ohne Empfänger (ungeschriebener Textteil)</t>
  </si>
  <si>
    <t>Vichtenstein, Donau, Burg Vichtenstein, Österreich, Passau, A. Art, 24001</t>
  </si>
  <si>
    <t>AK-2026-0062</t>
  </si>
  <si>
    <t>München – Theatinerkirche und Feldherrnhalle</t>
  </si>
  <si>
    <t>Kolorierte Ansichtskarte mit Stempel Wiesenfelden vom 22.07.1903, gelaufen</t>
  </si>
  <si>
    <t>München / Wiesenfelden, 21./22.07.1903</t>
  </si>
  <si>
    <t>Hochwürden Herrn Anton Minchinger, Pfarrer, Fördergut / Wiesenfelden, Postpfl. Rodingersdorf</t>
  </si>
  <si>
    <t>München, Theatinerkirche, Feldherrnhalle, koloriert, 1903, Wiesenfelden, Rodingersdorf</t>
  </si>
  <si>
    <t>AK-2026-0063</t>
  </si>
  <si>
    <t>München – Maximilianskirche</t>
  </si>
  <si>
    <t>S/W-Ansichtskarte mit Stempel München und Ankunftsstempel Wiesenfelden vom 06.07.1904, gelaufen</t>
  </si>
  <si>
    <t>München / Wiesenfelden, 05./06.07.1904</t>
  </si>
  <si>
    <t>Hochwürden H. H. Anton Minchinger, Pfarrer, Gehöft bzw. Wiesenfelden, Postpfl. Rodingersdorf</t>
  </si>
  <si>
    <t>München, Maximilianskirche, Ottmar Zieher, Isar, Kirche, 1904, Wiesenfelden, Rodingersdorf</t>
  </si>
  <si>
    <t>AK-2026-0064</t>
  </si>
  <si>
    <t>München – Prinzregenten-Theater</t>
  </si>
  <si>
    <t>E. Männer, München (Nr. 96)</t>
  </si>
  <si>
    <t>Kolorierte Ansichtskarte mit Stempel Schleiz vom 13.08.1902, gelaufen</t>
  </si>
  <si>
    <t>München / Vettersdorf (Schleiz), 12./13.08.1902</t>
  </si>
  <si>
    <t>Herrn Otto Raithel bei Herrn Repor. Dr. Haller, Vettersdorf b. Schleiz (Reuß)</t>
  </si>
  <si>
    <t>München, Prinzregenten-Theater, Theater, E. Männer, koloriert, 1902, Vettersdorf, Schleiz</t>
  </si>
  <si>
    <t>AK-2026-0065</t>
  </si>
  <si>
    <t>München – Frauenkirche</t>
  </si>
  <si>
    <t>Kolorierte Ansichtskarte mit Stempel München und Ankunftsstempel Marktredwitz vom 09.11.1903, gelaufen</t>
  </si>
  <si>
    <t>München / Marktredwitz, 08./09.11.1903</t>
  </si>
  <si>
    <t>Herrn Lorenz Thomae, Eisendreher in Marktredwitz, Fa. Beckstein</t>
  </si>
  <si>
    <t>München, Frauenkirche, Kirche, koloriert, 1903, Marktredwitz, Beckstein</t>
  </si>
  <si>
    <t>AK-2026-0066</t>
  </si>
  <si>
    <t>München – Neues Rathaus</t>
  </si>
  <si>
    <t>Verlag Franz Joseph Huber, München (No. 358)</t>
  </si>
  <si>
    <t>Kolorierte Ansichtskarte mit Auslandsstempel nach London vom 13.11.1911, gelaufen</t>
  </si>
  <si>
    <t>München / London, 13.11.1911</t>
  </si>
  <si>
    <t>Herrn Otto Raithel c/o Herren Hartgen &amp; Co., Noble House 35/37 Noble Street, London E.C.</t>
  </si>
  <si>
    <t>München, Neues Rathaus, Marienplatz, Franz Joseph Huber, Ausland, London, 1911</t>
  </si>
  <si>
    <t>AK-2026-0067</t>
  </si>
  <si>
    <t>Bayreuth – Röhrensee mit Springbrunnen</t>
  </si>
  <si>
    <t>Ottmar Zieher, München (Z 5278)</t>
  </si>
  <si>
    <t>Bayreuth</t>
  </si>
  <si>
    <t>Heliokolorkarte, ungelaufen, unbeschrieben</t>
  </si>
  <si>
    <t>Bayreuth, Röhrensee, Springbrunnen, See, Ottmar Zieher, Heliokolor, Z 5278</t>
  </si>
  <si>
    <t>AK-2026-0068</t>
  </si>
  <si>
    <t>Bayreuth – Justizpalast</t>
  </si>
  <si>
    <t>Verlag P. H. B. 25</t>
  </si>
  <si>
    <t>S/W-Ansichtskarte mit Stempel Bayreuth vom 30.04.1915, gelaufen</t>
  </si>
  <si>
    <t>Bayreuth / Hof, 30.04.1915</t>
  </si>
  <si>
    <t>Herrn Otto Raithel, Bankbuchhalter in Hof, Kirchhof 11</t>
  </si>
  <si>
    <t>Bayreuth, Justizpalast, Gebäude, P.H.B. 25, 1915, Hof, Oberfranken</t>
  </si>
  <si>
    <t>AK-2026-0069</t>
  </si>
  <si>
    <t>Nürnberg – Panorama vom Sebaldusturm</t>
  </si>
  <si>
    <t>Hermann Martin, Kunstverlag, Nürnberg</t>
  </si>
  <si>
    <t>S/W-Ansichtskarte mit Stempel Nürnberg vom 26.02.1909, gelaufen</t>
  </si>
  <si>
    <t>Nürnberg / Marktredwitz, 26.02.1909</t>
  </si>
  <si>
    <t>Herrn Otto Raithel, Volontär in Marktredwitz, Pflegstätte b. Herrn Carl Schmidt, Bankgeschäft</t>
  </si>
  <si>
    <t>Nürnberg, Panorama, Sebaldusturm, Kaiserburg, Altstadt, Hermann Martin, 1909, Marktredwitz, Carl Schmidt</t>
  </si>
  <si>
    <t>AK-2026-0070</t>
  </si>
  <si>
    <t>Oberammergau – Passionstheater 1900 (Blick in den Zuschauerraum)</t>
  </si>
  <si>
    <t>Verlag von Carl Aug. Seyfried &amp; Comp., München</t>
  </si>
  <si>
    <t>Oberammergau</t>
  </si>
  <si>
    <t>Topografie / Kulturgeschichte</t>
  </si>
  <si>
    <t>S/W-Ansichtskarte mit Stempel Kohlgrub und Ankunftsstempel Hof a. Saale vom 30.06.1903, gelaufen</t>
  </si>
  <si>
    <t>Kohlgrub / Hof (Saale), 29./30.06.1903</t>
  </si>
  <si>
    <t>Herrn Otto u. Frl. Anna Raithel, Hof a. Oberfranken, Kirchhofstraße 7</t>
  </si>
  <si>
    <t>Oberammergau, Passionstheater, 1900, Zuschauerraum, Carl Aug. Seyfried, Kohlgrub, Hof, Oberfranken</t>
  </si>
  <si>
    <t>AK-2026-0071</t>
  </si>
  <si>
    <t>München – Bavaria und Ruhmeshalle</t>
  </si>
  <si>
    <t>Kunstverlag J. Silberstein, München (No. 2609)</t>
  </si>
  <si>
    <t>Kolorierte Ansichtskarte mit Stempel München und Ankunftsstempel Schleiz vom 05.05.1901, gelaufen</t>
  </si>
  <si>
    <t>München / Vettersdorf (Schleiz), 04./05.05.1901</t>
  </si>
  <si>
    <t>München, Bavaria, Ruhmeshalle, Theresienhöhe, J. Silberstein, koloriert, 1901, Vettersdorf, Schleiz</t>
  </si>
  <si>
    <t>AK-2026-0072</t>
  </si>
  <si>
    <t>München – Maximiliansbrücke mit Maximilianeum</t>
  </si>
  <si>
    <t>Ottmar Zieher, München (W.H.D. 8902 b)</t>
  </si>
  <si>
    <t>S/W-Ansichtskarte nach New York gelaufen, mit US-Stempel Station T vom 05.12.1911, gelaufen</t>
  </si>
  <si>
    <t>München / New York, USA, 05.12.1911</t>
  </si>
  <si>
    <t>Herrn Otto Raithel (durchgestrichen: Mrs. Malony), 231 Lenox Ave, New York, U.S.A.</t>
  </si>
  <si>
    <t>München, Maximiliansbrücke, Maximilianeum, Isar, Ottmar Zieher, 1911, New York, USA, Export</t>
  </si>
  <si>
    <t>AK-2026-0073</t>
  </si>
  <si>
    <t>Nürnberg – Königstrasse mit Künstlerhaus</t>
  </si>
  <si>
    <t>Fr. Riegel, Kunstverlagsanstalt, Nürnberg (Nr. 708)</t>
  </si>
  <si>
    <t>Sehr gut (Z1-)</t>
  </si>
  <si>
    <t>S/W-Ansichtskarte mit Straßenbahn und Künstlerhaus, ungelaufen</t>
  </si>
  <si>
    <t>ca. 1910</t>
  </si>
  <si>
    <t>Nürnberg, Königstraße, Künstlerhaus, Straßenbahn, Fr. Riegel, um 1910, ungelaufen</t>
  </si>
  <si>
    <t>AK-2026-0074</t>
  </si>
  <si>
    <t>Dresden – Postplatz</t>
  </si>
  <si>
    <t>Verlag D. Kröner (Nr. 263)</t>
  </si>
  <si>
    <t>Dresden</t>
  </si>
  <si>
    <t>Topografie / Zeitgeschichte 1939-1945</t>
  </si>
  <si>
    <t>S/W-Ansichtskarte mit Feldpost- und Poststempel Klotzsche vom 25.06.1943, gelaufen</t>
  </si>
  <si>
    <t>Dresden / Lupburg, 24./25.06.1943</t>
  </si>
  <si>
    <t>Familie Joseph Laucher, Gend.-Oberkommissar, Lupburg-Opf., Strecke Nürnberg-Regensburg</t>
  </si>
  <si>
    <t>Dresden, Postplatz, 1943, Feldpost, D. Kröner, Lupburg, Oberpfalz</t>
  </si>
  <si>
    <t>AK-2026-0075</t>
  </si>
  <si>
    <t>Ansbach – Mehrbild-Ansichtskarte (9 Motive)</t>
  </si>
  <si>
    <t>Verlag Fritz Lauterbach, Fürth i. Bay. (Frila-Karte 400/2/61)</t>
  </si>
  <si>
    <t>Ansbach</t>
  </si>
  <si>
    <t>Topografie / Mehrbildkarte</t>
  </si>
  <si>
    <t>S/W-Mehrbild-Ansichtskarte mit Schloss, Gumbertuskirche, Hofgarten etc., ungelaufen</t>
  </si>
  <si>
    <t>ca. 1950–1960</t>
  </si>
  <si>
    <t>Ansbach, Mehrbildkarte, Schloss, Hofgarten, Gumbertuskirche, Fritz Lauterbach, Fürth, ungelaufen</t>
  </si>
  <si>
    <t>AK-2026-0076</t>
  </si>
  <si>
    <t>Passau – Festung Oberhaus</t>
  </si>
  <si>
    <t>Verlag R 4743</t>
  </si>
  <si>
    <t>S/W-Ansichtskarte mit Stempel Passau vom 28.07.1911, gelaufen</t>
  </si>
  <si>
    <t>Passau / Regensburg, 28./29.07.1911</t>
  </si>
  <si>
    <t>Herrn Johann Daner sen., Regensburg, Löffelgasse 28 1/3</t>
  </si>
  <si>
    <t>Passau, Festung Oberhaus, Donau, R 4743, 1911, Regensburg, Löffelgasse</t>
  </si>
  <si>
    <t>AK-2026-0077</t>
  </si>
  <si>
    <t>Metten – Kloster und Gesamtansicht</t>
  </si>
  <si>
    <t>Verlag v. Wolfgang Wennig, Metten</t>
  </si>
  <si>
    <t>Metten</t>
  </si>
  <si>
    <t>Farbige Litho/Ansichtskarte mit Poststempel vom 04.04.1922, gelaufen</t>
  </si>
  <si>
    <t>Metten / Lupburg, 04.04.1922</t>
  </si>
  <si>
    <t>Maria &amp; Anna Laucher, Lupburg b. Parsberg, Opf.</t>
  </si>
  <si>
    <t>Metten, Kloster, Abtei, Niederbayern, Wolfgang Wennig, 1922, Lupburg, Oberpfalz</t>
  </si>
  <si>
    <t>AK-2026-0078</t>
  </si>
  <si>
    <t>München – Frauenkirche von der Michaeliskirche</t>
  </si>
  <si>
    <t>Dr. Trenkler &amp; Co., Leipzig (Nr. 432)</t>
  </si>
  <si>
    <t>S/W-Ansichtskarte mit Stempel München vom 10.08.1899, gelaufen</t>
  </si>
  <si>
    <t>München / Straubing, 10./11.08.1899</t>
  </si>
  <si>
    <t>Herrn Anton Rinhagger, Lehrer, Kirchroth, Post Hunderdorf</t>
  </si>
  <si>
    <t>München, Frauenkirche, Dr. Trenkler, Leipzig, 1899, Straubing, Kirchroth</t>
  </si>
  <si>
    <t>AK-2026-0079</t>
  </si>
  <si>
    <t>Gruss aus Regensburg – St. Theresienkirche in Kumpfmühl</t>
  </si>
  <si>
    <t>Gez. Joh. Graf, Regensburg (Nr. 2928)</t>
  </si>
  <si>
    <t>Regensburg-Kumpfmühl</t>
  </si>
  <si>
    <t>Farbige Litho-Ansichtskarte mit Stempel Regensburg vom 12.07.1902, gelaufen</t>
  </si>
  <si>
    <t>Regensburg / Wiesenfelden, 12.07.1902</t>
  </si>
  <si>
    <t>Herrn Anton Windhager, Lehrer, Wiesenfelden</t>
  </si>
  <si>
    <t>Regensburg, Kumpfmühl, St. Theresienkirche, Joh. Graf, 1902, Wiesenfelden</t>
  </si>
  <si>
    <t>AK-2026-0080</t>
  </si>
  <si>
    <t>Eger – Mehrbild-Ansichtskarte (Historische Stadtansichten)</t>
  </si>
  <si>
    <t>Unbekannter Verlag (JZE M2)</t>
  </si>
  <si>
    <t>Eger (Cheb)</t>
  </si>
  <si>
    <t>S/W-Mehrbild-Ansichtskarte mit Stempel Eger vom 27.11.1939, gelaufen</t>
  </si>
  <si>
    <t>Eger / Regensburg, 27.11.1939</t>
  </si>
  <si>
    <t>Herrn W. Daner, stud. litt., Regensburg, Heiliggeistgasse 7</t>
  </si>
  <si>
    <t>Eger, Cheb, Mehrbildkarte, Kaiserburg, Adolf-Hitler-Platz, 1939, Regensburg, Heiliggeistgasse</t>
  </si>
  <si>
    <t>AK-2026-0081</t>
  </si>
  <si>
    <t>Regensburg – Adolf-Hitler-Brücke (Nibelungenbrücke)</t>
  </si>
  <si>
    <t>S/W-Ansichtskarte der Donaubrücke und Schottenheimsiedlung, ungelaufen</t>
  </si>
  <si>
    <t>ca. 1938–1940</t>
  </si>
  <si>
    <t>Regensburg, Nibelungenbrücke, Adolf-Hitler-Brücke, Donau, Schottenheimsiedlung, ungelaufen</t>
  </si>
  <si>
    <t>AK-2026-0082</t>
  </si>
  <si>
    <t>Regensburg a. d. Donau – Blick auf den Dom</t>
  </si>
  <si>
    <t>Verlag Schöning &amp; Co., Lübeck (Nr. 24903)</t>
  </si>
  <si>
    <t>S/W-Ansichtskarte mit Stempel Regensburg vom 07.08.1939, gelaufen</t>
  </si>
  <si>
    <t>Regensburg / Borna, 07.08.1939</t>
  </si>
  <si>
    <t>Familie Georg Schenk, Borna b. Leipzig, Wilhem-Eichroth-Str. 40</t>
  </si>
  <si>
    <t>Regensburg, Dom, Steinerne Brücke, Donau, Schöning &amp; Co., Lübeck, 1939, Borna</t>
  </si>
  <si>
    <t>AK-2026-0083</t>
  </si>
  <si>
    <t>München – Isarpartie mit Maximilianskirche</t>
  </si>
  <si>
    <t>S/W-Ansichtskarte mit Stempel München Hauptstadt der Bewegung vom 25.11.1942, gelaufen</t>
  </si>
  <si>
    <t>München / Feldkirchen-Westerham, 25.11.1942</t>
  </si>
  <si>
    <t>Herrn Joh. Leder, Oberroth b. Feldkirchen, Feldkirchen-Westerham</t>
  </si>
  <si>
    <t>München, Isarpartie, Maximilianskirche, Alpen, 1942, Feldkirchen-Westerham, Zensurstempel</t>
  </si>
  <si>
    <t>AK-2026-0084</t>
  </si>
  <si>
    <t>Prinz Regent Luitpold von Bayern – Jubiläums-Postkarte 1821–1911</t>
  </si>
  <si>
    <t>Oscar Consée, München / Entwurf: W. Diez (1910)</t>
  </si>
  <si>
    <t>München / Bayern</t>
  </si>
  <si>
    <t>Künstlerkarte / Jubiläum / Monarchie</t>
  </si>
  <si>
    <t>Farbige Künstler-Wertstempelkarte mit eingedruckter 5-Pfennig-Marke Bayern, ungelaufen</t>
  </si>
  <si>
    <t>Prinz Regent Luitpold, Bayern, 1821-1911, 90. Geburtstag, Wilhelm von Diez, Oscar Consée, ungelaufen</t>
  </si>
  <si>
    <t>AK-2026-0085</t>
  </si>
  <si>
    <t>Prinz Regent Luitpold von Bayern – Jubiläums-Postkarte mit Mädchen (1911)</t>
  </si>
  <si>
    <t>Oscar Consée, München / Entwurf: W. Diez</t>
  </si>
  <si>
    <t>Prinz Regent Luitpold, Bayern, 1911, 90. Geburtstag, Mädchen, Wilhelm von Diez, Oscar Consée, ungelaufen</t>
  </si>
  <si>
    <t>AK-2026-0086</t>
  </si>
  <si>
    <t>München – Blick auf Frauenkirche und Rathaus</t>
  </si>
  <si>
    <t>Unbekannter Verlag (Nr. 82512)</t>
  </si>
  <si>
    <t>Farbige Litho-Ansichtskarte mit Stempel vom 30.12.1918, gelaufen</t>
  </si>
  <si>
    <t>München / Hirschaid, 30.12.1918</t>
  </si>
  <si>
    <t>Herrn Heinrich Harrer, Leyherhaus Verwalter, Hirschaid, Oberfranken</t>
  </si>
  <si>
    <t>München, Frauenkirche, Rathaus, 1918, Hirschaid, Oberfranken, Neujahrsgruß</t>
  </si>
  <si>
    <t>AK-2026-0087</t>
  </si>
  <si>
    <t>Lupburg i. d. Obpf. – Ortsansicht mit Burg</t>
  </si>
  <si>
    <t>Kunst- und Verlagsanstalt Karl Richter, München (Nr. 49143)</t>
  </si>
  <si>
    <t>S/W-Ansichtskarte mit Stempel Parsberg vom 31.08.1939, gelaufen, unzustellbar/zurück</t>
  </si>
  <si>
    <t>Parsberg, 31.08.1939</t>
  </si>
  <si>
    <t>Herrn Albert Guidl, Jagdfliegerschule Schülerkompanie (später korrigiert/unbekannt)</t>
  </si>
  <si>
    <t>Lupburg, Oberpfalz, Burg Lupburg, Karl Richter München, 1939, Parsberg, Jagdfliegerschule</t>
  </si>
  <si>
    <t>AK-2026-0088</t>
  </si>
  <si>
    <t>Schloß Neuschwanstein, 1008 m ü. M.</t>
  </si>
  <si>
    <t>Gebr. Metz, Tübingen (Nr. 170 B 37)</t>
  </si>
  <si>
    <t>Schwangau / Füssen</t>
  </si>
  <si>
    <t>S/W-Ansichtskarte mit Stempel Hohenschwangau vom 02.10.1918, gelaufen</t>
  </si>
  <si>
    <t>Hohenschwangau / Mannheim, 02.10.1918</t>
  </si>
  <si>
    <t>Familie Willi Paulen, Mannheim, Erlenstr. 50</t>
  </si>
  <si>
    <t>Schloss Neuschwanstein, Schwangau, Alpen, Gebr. Metz Tübingen, 1918, Mannheim</t>
  </si>
  <si>
    <t>AK-2026-0089</t>
  </si>
  <si>
    <t>Marktredwitz – Am Schwanenteich im Stadtpark</t>
  </si>
  <si>
    <t>Otto Oertel, Marktredwitz (Verlag VI 1921)</t>
  </si>
  <si>
    <t>Marktredwitz</t>
  </si>
  <si>
    <t>Farbige Litho-Ansichtskarte mit historischer Notiz, ungelaufen</t>
  </si>
  <si>
    <t>Um 1921</t>
  </si>
  <si>
    <t>Marktredwitz, Schwanenteich, Stadtpark, Otto Oertel, Oberfranken, ungelaufen</t>
  </si>
  <si>
    <t>AK-2026-0090</t>
  </si>
  <si>
    <t>Bad Kissingen – Kurhaus</t>
  </si>
  <si>
    <t>Unbekannter Verlag (Nr. 97688)</t>
  </si>
  <si>
    <t>Bad Kissingen</t>
  </si>
  <si>
    <t>S/W-Ansichtskarte mit Stempel Bad Kissingen von 1918, gelaufen</t>
  </si>
  <si>
    <t>Bad Kissingen / Hersbruck, 1918</t>
  </si>
  <si>
    <t>Frau Anna Geriq, Hersbruck, Kirchgasse 298</t>
  </si>
  <si>
    <t>Bad Kissingen, Kurhaus, Unterfranken, 1918, Hersbruck, Ansichtskarte</t>
  </si>
  <si>
    <t>AK-2026-0091</t>
  </si>
  <si>
    <t>Pfarrkirche Parsberg (Architekt H. Hauberrisser jun., Regensburg)</t>
  </si>
  <si>
    <t>Meisenbach Riffarth &amp; Co., Berlin-Schöneberg</t>
  </si>
  <si>
    <t>Parsberg (Oberpfalz)</t>
  </si>
  <si>
    <t>Topografie / Architektur / Kirche</t>
  </si>
  <si>
    <t>Farbiger Dreifarben-Lichtdruck, ungelaufen</t>
  </si>
  <si>
    <t>Um 1910/1920</t>
  </si>
  <si>
    <t>Parsberg, Pfarrkirche, St. Andreas, Architekt Hauberrisser, Oberpfalz, Meisenbach Riffarth, ungelaufen</t>
  </si>
  <si>
    <t>AK-2026-0092</t>
  </si>
  <si>
    <t>Gruss aus Maria Eck (Kloster und Kirche)</t>
  </si>
  <si>
    <t>Franz Schemm, Kunstanstalt, Nürnberg (Nr. 3308)</t>
  </si>
  <si>
    <t>Maria Eck / Siegsdorf (Oberbayern)</t>
  </si>
  <si>
    <t>Topografie / Wallfahrtsort / Litho</t>
  </si>
  <si>
    <t>Gut bis Sehr gut (Z2/Z1-)</t>
  </si>
  <si>
    <t>Farbige Litho-Ansichtskarte mit Sonderstempel und Poststempel Siegsdorf vom 31.07.1902, gelaufen</t>
  </si>
  <si>
    <t>Siegsdorf / Reichenhall, 31.07.1902</t>
  </si>
  <si>
    <t>H. Hochwürden Herrn Pfarrer Anton Windhagen, in Bischofswiesen b. Berchtesgaden</t>
  </si>
  <si>
    <t>Maria Eck, Wallfahrtsort, Kloster, Siegsdorf, Oberbayern, 1902, Franz Schemm Nürnberg, Pfarrer Windhagen, Bischofswiesen</t>
  </si>
  <si>
    <t>AK-2026-0093</t>
  </si>
  <si>
    <t>Gruß aus Regensburg (Dominikanerkirche, St. Blasius, Albertuskapelle)</t>
  </si>
  <si>
    <t>Alfred Coppenrath's Sortimentsbuchhandlung, Regensburg</t>
  </si>
  <si>
    <t>Topografie / Mehrfachansicht / Kirche</t>
  </si>
  <si>
    <t>S/W-Mehrfachansichtskarte mit Stempel Straubing vom 17.11.1917, gelaufen, mit Ankunftsstempel Wiesenfelden</t>
  </si>
  <si>
    <t>Straubing / Wiesenfelden, 17.11.1917</t>
  </si>
  <si>
    <t>Hochwürdigen Herrn Pfarrer Anton Windhagen, Wiesenfelden</t>
  </si>
  <si>
    <t>Regensburg, Dominikanerkirche, St. Blasius, Albertus Magnus, Alfred Coppenrath, 1917, Pfarrer Windhagen, Wiesenfelden</t>
  </si>
  <si>
    <t>AK-2026-0094</t>
  </si>
  <si>
    <t>München – Hotel „Drei Raben“</t>
  </si>
  <si>
    <t>Franz Hayer, München</t>
  </si>
  <si>
    <t>Topografie / Hotel / Litho</t>
  </si>
  <si>
    <t>Farbige Litho-Ansichtskarte mit Stempel München vom 24.07.1903, gelaufen, mit Ankunftsstempel Wiesenfelden</t>
  </si>
  <si>
    <t>München / Wiesenfelden, 24./25.07.1903</t>
  </si>
  <si>
    <t>Frau Elisabeth Windhager, Privatinhaberin, Wiesenfelden b. Bogen</t>
  </si>
  <si>
    <t>München, Hotel Drei Raben, Franz Hayer, 1903, Wiesenfelden, Elisabeth Windhager</t>
  </si>
  <si>
    <t>AK-2026-0095</t>
  </si>
  <si>
    <t>Gruss aus Regensburg (Kgl. Lyceum u. Studienkirche)</t>
  </si>
  <si>
    <t>C. Palestrini, Regensburg</t>
  </si>
  <si>
    <t>Topografie / Ansichtskarte / Grafik</t>
  </si>
  <si>
    <t>Historische Grafik-Ansichtskarte mit Poststempel Regensburg vom 10.01.1913, gelaufen</t>
  </si>
  <si>
    <t>Regensburg, 10.01.1913</t>
  </si>
  <si>
    <t>Familie Joseph Lauerer, Gend.-Oberkommissär, Parsberg (Opf.)</t>
  </si>
  <si>
    <t>Regensburg, Kgl. Lyceum, Studienkirche, C. Palestrini, 1913, Familie Lauerer, Parsberg</t>
  </si>
  <si>
    <t>AK-2026-0096</t>
  </si>
  <si>
    <t>Schloss Parsberg (Bayerische Oberpfalz) – Prof. Hans Rud. Schulze Nr. 6</t>
  </si>
  <si>
    <t>Dr. Trenkler Co., Dresden (nach Prof. Hans Rud. Schulze)</t>
  </si>
  <si>
    <t>Topografie / Schloss / Künstlerkarte</t>
  </si>
  <si>
    <t>Farbige Künstler-Ansichtskarte mit Stempel Regensburg vom 10.01.1913, gelaufen</t>
  </si>
  <si>
    <t>Schloss Parsberg, Oberpfalz, Prof. Hans Rud. Schulze, Deutsche Burgen, 1913, Familie Lauerer</t>
  </si>
  <si>
    <t>AK-2026-0097</t>
  </si>
  <si>
    <t>Regensburg – Dom, Westfront und Kgl. Villa</t>
  </si>
  <si>
    <t>Meissner &amp; Buch, Leipzig (Nr. 4629)</t>
  </si>
  <si>
    <t>Topografie / Mehrfachansicht / Litho</t>
  </si>
  <si>
    <t>Farbige Litho-Ansichtskarte mit Poststempel Regensburg, gelaufen, mit Ankunftsstempel Wiesenfelden</t>
  </si>
  <si>
    <t>Unbekannt (ca. 1900-1910)</t>
  </si>
  <si>
    <t>Regensburg / Wiesenfelden</t>
  </si>
  <si>
    <t>Hochwürdigsten Hochgeschätzten Herrn Anton Windhager, Pfarrer, Wiesenfelden (Niederbayern)</t>
  </si>
  <si>
    <t>Regensburg, Dom Westfront, Königliche Villa, Meissner &amp; Buch, Pfarrer Anton Windhager, Wiesenfelden</t>
  </si>
  <si>
    <t>AK-2026-0098</t>
  </si>
  <si>
    <t>Farbige Künstler-Ansichtskarte, ungelaufen, unbeschrieben</t>
  </si>
  <si>
    <t>Um 1910/1915</t>
  </si>
  <si>
    <t>Schloss Parsberg, Oberpfalz, Prof. Hans Rud. Schulze, Deutsche Burgen, ungelaufen</t>
  </si>
  <si>
    <t>AK-2026-0099</t>
  </si>
  <si>
    <t>Gruss aus Schladming (Steiermark) – Mehrfachansicht mit Seilbahn &amp; Natur</t>
  </si>
  <si>
    <t>P. Ledermann, Wien I.</t>
  </si>
  <si>
    <t>Schladming (Steiermark, Österreich)</t>
  </si>
  <si>
    <t>Topografie / Mehrfachansicht / Echtfotokarte</t>
  </si>
  <si>
    <t>Schwarz-weiße Echtfotokarte mit Poststempel Radstadt vom 21.08.1959, gelaufen</t>
  </si>
  <si>
    <t>Radstadt, 21.08.1959</t>
  </si>
  <si>
    <t>Frau Elsbeth Weiß, (13a) Wareldorf b. Mgg. / Am Weihersee (Deutschland)</t>
  </si>
  <si>
    <t>Schladming, Steiermark, Echtfoto, Mehrfachansicht, Seilbahn, Radstadt, 1959, Familie Weiß</t>
  </si>
  <si>
    <t>AK-2026-0100</t>
  </si>
  <si>
    <t>Gruss aus dem Klerikal-Seminar (Regensburg)</t>
  </si>
  <si>
    <t>Joh. Graf, Regensburg</t>
  </si>
  <si>
    <t>Topografie / Sakralbau / Litho</t>
  </si>
  <si>
    <t>Lithografische Ansichtskarte, auf Vorderseite beschrieben und gelaufen, mit Stempel vom 12./13.06.1902</t>
  </si>
  <si>
    <t>Regensburg, 12.06.1902 (Ankunft Wiesenfelden 13.06.1902)</t>
  </si>
  <si>
    <t>Hh. Pfarrer Anton Windhager, Wiesenfelden, Bayr. Wald</t>
  </si>
  <si>
    <t>Regensburg, Klerikarseminar, St. Wolfgang, Joh. Graf, Pfarrer Anton Windhager, Wiesenfelden, 1902</t>
  </si>
  <si>
    <t>AK-2026-0102</t>
  </si>
  <si>
    <t>Gruss aus dem Maintal (Vierzehnheiligen – Staffelberg – Schloss Banz)</t>
  </si>
  <si>
    <t>Kunstverlag J. Hospe, Staffelstein (Nr. 11/68)</t>
  </si>
  <si>
    <t>Maintal / Staffelstein / Vierzehnheiligen</t>
  </si>
  <si>
    <t>Topografie / Landschaft / Kunstkarte</t>
  </si>
  <si>
    <t>Schwarz-weiße Ansichtskarte (Echte Photographie nach Zeichnung), ungelaufen, unbeschrieben</t>
  </si>
  <si>
    <t>Um 1920/1930</t>
  </si>
  <si>
    <t>Maintal, Vierzehnheiligen, Staffelberg, Schloss Banz, Hospe Staffelstein, ungelaufen</t>
  </si>
  <si>
    <t>AK-2026-0101</t>
  </si>
  <si>
    <t>Rothenburg ob der Tauber – Burgtor</t>
  </si>
  <si>
    <t>Gerhard Blümlein &amp; Co., Frankfurt a. M. (Nr. 20/7)</t>
  </si>
  <si>
    <t>Rothenburg ob der Tauber</t>
  </si>
  <si>
    <t>Topografie / Stadtansicht / Tor</t>
  </si>
  <si>
    <t>Historische Ansichtskarte, postalisch gelaufen mit Stempel vom 12.03.1914</t>
  </si>
  <si>
    <t>Rothenburg o. T., 12.03.1914</t>
  </si>
  <si>
    <t>Herrn Seminarist Georg Schrems, Schwabach, Seminar</t>
  </si>
  <si>
    <t>Rothenburg ob der Tauber, Burgtor, Blümlein, Seminarist Georg Schrems, Schwabach, 1914</t>
  </si>
  <si>
    <t>AK-2026-0103</t>
  </si>
  <si>
    <t>Kloster Weltenburg an der Donau</t>
  </si>
  <si>
    <t>Martin Herpich, Kunst- u. Verlagsanstalt, München (Nr. 865)</t>
  </si>
  <si>
    <t>Kelheim / Weltenburg (Niederbayern)</t>
  </si>
  <si>
    <t>Topografie / Kloster / Donau / Uvachrom</t>
  </si>
  <si>
    <t>Farbige Ansichtskarte nach Uvachrom-Aufnahme, mit Poststempel Kelheim vom 13.06.1944, gelaufen</t>
  </si>
  <si>
    <t>Kelheim, 13.06.1944</t>
  </si>
  <si>
    <t>Fam. Joseph Sauerer, Gend. Oberk., Lupburg 10pf. bei Parsberg</t>
  </si>
  <si>
    <t>Kloster Weltenburg, Donau, Kelheim, Herpich München, Uvachrom, Familie Sauerer, Lupburg, 1944</t>
  </si>
  <si>
    <t>AK-2026-0104</t>
  </si>
  <si>
    <t>Neigermühle b. Regen / Bayer. Wald – Seegasthof und Mühle</t>
  </si>
  <si>
    <t>Schöning &amp; Co., Lübeck (Bestellnr. Regen 69)</t>
  </si>
  <si>
    <t>Neigermühle / Regen (Bayerischer Wald)</t>
  </si>
  <si>
    <t>Topografie / Gasthof / Natur</t>
  </si>
  <si>
    <t>Schwarz-weiße Ansichtskarte (Foto), mit Poststempel Regen vom 06.06.1957, gelaufen</t>
  </si>
  <si>
    <t>Regen, 06.06.1957</t>
  </si>
  <si>
    <t>Fam. Josef Sauerer, Lupburg, Opf. bei Parsberg</t>
  </si>
  <si>
    <t>Neigermühle, Regen, Bayerischer Wald, Seegasthof Klimmer, Schöning Lübeck, Familie Sauerer, Lupburg, 1957</t>
  </si>
  <si>
    <t>AK-2026-0105</t>
  </si>
  <si>
    <t>Gruss aus Lupburg (Oberpfalz) – Gesamtansicht mit Burg</t>
  </si>
  <si>
    <t>Joh. Landfried, Lupburg</t>
  </si>
  <si>
    <t>Topografie / Ortsansicht / Burg</t>
  </si>
  <si>
    <t>Historische Ansichtskarte (Soldatenkarte, gebührenfrei), gelaufen mit Poststempel vom 16.09.1908</t>
  </si>
  <si>
    <t>Lupburg, 16.09.1908</t>
  </si>
  <si>
    <t>Herrn Josef Sauerer, Wohlgeboren, Grünstande, Post Hemau</t>
  </si>
  <si>
    <t>Lupburg, Oberpfalz, Burg Lupburg, Landfried, Soldatenkarte, Josef Sauerer, Grünstande, Hemau, 1908</t>
  </si>
  <si>
    <t>AK-2026-0106</t>
  </si>
  <si>
    <t>Neue kath. Pfarrkirche Seubersdorf / Opf.</t>
  </si>
  <si>
    <t>Bildkunst-Verlag Poppe, Bad Kissingen (Nr. 1646)</t>
  </si>
  <si>
    <t>Seubersdorf in der Oberpfalz</t>
  </si>
  <si>
    <t>Topografie / Sakralbau / Kirche</t>
  </si>
  <si>
    <t>Schwarz-weiße Echtfotokarte mit eingedrucktem Weihe-Gedenken (1949), handschriftlich datiert 12.04.1953</t>
  </si>
  <si>
    <t>Seubersdorf, 12.04.1953</t>
  </si>
  <si>
    <t>Familie Sauerer-Bartman</t>
  </si>
  <si>
    <t>Seubersdorf, Oberpfalz, Pfarrkirche, Poppe Bad Kissingen, Konsekration 1949, Heilige Mission 1953, Familie Sauerer-Bartman</t>
  </si>
  <si>
    <t>AK-2026-0107</t>
  </si>
  <si>
    <t>Walchenseekraftwerk (Nutzbares Gefälle 200m, Leistung 108000 P.S.)</t>
  </si>
  <si>
    <t>Photo-Atelier Hermann Sahm in Kochel am See (Nr. 4018)</t>
  </si>
  <si>
    <t>Kochel am See / Walchenseekraftwerk (Oberbayern)</t>
  </si>
  <si>
    <t>Topografie / Technik / Kraftwerk / Industrie</t>
  </si>
  <si>
    <t>Schwarz-weiße Echtfotokarte, ungelaufen, unbeschrieben</t>
  </si>
  <si>
    <t>Um 1930</t>
  </si>
  <si>
    <t>Walchenseekraftwerk, Kochel am See, Druckrohrleitungen, Hermann Sahm, Technikgeschichte, ungelaufen</t>
  </si>
  <si>
    <t>AK-2026-0108</t>
  </si>
  <si>
    <t>München – Löwenbräukeller</t>
  </si>
  <si>
    <t>E. Fröhlich, München (Bestellnr. B 31200 E.)</t>
  </si>
  <si>
    <t>Topografie / Architektur / Gastronomie</t>
  </si>
  <si>
    <t>Historische Ansichtskarte mit Neujahrswünschen, postalisch gelaufen mit Stempel vom 30./31.12.1902</t>
  </si>
  <si>
    <t>München, 30.12.1902 (Ankunft Wiesenfelden 31.12.1902)</t>
  </si>
  <si>
    <t>Hh. Hochwürdigen Herrn Anton Windhager, Pfarrer, in Wiesenfelden b. Straubing</t>
  </si>
  <si>
    <t>München, Löwenbräukeller, Fröhlich München, Pfarrer Anton Windhager, Wiesenfelden, 1902</t>
  </si>
  <si>
    <t>AK-2026-0109</t>
  </si>
  <si>
    <t>Nürnberg vom Hallertor</t>
  </si>
  <si>
    <t>Hermann Martin, Kunstverlag, Nürnberg (Nr. 201)</t>
  </si>
  <si>
    <t>Topografie / Stadtansichten / Lithografie</t>
  </si>
  <si>
    <t>Farbige Lithografie, postalisch gelaufen mit bayerischer 5-Pfennig-Marke</t>
  </si>
  <si>
    <t>Um 1900</t>
  </si>
  <si>
    <t>Unbekannt (Stempel partiell)</t>
  </si>
  <si>
    <t>Fräulein Marie Vogel, K. Postexpeditöse, Lauf a. Pegnitz</t>
  </si>
  <si>
    <t>Nürnberg, Hallertor, Kaiserburg, Hermann Martin, Lithografie, Lauf an der Pegnitz, um 1900</t>
  </si>
  <si>
    <t>AK-2026-0110</t>
  </si>
  <si>
    <t>Bamberg – Krankenhaus mit Michelsberg</t>
  </si>
  <si>
    <t>Unbekannt (Verlag von Bamberg)</t>
  </si>
  <si>
    <t>Bamberg</t>
  </si>
  <si>
    <t>Topografie / Stadtansichten / Medizin</t>
  </si>
  <si>
    <t>Historische Ansichtskarte, postalisch gelaufen mit Reichspost-Stempel vom 13.04.1936</t>
  </si>
  <si>
    <t>Bamberg, 13.04.1936</t>
  </si>
  <si>
    <t>Frau Grete Meister, Heilstätte Bischofsgrün i. Fichtelgebirge</t>
  </si>
  <si>
    <t>Bamberg, Michelsberg, Krankenhaus, Bischofsgrün, Fichtelgebirge, 1936</t>
  </si>
  <si>
    <t>AK-2026-0111</t>
  </si>
  <si>
    <t>Blick auf München vom Maximilianeum aus</t>
  </si>
  <si>
    <t>Unbekannt (Lithografie / Farbdruck)</t>
  </si>
  <si>
    <t>Topografie / Militaria / Feldpost / Lithografie</t>
  </si>
  <si>
    <t>Farbige lithografische Ansichtskarte, gelaufen als Feldpost im Dezember 1914</t>
  </si>
  <si>
    <t>München, 22.12.1914</t>
  </si>
  <si>
    <t>Landwehrmann Andreas Harrer, Landw. Inf. Rgt. 4, Platschen Garten, Würzburg</t>
  </si>
  <si>
    <t>München, Maximilianeum, Feldpost, Erster Weltkrieg, 1914, Andreas Harrer, Würzburg</t>
  </si>
  <si>
    <t>AK-2026-0112</t>
  </si>
  <si>
    <t>Rothenburg o. T. (Gesamtansicht)</t>
  </si>
  <si>
    <t>Trinks &amp; Co., Leipzig (Verlagsnummer Nr. 4)</t>
  </si>
  <si>
    <t>Topografie / Stadtansichten</t>
  </si>
  <si>
    <t>Kolorierte Ansichtskarte, frankiert mit Volksstaat-Bayern-Marken, gelaufen im Mai 1919</t>
  </si>
  <si>
    <t>Rothenburg ob der Tauber, 15.05.1919</t>
  </si>
  <si>
    <t>Herrn Otto Raithel, Hof i. Saale, Mozartstraße</t>
  </si>
  <si>
    <t>Rothenburg ob der Tauber, Volksstaat Bayern, Trinks &amp; Co., Otto Raithel, Hof an der Saale, 1919</t>
  </si>
  <si>
    <t>AK-2026-0113</t>
  </si>
  <si>
    <t>Berchtesgaden – Abfahrt aus dem Bergwerk (Ferdinand-Berg)</t>
  </si>
  <si>
    <t>B. Lehrburger, Nürnberg (Nr. L 11084)</t>
  </si>
  <si>
    <t>Berchtesgaden</t>
  </si>
  <si>
    <t>Topografie / Bergbau / Salzbergwerk</t>
  </si>
  <si>
    <t>Historische Ansichtskarte, ungelaufen, unbeschrieben</t>
  </si>
  <si>
    <t>Um 1910</t>
  </si>
  <si>
    <t>Berchtesgaden, Salzbergwerk, Ferdinand-Berg, Grubenbahn, Bergbau, B. Lehrburger, Nürnberg, ungelaufen</t>
  </si>
  <si>
    <t>AK-2026-0115</t>
  </si>
  <si>
    <t>Lupburg / Opf. (Gesamtansicht mit Burg)</t>
  </si>
  <si>
    <t>Aero-Bild-Verlag, Fulda (Nr. 54341)</t>
  </si>
  <si>
    <t>Topografie / Ortsansichten / Burgen</t>
  </si>
  <si>
    <t>Echte Photographie auf Perutz-Film, ungelaufen, unbeschrieben</t>
  </si>
  <si>
    <t>Um 1950</t>
  </si>
  <si>
    <t>Lupburg, Oberpfalz, Burg Lupburg, Aero-Bild-Verlag, Fulda, Perutz-Film, ungelaufen</t>
  </si>
  <si>
    <t>AK-2026-0114</t>
  </si>
  <si>
    <t>Berchtesgaden m. Watzmann, Schönfeldspitze, Funtensee u. Grünsee-Tauern</t>
  </si>
  <si>
    <t>Alpenkunstverlag F.G. Zeitz, Königssee Ob. Bay. (Nr. 196)</t>
  </si>
  <si>
    <t>Topografie / Alpen / Watzmann</t>
  </si>
  <si>
    <t>Historische Ansichtskarte mit Postbus-Sonderstempel, gelaufen im Juli 1931</t>
  </si>
  <si>
    <t>Berchtesgaden, 10.07.1931</t>
  </si>
  <si>
    <t>Bürgermeister Müller, z.Zt. Trier (Mosel), Mutterhaus der Borromäerinnen, Krahnenstraße, z.Hd. Angela</t>
  </si>
  <si>
    <t>Berchtesgaden, Watzmann, F.G. Zeitz, Postbus-Werbung, Bürgermeister Müller, Trier, 1931</t>
  </si>
  <si>
    <t>AK-2026-0116</t>
  </si>
  <si>
    <t>Ensdorf / Oberpfalz (Mehrbildkarte)</t>
  </si>
  <si>
    <t>kelly-druck GmbH, Abensberg</t>
  </si>
  <si>
    <t>Ensdorf (Oberpfalz)</t>
  </si>
  <si>
    <t>Topografie / Ortsansichten / Mehrbildkarte</t>
  </si>
  <si>
    <t>Farbige Mehrbild-Ansichtskarte, ungelaufen, unbeschrieben</t>
  </si>
  <si>
    <t>Moderne (ca. 1980/90er)</t>
  </si>
  <si>
    <t>Ensdorf, Oberpfalz, kelly-druck Abensberg, Mehrbildkarte, ungelaufen</t>
  </si>
  <si>
    <t>AK-2026-0117</t>
  </si>
  <si>
    <t>Oberammergau, Pilatushaus u. Kofel</t>
  </si>
  <si>
    <t>Lichtbild-Verlag Dr. Greiff, Garmisch-Partenkirchen (Nr. 558)</t>
  </si>
  <si>
    <t>Topografie / Ortsansichten / Architektur</t>
  </si>
  <si>
    <t>Echte Foto-Ansichtskarte mit Büttenrand, ungelaufen, unbeschrieben</t>
  </si>
  <si>
    <t>Oberammergau, Pilatushaus, Kofel, Lüftlmalerei, Dr. Greiff, ungelaufen</t>
  </si>
  <si>
    <t>AK-2026-0118</t>
  </si>
  <si>
    <t>Hof i. B. – Anlagen auf dem Theresienstein / Bismarckturm</t>
  </si>
  <si>
    <t>Verlag von Leopold Göcke, Hof</t>
  </si>
  <si>
    <t>Hof (Saale)</t>
  </si>
  <si>
    <t>Topografie / Ortsansichten / Parkanlagen</t>
  </si>
  <si>
    <t>Historische Mehrbild-Ansichtskarte, ungelaufen, unbeschrieben</t>
  </si>
  <si>
    <t>Um 1905</t>
  </si>
  <si>
    <t>Hof an der Saale, Theresienstein, Bismarckturm, Leopold Göcke, ungeteilte Rückseite, ungelaufen</t>
  </si>
  <si>
    <t>AK-2026-0119</t>
  </si>
  <si>
    <t>Gruß aus Grafenau, Bayer. Wald (Mehrbildkarte mit Rachel &amp; Lusen)</t>
  </si>
  <si>
    <t>Ansichtskartenverlag Josef Brana, Deggendorf (Nr. 531)</t>
  </si>
  <si>
    <t>Grafenau (Bayerischer Wald)</t>
  </si>
  <si>
    <t>Topografie / Bayerischer Wald / Mehrbildkarte</t>
  </si>
  <si>
    <t>Historische Mehrbild-Ansichtskarte mit Briefmarke und Stempel, gelaufen im August 1959</t>
  </si>
  <si>
    <t>Grafenau, 12.08.1959</t>
  </si>
  <si>
    <t>Fräulein Gabriele Sauerer, Lupburg Opf., Kreis Parsberg Opf.</t>
  </si>
  <si>
    <t>Grafenau, Bayerischer Wald, Rachel, Lusen, Josef Brana, Gabriele Sauerer, Lupburg, 1959</t>
  </si>
  <si>
    <t>AK-2026-0120</t>
  </si>
  <si>
    <t>Oberammergau (Gesamtansicht mit Bergpanorama)</t>
  </si>
  <si>
    <t>Gebrüder Mühlstein, Offenbach a. M. (Nr. 3574)</t>
  </si>
  <si>
    <t>Topografie / Ortsansichten / Alpen</t>
  </si>
  <si>
    <t>Historische Ansichtskarte mit ungeteilter Rückseite, gelaufen im Juni 1903</t>
  </si>
  <si>
    <t>Kohlgrub, 29.06.1903 (Ankunft Hof 30.06.1903)</t>
  </si>
  <si>
    <t>Herrn Carl Raithel, Großhändlers Ww., Hof a/Saale, Oberfranken</t>
  </si>
  <si>
    <t>Oberammergau, Kohlgrub, Gebrüder Mühlstein, Carl Raithel, Hof an der Saale, 1903, ungeteilte Rückseite</t>
  </si>
  <si>
    <t>AK-2026-0121</t>
  </si>
  <si>
    <t>Würzburg – Partie aus dem Hofgarten</t>
  </si>
  <si>
    <t>Unbekannt (Verlag nicht genannt)</t>
  </si>
  <si>
    <t>Würzburg</t>
  </si>
  <si>
    <t>Topografie / Ortsansichten / Parks</t>
  </si>
  <si>
    <t>Historische Ansichtskarte mit geteilter Rückseite, gelaufen</t>
  </si>
  <si>
    <t>Herrn Otto Raithel, Hotel zur Sonne, Würzburg, Bahnhofstraße</t>
  </si>
  <si>
    <t>Würzburg, Hofgarten, Otto Raithel, Hotel zur Sonne, geteilte Rückseite, gelaufen</t>
  </si>
  <si>
    <t>AK-2026-0122</t>
  </si>
  <si>
    <t>Gruss aus Nürnberg – Burgeingang (Kaiserburg)</t>
  </si>
  <si>
    <t>Verlag d. S. Soldan'schen Hofbuchh., Nürnberg</t>
  </si>
  <si>
    <t>Topografie / Städteansichten / Nürnberg</t>
  </si>
  <si>
    <t>Historische Lithographie-Ansichtskarte, gelaufen im September 1910</t>
  </si>
  <si>
    <t>Nürnberg, 14.09.1910</t>
  </si>
  <si>
    <t>Herrn Otto Raithel, Hof a/Saale, Wörthstr. 1</t>
  </si>
  <si>
    <t>Nürnberg, Kaiserburg, Burgeingang, Soldan'sche Hofbuchhandlung, Otto Raithel, Hof an der Saale, 1910, Lithographie</t>
  </si>
  <si>
    <t>AK-2026-0123</t>
  </si>
  <si>
    <t>Westlicher Zugspitzgipfel (2964 m) mit Münchner Haus und Hochobservatorium</t>
  </si>
  <si>
    <t>Orig.-Aufnahme u. Verlag v. B. Johannes, Partenkirchen-Garmisch (No. 285)</t>
  </si>
  <si>
    <t>Zugspitze / Garmisch-Partenkirchen</t>
  </si>
  <si>
    <t>Topografie / Alpen / Bergbahn &amp; Hütten</t>
  </si>
  <si>
    <t>Historische Ansichtskarte mit Sonderstempel Partnachklamm, gelaufen</t>
  </si>
  <si>
    <t>Herren Otto &amp; Karl Raithel, Hof a/Saale, Wörthstraße I</t>
  </si>
  <si>
    <t>Zugspitze, Münchner Haus, B. Johannes, Partenkirchen, Otto Raithel, Karl Raithel, Hof an der Saale, Partnachklamm</t>
  </si>
  <si>
    <t>AK-2026-0124</t>
  </si>
  <si>
    <t>Kulmbach – Blick auf die Petrikirche</t>
  </si>
  <si>
    <t>Selbstverlag Fr. Limmer, Kulmbach (No. 16)</t>
  </si>
  <si>
    <t>Kulmbach</t>
  </si>
  <si>
    <t>Topografie / Ortsansichten / Kirchen</t>
  </si>
  <si>
    <t>Historische Ansichtskarte mit geteilter Rückseite, gelaufen im Dezember 1910</t>
  </si>
  <si>
    <t>Kulmbach, 02.12.1910</t>
  </si>
  <si>
    <t>Herrn Seminarpräfekt Koller, Bayreuth, Seminar</t>
  </si>
  <si>
    <t>Kulmbach, Petrikirche, Fr. Limmer, Seminarpräfekt Koller, Bayreuth, 1910</t>
  </si>
  <si>
    <t>AK-2026-0125</t>
  </si>
  <si>
    <t>Kloster Andechs (Gesamtansicht mit Alpenpanorama)</t>
  </si>
  <si>
    <t>Ottmar Zieher, München (Nr. 167)</t>
  </si>
  <si>
    <t>Andechs</t>
  </si>
  <si>
    <t>Topografie / Klöster &amp; Kirchen</t>
  </si>
  <si>
    <t>Historische Ansichtskarte mit Klosterstempel, gelaufen im August 1927</t>
  </si>
  <si>
    <t>Andechs, 08.08.1927</t>
  </si>
  <si>
    <t>Frau Hanna Müller, Miltenberg a. M., Walldürner Straße 1</t>
  </si>
  <si>
    <t>Kloster Andechs, Ottmar Zieher, Hanna Müller, Miltenberg, 1927, Sonderstempel</t>
  </si>
  <si>
    <t>AK-2026-0126</t>
  </si>
  <si>
    <t>Kurort Wörishofen – Kneipp-Straße</t>
  </si>
  <si>
    <t>Verlag J. Feichtinger's Wwe., Wörishofen (No. 006)</t>
  </si>
  <si>
    <t>Bad Wörishofen</t>
  </si>
  <si>
    <t>Topografie / Kurorte / Bad Wörishofen</t>
  </si>
  <si>
    <t>Historische kolorierte Ansichtskarte, gelaufen im August 1920</t>
  </si>
  <si>
    <t>Bad Wörishofen, 12.08.1920</t>
  </si>
  <si>
    <t>Marie Käse, Obere Mühle, Eggolsheim b. Bamberg</t>
  </si>
  <si>
    <t>Bad Wörishofen, Kneipp-Straße, Feichtinger, Marie Käse, Eggolsheim, Bamberg, 1920</t>
  </si>
  <si>
    <t>AK-2026-0127</t>
  </si>
  <si>
    <t>Gössweinstein (Fränk. Schweiz) – Gesamtansicht mit Basilika und Burg</t>
  </si>
  <si>
    <t>Foto u. Verlag F. H. Dennerlein, Nürnberg-N.</t>
  </si>
  <si>
    <t>Gössweinstein</t>
  </si>
  <si>
    <t>Topografie / Fränkische Schweiz / Gössweinstein</t>
  </si>
  <si>
    <t>Historische Ansichtskarte, gelaufen im September 1942</t>
  </si>
  <si>
    <t>Gössweinstein, 28.09.1942</t>
  </si>
  <si>
    <t>Herr Lorenz Müller u. Frau Gemahlin, Obermichelbach über Wassertrüdingen</t>
  </si>
  <si>
    <t>Gössweinstein, Fränkische Schweiz, Dennerlein, Lorenz Müller, Obermichelbach, 1942</t>
  </si>
  <si>
    <t>AK-2026-0128</t>
  </si>
  <si>
    <t>Bayreuth – Vor dem Festspielhaus</t>
  </si>
  <si>
    <t>P. H. B. (Nr. 134)</t>
  </si>
  <si>
    <t>Topografie / Kultur &amp; Musik / Bayreuth</t>
  </si>
  <si>
    <t>Historische Feldpost-Ansichtskarte, gelaufen im Mai 1915</t>
  </si>
  <si>
    <t>Bayreuth, 28.05.1915</t>
  </si>
  <si>
    <t>Herr Raithel (Bankier), Hof i. B., Wirthstraße</t>
  </si>
  <si>
    <t>Bayreuth, Festspielhaus, P.H.B., Feldpost, Raithel, Hof, 1915</t>
  </si>
  <si>
    <t>AK-2026-0129</t>
  </si>
  <si>
    <t>Oberammergau – Total mit Kofel u. Noth</t>
  </si>
  <si>
    <t>Photo-Verlag H. Kronburger, Oberammergau</t>
  </si>
  <si>
    <t>Topografie / Oberbayern / Oberammergau</t>
  </si>
  <si>
    <t>Historische Ansichtskarte, gelaufen im Mai 1953</t>
  </si>
  <si>
    <t>Bernau, 26.05.1953</t>
  </si>
  <si>
    <t>Frau Karl Paulkner, Obereuthe 26, Post Feldkirchen über Westerham</t>
  </si>
  <si>
    <t>Oberammergau, Kofel, Kronburger, Karl Paulkner, Feldkirchen, Westerham, 1953</t>
  </si>
  <si>
    <t>AK-2026-0130</t>
  </si>
  <si>
    <t>AK-2026-0131</t>
  </si>
  <si>
    <t>AK-2026-0132</t>
  </si>
  <si>
    <t>AK-2026-0133</t>
  </si>
  <si>
    <t>AK-2026-0134</t>
  </si>
  <si>
    <t>AK-2026-0135</t>
  </si>
  <si>
    <t>AK-2026-0136</t>
  </si>
  <si>
    <t>AK-2026-0137</t>
  </si>
  <si>
    <t>AK-2026-0138</t>
  </si>
  <si>
    <t>AK-2026-0139</t>
  </si>
  <si>
    <t>AK-2026-0140</t>
  </si>
  <si>
    <t>AK-2026-0141</t>
  </si>
  <si>
    <t>AK-2026-0142</t>
  </si>
  <si>
    <t>AK-2026-0143</t>
  </si>
  <si>
    <t>AK-2026-0144</t>
  </si>
  <si>
    <t>AK-2026-0145</t>
  </si>
  <si>
    <t>AK-2026-0146</t>
  </si>
  <si>
    <t>AK-2026-0147</t>
  </si>
  <si>
    <t>München – Löwenbräu-Keller (Diplom-Scherzkarte)</t>
  </si>
  <si>
    <t>Unbekannt / Humorverlag</t>
  </si>
  <si>
    <t>Topografie / Humor &amp; Brauchtum / München</t>
  </si>
  <si>
    <t>Historische illustrierte Scherz-Ansichtskarte, gelaufen im Februar 1909</t>
  </si>
  <si>
    <t>München, 02.02.1909</t>
  </si>
  <si>
    <t>Fräulein Marie Vogel, Kgl. Hofsängerin, Lupburg (Obpf.)</t>
  </si>
  <si>
    <t>München, Löwenbräu-Keller, Diplom, Marie Vogel, Hofsängerin, Lupburg, 1909</t>
  </si>
  <si>
    <t>Partie von Giesing (München) mit Heilig-Kreuz-Kirche</t>
  </si>
  <si>
    <t>Unbekannt / Kunstverlag</t>
  </si>
  <si>
    <t>München-Giesing</t>
  </si>
  <si>
    <t>Topografie / München / Giesing</t>
  </si>
  <si>
    <t>Historische kolorierte Lithographie, gelaufen im September 1902</t>
  </si>
  <si>
    <t>München, 06.09.1902</t>
  </si>
  <si>
    <t>Hochwürden Herr Anton Windhager, Pfarrer, Wiesenfelden über Niedertraubling</t>
  </si>
  <si>
    <t>München, Giesing, Heilig-Kreuz-Kirche, Anton Windhager, Wiesenfelden, 1902</t>
  </si>
  <si>
    <t>Gruss aus dem Mathäserbräu München (Fest-Saal)</t>
  </si>
  <si>
    <t>Verlag K. Sanguinetti, München</t>
  </si>
  <si>
    <t>Topografie / München / Brauereien &amp; Gaststätten</t>
  </si>
  <si>
    <t>Historische kolorierte Lithographie, gelaufen im September 1903</t>
  </si>
  <si>
    <t>München, 07.09.1903</t>
  </si>
  <si>
    <t>Hochwürden Herr Anton Windhager, Pfarrer, Wiesenfelden über Straubing</t>
  </si>
  <si>
    <t>München, Mathäserbräu, Festsaal, Sanguinetti, Anton Windhager, Wiesenfelden, 1903</t>
  </si>
  <si>
    <t>XXIII. Bundestag des D. R. B. Nürnberg (Kaiserburg)</t>
  </si>
  <si>
    <t>Verlag der „RAD-WELT“, Berlin SW.68</t>
  </si>
  <si>
    <t>Topografie / Nürnberg / Kaiserburg &amp; Veranstaltungen</t>
  </si>
  <si>
    <t>Historische Werbe-Ansichtskarte zum Radfahrer-Bund, ungelaufen (1906)</t>
  </si>
  <si>
    <t>Nürnberg, Kaiserburg, Bundestag, D.R.B., Rad-Welt, Berlin, 1906</t>
  </si>
  <si>
    <t>unbekannt</t>
  </si>
  <si>
    <t>München – Karolinenplatz mit Obelisk</t>
  </si>
  <si>
    <t>Topografie / München / Karolinenplatz</t>
  </si>
  <si>
    <t>Historische kolorierte Lithographie als Feldpost, gelaufen im Juli 1900</t>
  </si>
  <si>
    <t>München, 04.07.1900</t>
  </si>
  <si>
    <t>Herr Josef Panecer, Kgl. Gendarm, Oberviechtach (Obpf.)</t>
  </si>
  <si>
    <t>München, Karolinenplatz, Obelisk, Feldpost, Josef Panecer, Oberviechtach, 1900</t>
  </si>
  <si>
    <t>Momentaufnahme im Hofbräuhaus bei 35 Grad im Schatten</t>
  </si>
  <si>
    <t>Historische humorvolle Lithographie (Ottmar Zieher), gelaufen im Oktober 1902</t>
  </si>
  <si>
    <t>München, 20.10.1902</t>
  </si>
  <si>
    <t>München, Hofbräuhaus, Ottmar Zieher, Humor, Anton Windhager, Wiesenfelden, 1902</t>
  </si>
  <si>
    <t>Herman Martin, Kunstverlag, Nürnberg</t>
  </si>
  <si>
    <t>Topografie / Nürnberg / Hallertor &amp; Stadtmauer</t>
  </si>
  <si>
    <t>Historische Ansichtskarte (Herman Martin Nr. 201), gelaufen im Oktober 1905</t>
  </si>
  <si>
    <t>Nürnberg, 23.10.1905</t>
  </si>
  <si>
    <t>Herrn Josef Panecer, Gendarm, Nottersdorf (Post Ursensollen)</t>
  </si>
  <si>
    <t>Nürnberg, Hallertor, Hermann Martin, Feldpost, Josef Panecer, Nottersdorf, Ursensollen, 1905</t>
  </si>
  <si>
    <t>Nürnberg – Sebaldusklause und Handwerkskammer</t>
  </si>
  <si>
    <t>Unbekannt / Verlag</t>
  </si>
  <si>
    <t>Topografie / Nürnberg / Sebaldusklause &amp; Handwerkskammer</t>
  </si>
  <si>
    <t>Historische Ansichtskarte (Nr. 31 / 94468), ungelaufen</t>
  </si>
  <si>
    <t>Nürnberg, Sebaldusklause, Handwerkskammer, ungelaufen</t>
  </si>
  <si>
    <t>Nürnberg – Germanisches Museum</t>
  </si>
  <si>
    <t>Unbekannt / Verlag (R 716)</t>
  </si>
  <si>
    <t>Topografie / Nürnberg / Germanisches Museum</t>
  </si>
  <si>
    <t>Historische Ansichtskarte (R 716), gelaufen im Januar 1913</t>
  </si>
  <si>
    <t>Nürnberg, 27.01.1913</t>
  </si>
  <si>
    <t>Herrn [...] Würzburg bei [...]</t>
  </si>
  <si>
    <t>Nürnberg, Germanisches Museum, 1913</t>
  </si>
  <si>
    <t>München – Frauentürme</t>
  </si>
  <si>
    <t>Ottmar Zieher, München (Br. Nr. 1036)</t>
  </si>
  <si>
    <t>Topografie / München / Frauenkirche &amp; Turmbestiegung</t>
  </si>
  <si>
    <t>Historische Ansichtskarte mit Sonderstempel „Turmbestiegung“, gelaufen im Juli 1922</t>
  </si>
  <si>
    <t>München, 25.07.1922</t>
  </si>
  <si>
    <t>Frau Lorenz Müller, München, Hasenbergl Str. 57/II</t>
  </si>
  <si>
    <t>München, Frauentürme, Frauenkirche, Ottmar Zieher, Sonderstempel, Turmbestiegung, 1922</t>
  </si>
  <si>
    <t>München – Theatinerkirche u. Feldherrnhalle</t>
  </si>
  <si>
    <t>Monachia-Verlag G. m. b. H., München</t>
  </si>
  <si>
    <t>Topografie / München / Theatinerkirche &amp; Feldherrnhalle</t>
  </si>
  <si>
    <t>Historische Ansichtskarte (Monachia-Verlag), gelaufen im August 1931</t>
  </si>
  <si>
    <t>München, 11.08.1931</t>
  </si>
  <si>
    <t>Herrn L. Müller &amp; Frl. Luise Müller, Wilhelmsdorf (Seubersdorf)</t>
  </si>
  <si>
    <t>München, Theatinerkirche, Feldherrnhalle, Monachia-Verlag, L. Müller, Luise Müller, Wilhelmsdorf, Seubersdorf, 1931</t>
  </si>
  <si>
    <t>Gruss aus Cham</t>
  </si>
  <si>
    <t>B. Lehrburger, Nürnberg (No. 11444)</t>
  </si>
  <si>
    <t>Cham</t>
  </si>
  <si>
    <t>Topografie / Cham (Oberpfalz) / Stadtansicht</t>
  </si>
  <si>
    <t>Historische Ansichtskarte (No. 11444), gelaufen im September 1904 als Feldpost</t>
  </si>
  <si>
    <t>Roding / Velburg, 13.09.1904</t>
  </si>
  <si>
    <t>Herrn Josef Panecer, Gendarm, Velburg</t>
  </si>
  <si>
    <t>Cham, B. Lehrburger, Feldpost, Josef Panecer, Roding, Velburg, 1904</t>
  </si>
  <si>
    <t>Ingolstadt (Mehransichtenkarte)</t>
  </si>
  <si>
    <t>Karl Nischler, Ingolstadt</t>
  </si>
  <si>
    <t>Topografie / Ingolstadt / Mehransichten</t>
  </si>
  <si>
    <t>Historische Mehransichten-Ansichtskarte (Karl Nischler), gelaufen im November 1908</t>
  </si>
  <si>
    <t>Ingolstadt, 11.11.1908</t>
  </si>
  <si>
    <t>Fräulein Mari Pötz, Leasing b. Ingolstadt</t>
  </si>
  <si>
    <t>Ingolstadt, Karl Nischler, Mehransichten, Mari Pötz, Leasing, 1908</t>
  </si>
  <si>
    <t>Berlin – Die Kaiser-Alexander-Garde-Grenadiere kommen!</t>
  </si>
  <si>
    <t>Georg Stülke, Berlin NW. 7 (No. 29)</t>
  </si>
  <si>
    <t>Berlin</t>
  </si>
  <si>
    <t>Topografie / Berlin / Militär &amp; Kaiser-Alexander-Garde-Grenadiere</t>
  </si>
  <si>
    <t>Historische Ansichtskarte „Gross-Berlin“ (No. 29), ungelaufen</t>
  </si>
  <si>
    <t>Berlin, Kaiser-Alexander-Garde-Grenadiere, Militär, Georg Stülke, ungelaufen</t>
  </si>
  <si>
    <t>Regensburg – Dom-Süd-Portal</t>
  </si>
  <si>
    <t>Unbekannt / Verlag (Nr. 54)</t>
  </si>
  <si>
    <t>Topografie / Regensburg / Dom St. Peter &amp; Südportal</t>
  </si>
  <si>
    <t>Historische Ansichtskarte mit Schmuckrand (Nr. 54), ungelaufen</t>
  </si>
  <si>
    <t>Regensburg, Dom, Südportal, Dom St. Peter, ungelaufen</t>
  </si>
  <si>
    <t>Freiherr vom Stein (1831–1931) – Ganzsache</t>
  </si>
  <si>
    <t>Reichsdruckerei / Deutsches Reich</t>
  </si>
  <si>
    <t>Philatelie / Ganzsachen &amp; Motive / Deutsches Reich</t>
  </si>
  <si>
    <t>Amtliche Postkarte mit eingedruckter 8-RPf-Briefmarke (Hindenburg), ungelaufen</t>
  </si>
  <si>
    <t>Freiherr vom Stein, Ganzsache, Postkarte 1931, Deutsches Reich, ungelaufen</t>
  </si>
  <si>
    <t>Ammersee-Panorama vom Königsberg gegen Süden</t>
  </si>
  <si>
    <t>„SÜDBILD“ Alex. Bergmoser, München, Eching/A. (Nr. 5078)</t>
  </si>
  <si>
    <t>Ammersee / Oberbayern</t>
  </si>
  <si>
    <t>Topografie / Ammersee / Panorama &amp; Wappen</t>
  </si>
  <si>
    <t>Gebraucht / Gut (Z2)</t>
  </si>
  <si>
    <t>Historische Panoramakarte mit Ortswappen (Andechs, Diessen, Riederau, Utting), gelaufen im Dezember 1965</t>
  </si>
  <si>
    <t>Utting am Ammersee, 14.12.1965</t>
  </si>
  <si>
    <t>Frau Maria Bogner, Send.-Bergkamm. II., 8431 Lupburg b. Parsberg</t>
  </si>
  <si>
    <t>Ammersee, Panorama, SÜDBILD, Alex. Bergmoser, Wappen, Maria Bogner, Lupburg, Parsberg, 1965</t>
  </si>
  <si>
    <t>Se. Kgl. Hoheit Prinzregent Luitpold von Bayern (80. Geburtstag 1901)</t>
  </si>
  <si>
    <t>Ottmar Zieher, München (Nr. 353)</t>
  </si>
  <si>
    <t>Motive / Monarchie / Prinzregent Luitpold</t>
  </si>
  <si>
    <t>Historische Gedenkkarte zum 80. Geburtstag des Prinzregenten Luitpold, gelaufen im März 1901</t>
  </si>
  <si>
    <t>Sünfelden, 12.03.1901</t>
  </si>
  <si>
    <t>Gebrüder J. Gutenkirch, Wiesenfelden Post Hunderdorf</t>
  </si>
  <si>
    <t>Prinzregent Luitpold, Bayern, 80. Geburtstag, Ottmar Zieher, Monarchie, Sünfelden, Wiesenfelden, 1901</t>
  </si>
  <si>
    <t>AK-2026-0148</t>
  </si>
  <si>
    <t>Albrecht Dürer (500. Geburtstag) – Flügel der Nebelkrähe (Ganzsache)</t>
  </si>
  <si>
    <t>Deutsche Bundespost / Amtliche Ausgabe</t>
  </si>
  <si>
    <t>Philatelie / Ganzsachen &amp; Motive / Albrecht Dürer</t>
  </si>
  <si>
    <t>Amtliche Sonderganzsache mit Viererblock-Frankatur und Sonder-Erstagsstempel Nürnberg, 21.05.1971</t>
  </si>
  <si>
    <t>Nürnberg, 21.05.1971</t>
  </si>
  <si>
    <t>Albrecht Dürer, 500. Geburtstag, Flügel der Nebelkrähe, Albertina Wien, Deutsche Bundespost, Ganzsache, Erstagsstempel Nürnberg, 1971</t>
  </si>
  <si>
    <t>AK-2026-0149</t>
  </si>
  <si>
    <t>Unbekannter Verlag (Nr. 54)</t>
  </si>
  <si>
    <t>Regensburg / Bayern</t>
  </si>
  <si>
    <t>Ungelaufen / Sehr gut (Z1-2)</t>
  </si>
  <si>
    <t>Historische Ansichtskarte vom Südportal des Regensburger Doms, ungelaufen (ca. 1950 mit 7-Pfennig-Portohinweis)</t>
  </si>
  <si>
    <t>ca. 1950</t>
  </si>
  <si>
    <t>Regensburg, Dom, Südportal, Oberpfalz, Ansichtskarte, ca. 1950</t>
  </si>
  <si>
    <t>Topografie / Bayern / Regensburg</t>
  </si>
  <si>
    <t>AK-2026-0150</t>
  </si>
  <si>
    <t>Walhalla bei Donaustauf (Mehransichten-Echtfoto)</t>
  </si>
  <si>
    <t>Kosmos / Frank-Verlag, Stuttgart (Nr. 10094 – 87s)</t>
  </si>
  <si>
    <t>Donaustauf / Oberpfalz</t>
  </si>
  <si>
    <t>Topografie / Walhalla / Mehransichten &amp; Architektur</t>
  </si>
  <si>
    <t>Historische Echtfoto-Ansichtskarte mit mehreren Aufnahmen der Walhalla und des Innenraums, ungelaufen</t>
  </si>
  <si>
    <t>Walhalla, Donaustauf, Regensburg, Oberpfalz, Kosmos Verlag, Frank Verlag Stuttgart, Echtfoto, ungelaufen</t>
  </si>
  <si>
    <t>AK-2026-0151</t>
  </si>
  <si>
    <t>Pfarrkirche Parsberg (Architekt H. Hauberrisser jun.)</t>
  </si>
  <si>
    <t>Dreifarbdruck von Meisenbach Riffarth &amp; Co., Berlin-Schöneberg[cite: 33]</t>
  </si>
  <si>
    <t>Parsberg / Oberpfalz[cite: 32, 33]</t>
  </si>
  <si>
    <t>Topografie / Oberpfalz / Parsberg[cite: 32, 33]</t>
  </si>
  <si>
    <t>Historische Ansichtskarte der Pfarrkirche in Parsberg, gelaufen ab Holnstein am 15.08.1909[cite: 32, 33]</t>
  </si>
  <si>
    <t>1909[cite: 33]</t>
  </si>
  <si>
    <t>Holnstein, 15.08.1909[cite: 33]</t>
  </si>
  <si>
    <t>Postagent Josef Vogel, Lupburg[cite: 33]</t>
  </si>
  <si>
    <t>Pfarrkirche, Parsberg, Architekt Hauberrisser, Holnstein, Lupburg, Oberpfalz, 1909[cite: 32, 33]</t>
  </si>
  <si>
    <t>AK-2026-0152</t>
  </si>
  <si>
    <t>Altenthann (Ort, Gasthof u. Metzgerei Jos. Gansmeier, Schulhaus)</t>
  </si>
  <si>
    <t>Foto-Eltner, Regensburg, St. Petersw. 19 (Nr. 16392)</t>
  </si>
  <si>
    <t>Altenthann / Oberpfalz</t>
  </si>
  <si>
    <t>Topografie / Altenthann / Mehransichten</t>
  </si>
  <si>
    <t>Historische Mehransichtenkarte mit Notopfermarke Berlin, gelaufen am 20.04.1959</t>
  </si>
  <si>
    <t>Regensburg, 20.04.1959</t>
  </si>
  <si>
    <t>Josef Leurer, Lupburg Oberpf. über Post Parsberg</t>
  </si>
  <si>
    <t>Altenthann, Gasthof Gansmeier, Schulhaus, Foto-Eltner Regensburg, Notopfer Berlin, Lupburg, Parsberg, 1959</t>
  </si>
  <si>
    <t>AK-2026-0153</t>
  </si>
  <si>
    <t>AK-2026-0154</t>
  </si>
  <si>
    <t>AK-2026-0155</t>
  </si>
  <si>
    <t>Schwarzhofen (Ortsansicht von oben)</t>
  </si>
  <si>
    <t>Foto u. Verlag Alfred Schaffer, Schwandorf i. Bay., Ng. 66</t>
  </si>
  <si>
    <t>Schwarzhofen / Oberpfalz</t>
  </si>
  <si>
    <t>Topografie / Schwarzhofen</t>
  </si>
  <si>
    <t>Ungebraucht / Sehr gut (Z1-2)</t>
  </si>
  <si>
    <t>Historische Ortsansicht mit Kirche und Umgebung</t>
  </si>
  <si>
    <t>Ungelaufen</t>
  </si>
  <si>
    <t>Ohne Datum</t>
  </si>
  <si>
    <t>Ohne Empfänger</t>
  </si>
  <si>
    <t>Schwarzhofen, Neunburg vorm Wald, Alfred Schaffer Schwandorf, Ortsansicht</t>
  </si>
  <si>
    <t>Parsberg/Opf. (Gesamtansicht mit Schloss)</t>
  </si>
  <si>
    <t>Verlag L. Bermüller, Parsberg / Photo E. Köhler, Parsberg</t>
  </si>
  <si>
    <t>Parsberg / Oberpfalz</t>
  </si>
  <si>
    <t>Topografie / Parsberg</t>
  </si>
  <si>
    <t>Historische Ansicht von Schloss und Stadt Parsberg</t>
  </si>
  <si>
    <t>Parsberg, Schloss Parsberg, Bermüller Parsberg, Köhler Parsberg, Oberpfalz</t>
  </si>
  <si>
    <t>Haus des Rochus und Anton Lang (Passionsspiel Oberammergau 1900)</t>
  </si>
  <si>
    <t>Kunstverlag München Ludwig Emil &amp; Co. No. 891</t>
  </si>
  <si>
    <t>Oberammergau / Bayern</t>
  </si>
  <si>
    <t>Themen / Passionsspiele Oberammergau 1900</t>
  </si>
  <si>
    <t>Historische Passionsspiel-Karte mit Porträt Anton Lang, gelaufen 1900</t>
  </si>
  <si>
    <t>Wiesenfelden, 13.0?.[1900]</t>
  </si>
  <si>
    <t>Anton Windbayst, Wiesenselden über Straubing</t>
  </si>
  <si>
    <t>Oberammergau, Anton Lang, Passionsspiele 1900, Haus des Rochus, Wiesenfelden, Wiesenselden, Straubing</t>
  </si>
  <si>
    <t>AK-2026-0156</t>
  </si>
  <si>
    <t>Gruss vom Oberammergauer Passionsspiel (Bühnenansicht)</t>
  </si>
  <si>
    <t>Themen / Passionsspiele Oberammergau</t>
  </si>
  <si>
    <t>Historische Passionsspielkarte mit Bühnenansicht, gelaufen 1910</t>
  </si>
  <si>
    <t>Frau Babi Harrer, Hirschaid / Oberfranken</t>
  </si>
  <si>
    <t>Fritz</t>
  </si>
  <si>
    <t>Oberammergau, Passionsspiele, Bühne, Hirschaid, Oberfranken, 1910</t>
  </si>
  <si>
    <t>AK-2026-0157</t>
  </si>
  <si>
    <t>Straubing (Waldvereinsenhalle)</t>
  </si>
  <si>
    <t>Straubing / Niederbayern</t>
  </si>
  <si>
    <t>Topografie / Straubing</t>
  </si>
  <si>
    <t>Ansicht der Waldvereinsenhalle in Straubing, gelaufen</t>
  </si>
  <si>
    <t>[1911]</t>
  </si>
  <si>
    <t>Herrn Jos. Sanerer, Gend.-Kommissär, Seubersdorf bei Neumarkt (Opf.)</t>
  </si>
  <si>
    <t>Familie / Sohn</t>
  </si>
  <si>
    <t>Straubing, Waldvereinsenhalle, Seubersdorf, Neumarkt in der Oberpfalz, Niederbayern</t>
  </si>
  <si>
    <t>AK-2026-0158</t>
  </si>
  <si>
    <t>Granit-Steinbruch Zeinried!</t>
  </si>
  <si>
    <t>F. A. Mahr, Oberviechtach</t>
  </si>
  <si>
    <t>Zeinried / Oberpfalz</t>
  </si>
  <si>
    <t>Topografie / Zeinried</t>
  </si>
  <si>
    <t>Historische Steinbruch-Ansicht aus Zeinried mit Arbeitern, gelaufen</t>
  </si>
  <si>
    <t>Herrn Josef Sanerer, Postbeamter, Velburg</t>
  </si>
  <si>
    <t>Albert</t>
  </si>
  <si>
    <t>Zeinried, Steinbruch, Granit, Mahr Oberviechtach, Velburg, Oberpfalz</t>
  </si>
  <si>
    <t>AK-2026-0159</t>
  </si>
  <si>
    <t>Landshut (Prinzregentenbrücke u. Theater)</t>
  </si>
  <si>
    <t>Dr. Trenkler Co., Leipzig (Nr. 21 981)</t>
  </si>
  <si>
    <t>Landshut / Niederbayern</t>
  </si>
  <si>
    <t>Topografie / Landshut</t>
  </si>
  <si>
    <t>Historische Ansicht mit Brücke und Theater, gelaufen 1903</t>
  </si>
  <si>
    <t>Anton Windhayer, Lehrer, Wiesenfelden via Straubing</t>
  </si>
  <si>
    <t>H. Wüstner</t>
  </si>
  <si>
    <t>Landshut, Prinzregentenbrücke, Theater, Dr. Trenkler Leipzig, Wiesenfelden, Straubing</t>
  </si>
  <si>
    <t>AK-2026-0160</t>
  </si>
  <si>
    <t>Königsschloss Herrenchiemsee (Große Spiegelgalerie)</t>
  </si>
  <si>
    <t>Fritz Zierer vorm. A. Diener, München (Nr. 3469)</t>
  </si>
  <si>
    <t>Herrenchiemsee / Bayern</t>
  </si>
  <si>
    <t>Topografie / Herrenchiemsee</t>
  </si>
  <si>
    <t>Gebraucht / Gut mit Mängeln (Z2-3)</t>
  </si>
  <si>
    <t>Historische Schlossansicht, gelaufen am 04.09.1930 mit Poststempel Prien am Chiemsee</t>
  </si>
  <si>
    <t>Theodor Suhrer, Lupburg bei Parsberg in der Opf.</t>
  </si>
  <si>
    <t>Herrenchiemsee, Spiegelgalerie, Königsschloss, Fritz Zierer München, Lupburg, Parsberg, 1930, Stockflecken, Eckenbestoßung</t>
  </si>
  <si>
    <t>AK-2026-0161</t>
  </si>
  <si>
    <t>Kgl. Schloss Linderhof (Westliches Gobelinszimmer)</t>
  </si>
  <si>
    <t>Martin Herpich, Kunst- und Verlagsanstalt, München (Nr. 856)</t>
  </si>
  <si>
    <t>Linderhof / Bayern</t>
  </si>
  <si>
    <t>Topografie / Linderhof</t>
  </si>
  <si>
    <t>Ungebraucht / Gut (Z2)</t>
  </si>
  <si>
    <t>Historische Interieur-Ansicht von Schloss Linderhof</t>
  </si>
  <si>
    <t>Linderhof, Königsschloss, Gobelinszimmer, Martin Herpich München, Interieur, Eckenbestoßung</t>
  </si>
  <si>
    <t>AK-2026-0163</t>
  </si>
  <si>
    <t>Parsberg i. d. O.Pf. (Pfarrkirche konsekriert 1924 u. Kriegergedächtnisaltar)</t>
  </si>
  <si>
    <t>Verlag Hans Stümpfler, Parsberg / Photo-Kohlbauer (Nr. C 6971)</t>
  </si>
  <si>
    <t>Ungebraucht / Gut mit Mängeln (Z2-3)</t>
  </si>
  <si>
    <t>Historische Doppelansicht der Pfarrkirche und des Kriegergedächtnisaltars, ungelaufen</t>
  </si>
  <si>
    <t>Parsberg, Oberpfalz, Pfarrkirche, Kriegergedächtnisaltar, Stümpfler Parsberger Anzeiger, Kohlbauer Königsberg, 1924, Stockflecken, Papiervergilbung</t>
  </si>
  <si>
    <t>AK-2026-0162</t>
  </si>
  <si>
    <t>Kgl. Schloss Herrenchiemsee (Jagdzimmer, Hellblauer Salon)</t>
  </si>
  <si>
    <t>L. Reinecke, Haßfurt a. Main (Nr. 2373)</t>
  </si>
  <si>
    <t>Schlossansicht / Interieur vom Herrenchiemsee, ungelaufen</t>
  </si>
  <si>
    <t>Herrenchiemsee, Jagdzimmer, Hellblauer Salon, L. Reinecke Haßfurt, Interieur, Schloss</t>
  </si>
  <si>
    <t>AK-2026-0164</t>
  </si>
  <si>
    <t>Kath. Pfarrkirche, Oberwinkling</t>
  </si>
  <si>
    <t>Ostkunst / E. Kohnke, Gleiwitz (Nr. b402)</t>
  </si>
  <si>
    <t>Oberwinkling / Niederbayern</t>
  </si>
  <si>
    <t>Topografie / Oberwinkling</t>
  </si>
  <si>
    <t>Historische Echtfotokarte der katholischen Pfarrkirche in Oberwinkling, ungelaufen</t>
  </si>
  <si>
    <t>Oberwinkling, Pfarrkirche, Echtfoto, Ostkunst Kohnke Gleiwitz, Niederbayern, Stockflecken</t>
  </si>
  <si>
    <t>AK-2026-0165</t>
  </si>
  <si>
    <t>Walhalla vom Flugzeug aus / Inneres der Walhalla</t>
  </si>
  <si>
    <t>Franckh-Verlag, Stuttgart-O / Kosmos (Nr. 85316)</t>
  </si>
  <si>
    <t>Donaustauf / Bayern</t>
  </si>
  <si>
    <t>Topografie / Walhalla</t>
  </si>
  <si>
    <t>Doppelansicht mit Luftbild der Walhalla und Innenansicht, gelaufen am 20.05.1934</t>
  </si>
  <si>
    <t>Franz Schafbauer, Amberg 43, Oberpfalz</t>
  </si>
  <si>
    <t>Unbekannt / Absender o. N.</t>
  </si>
  <si>
    <t>Walhalla, Donaustauf, Regensburg, Luftbild, Franckh Verlag, Kosmos, Amberg, 1934, Eckenbestoßung, Papiervergilbung</t>
  </si>
  <si>
    <t>AK-2026-0166</t>
  </si>
  <si>
    <t>Walhalla bei Donaustauf</t>
  </si>
  <si>
    <t>Sto-a-Verlag Janke &amp; Dr. Maiwald, Nürnberg-A. (Nr. 12868)</t>
  </si>
  <si>
    <t>Ansicht der Walhalla mit Zitaten von Ludwig I., gelaufen mit Poststempel</t>
  </si>
  <si>
    <t>Frau Ehepartner / Familie Resch, Reing / Rh.</t>
  </si>
  <si>
    <t>Unbekannt / Ute</t>
  </si>
  <si>
    <t>Walhalla, Donaustauf, Regensburg, Sto-a-Verlag Janke &amp; Dr. Maiwald, Reing, Eckenbestoßung, Stockflecken</t>
  </si>
  <si>
    <t>AK-2026-0169</t>
  </si>
  <si>
    <t>Velburg / Oberpfalz</t>
  </si>
  <si>
    <t>Topografie / Velburg</t>
  </si>
  <si>
    <t>AK-2026-0167</t>
  </si>
  <si>
    <t>Velburg (Oberpfalz)</t>
  </si>
  <si>
    <t>Heinrich Jungwirth, Buchhandlung Velburg (Oberpfalz)</t>
  </si>
  <si>
    <t>Ortsansicht von Velburg mit umgebender Landschaft, ungelaufen</t>
  </si>
  <si>
    <t>Velburg, Oberpfalz, Ortsansicht, Heinrich Jungwirth Buchhandlung, Papiervergilbung, Eckenbestoßung</t>
  </si>
  <si>
    <t>AK-2026-0168</t>
  </si>
  <si>
    <t>Hains-Jesu-Wallfahrtskirche, Velburg</t>
  </si>
  <si>
    <t>Heinrich Jungwirth, Buchhandlung Velburg (Oberpfalz) (Nr. 9526 40)</t>
  </si>
  <si>
    <t>Mehrbildkarte mit Ansicht der Wallfahrtskirche und zwei Innen-/Detailmedaillons, ungelaufen</t>
  </si>
  <si>
    <t>Velburg, Hains-Jesu-Wallfahrtskirche, Mehrbildkarte, Heinrich Jungwirth Buchhandlung, Eckenbestoßung</t>
  </si>
  <si>
    <t>Straubing - Waldvereinshalle</t>
  </si>
  <si>
    <t>Ottmar Zieher, München (Nr. 7854)</t>
  </si>
  <si>
    <t>Historische Ansicht der Waldvereinshalle in Straubing im Wald, gelaufen mit Marken Deutsches Reich</t>
  </si>
  <si>
    <t>Gelaufen</t>
  </si>
  <si>
    <t>190x-11-04</t>
  </si>
  <si>
    <t>Herrn Jos. Sanerer, Seubersdorf bei Neumarkt (Opf.)</t>
  </si>
  <si>
    <t>Straubing, Waldvereinshalle, Ottmar Zieher München, Deutsches Reich Marken, Seubersdorf, O.Z. 7854</t>
  </si>
  <si>
    <t>AK-2026-0170</t>
  </si>
  <si>
    <t>Nürnberg, Bratwurstglöcklein</t>
  </si>
  <si>
    <t>S. Soldan'sche Verlagsbuchhandlung, Nürnberg (nach C. Solmann)</t>
  </si>
  <si>
    <t>Nürnberg / Mittelfranken</t>
  </si>
  <si>
    <t>Künstlerkarte / Nürnberg</t>
  </si>
  <si>
    <t>Künstler-Ansichtskarte des historischen Bratwurstglöckleins in Nürnberg nach C. Solmann, gelaufen 1928</t>
  </si>
  <si>
    <t>Herrn Schlittenbauer, München, Viktoriastr. 7/4</t>
  </si>
  <si>
    <t>Ernst Hofmann u. Wild. Holz</t>
  </si>
  <si>
    <t>Nürnberg, Bratwurstglöcklein, C. Solmann, Soldan Verlag, Luftpost-Werbung, Deutsches Reich Marke, München, 1928</t>
  </si>
  <si>
    <t>AK-2026-0171</t>
  </si>
  <si>
    <t>Würzburg - Veste Marienberg</t>
  </si>
  <si>
    <t>Verlag Joseph Hospe, Staffelstein (Nr. 2683)</t>
  </si>
  <si>
    <t>Würzburg / Unterfranken</t>
  </si>
  <si>
    <t>Topografie / Würzburg</t>
  </si>
  <si>
    <t>Ansicht der Veste Marienberg mit Main und Schiff, gelaufen 1934 mit Rundfunk-Werbestempel</t>
  </si>
  <si>
    <t>Theodor Sanerer, Lupburg / Oberpfalz</t>
  </si>
  <si>
    <t>Würzburg, Veste Marienberg, Joseph Hospe Staffelstein, Lupburg, Rundfunk-Werbestempel, 1934</t>
  </si>
  <si>
    <t>AK-2026-0172</t>
  </si>
  <si>
    <t>Bad Kissingen mit Rhönsanatorium</t>
  </si>
  <si>
    <t>Conrad Jacobi, Leipzig C 1 (Nr. 61)</t>
  </si>
  <si>
    <t>Bad Kissingen / Unterfranken</t>
  </si>
  <si>
    <t>Topografie / Bad Kissingen</t>
  </si>
  <si>
    <t>Ortsansicht von Bad Kissingen mit dem Rhönsanatorium, gelaufen mit Briefmarke Deutsches Reich</t>
  </si>
  <si>
    <t>Herrn Ernst Pfister, Schwabach</t>
  </si>
  <si>
    <t>Bad Kissingen, Rhönsanatorium, Conrad Jacobi Leipzig, Schwabach, Deutsches Reich Briefmarke</t>
  </si>
  <si>
    <t>AK-2026-0173</t>
  </si>
  <si>
    <t>Partie aus Starnberg mit Gebirgspanorama</t>
  </si>
  <si>
    <t>Unbekannter Verlag / Lithographie</t>
  </si>
  <si>
    <t>Starnberg / Oberbayern</t>
  </si>
  <si>
    <t>Topografie / Starnberg</t>
  </si>
  <si>
    <t>Farbige Lithographie des Starnberger Sees mit Alpenpanorama, gelaufen 1903 mit Bayern-Briefmarke</t>
  </si>
  <si>
    <t>Herr Inspektor, Wiesenfelden, Niederbayern</t>
  </si>
  <si>
    <t>Starnberg, Gebirgspanorama, Starnberger See, Farblitho, Bayern-Briefmarke, Wiesenfelden, 1903</t>
  </si>
  <si>
    <t>AK-2026-0174</t>
  </si>
  <si>
    <t>Regensburg - Historisches Tor mit Flaggen</t>
  </si>
  <si>
    <t>Ottmar Zieher, München (Nr. 219)</t>
  </si>
  <si>
    <t>Regensburg / Oberpfalz</t>
  </si>
  <si>
    <t>Topografie / Regensburg</t>
  </si>
  <si>
    <t>Farbige Lithographie einer Regensburger Straßenszene mit Befestigungstor, gelaufen mit Briefmarke</t>
  </si>
  <si>
    <t>Josef Sanerer, Parsberg / Opf.</t>
  </si>
  <si>
    <t>Regensburg, Ottmar Zieher München, Litho, Parsberg, Deutsches Reich Briefmarke</t>
  </si>
  <si>
    <t>AK-2026-0175</t>
  </si>
  <si>
    <t>Regensburg - Blick von den Winzerhöhen</t>
  </si>
  <si>
    <t>Fernansicht von Regensburg mit Donau und Dom von den Winzerhöhen, als Drucksache gelaufen 1899</t>
  </si>
  <si>
    <t>23.10.1899</t>
  </si>
  <si>
    <t>Anton Windhager, Pfarrer, Wiesenfelden</t>
  </si>
  <si>
    <t>Regensburg, Winzerhöhen, Donau, Dom, Drucksache, Wiesenfelden, Bayern Briefmarke, 1899</t>
  </si>
  <si>
    <t>AK-2026-0176</t>
  </si>
  <si>
    <t>Gruss aus dem Klerikal-Seminar, Regensburg</t>
  </si>
  <si>
    <t>Unbekannter Verlag (Nr. 723)</t>
  </si>
  <si>
    <t>Historische Ansicht des Klerikal-Seminars in Regensburg, gelaufen mit Briefmarke Deutsches Reich</t>
  </si>
  <si>
    <t>Familie Sanerer, Seubersdorf</t>
  </si>
  <si>
    <t>Peter Borner</t>
  </si>
  <si>
    <t>Regensburg, Klerikal-Seminar, Seubersdorf, Gendarmeriestation Parsberg, Deutsches Reich Briefmarke</t>
  </si>
  <si>
    <t>AK-2026-0177</t>
  </si>
  <si>
    <t>Gruss aus Kulmbach (Plassenburg)</t>
  </si>
  <si>
    <t>E. Bayer, Kulmbach</t>
  </si>
  <si>
    <t>Kulmbach / Oberfranken</t>
  </si>
  <si>
    <t>Topografie / Kulmbach</t>
  </si>
  <si>
    <t>Farbige Lithographie von Kulmbach mit Blick auf die Plassenburg, gelaufen 1901 mit Bayern-Briefmarke</t>
  </si>
  <si>
    <t>Karl Rachel, Großhändler, Hof</t>
  </si>
  <si>
    <t>G. K.</t>
  </si>
  <si>
    <t>Kulmbach, Plassenburg, E. Bayer, Marktredwitz, Hof, Bayern-Briefmarke, 1901</t>
  </si>
  <si>
    <t>AK-2026-0178</t>
  </si>
  <si>
    <t>Bayreuth - Festspielhaus</t>
  </si>
  <si>
    <t>Verlag von C. Giessel, Bayreuth (Nr. 11148)</t>
  </si>
  <si>
    <t>Bayreuth / Oberfranken</t>
  </si>
  <si>
    <t>Topografie / Bayreuth</t>
  </si>
  <si>
    <t>Ansicht des Richard-Wagner-Festspielhauses in Bayreuth im Grünen, ungelaufen</t>
  </si>
  <si>
    <t>Bayreuth, Festspielhaus, Richard Wagner, C. Giessel Verlag, ungelaufen</t>
  </si>
  <si>
    <t>AK-2026-0179</t>
  </si>
  <si>
    <t>Nürnberg - Hauptbahnhof</t>
  </si>
  <si>
    <t>Fr. Riegel, Kunstverlagsanstalt, Nürnberg (Nr. 704)</t>
  </si>
  <si>
    <t>Topografie / Nürnberg</t>
  </si>
  <si>
    <t>Historische Ansicht des Nürnberger Hauptbahnhofs mit Vorplatz und Verkehr, ungelaufen mit kurzem Vermerk</t>
  </si>
  <si>
    <t>Herr May</t>
  </si>
  <si>
    <t>H. H.</t>
  </si>
  <si>
    <t>Nürnberg, Hauptbahnhof, Fr. Riegel Kunstverlagsanstalt, Bahnhofsplatz</t>
  </si>
  <si>
    <t>AK-2026-0180</t>
  </si>
  <si>
    <t>Gruß aus München - Neues Nationalmuseum</t>
  </si>
  <si>
    <t>München / Oberbayern</t>
  </si>
  <si>
    <t>Topografie / München</t>
  </si>
  <si>
    <t>Historische Ansicht des Neuen Nationalmuseums in München, gelaufen 1902 mit Bayern-Briefmarke</t>
  </si>
  <si>
    <t>München, Neues Nationalmuseum, Wiesenfelden, Bayern-Briefmarke, 1902</t>
  </si>
  <si>
    <t>AK-2026-0181</t>
  </si>
  <si>
    <t>Gruss aus der Reconvalescenten-Anstalt Kostenz b. Englmar</t>
  </si>
  <si>
    <t>A. Hartmannsgruber, Bogen</t>
  </si>
  <si>
    <t>Kostenz / Englmar / Niederbayern</t>
  </si>
  <si>
    <t>Topografie / Kostenz</t>
  </si>
  <si>
    <t>Farbige Lithographie der Konvaleszentenanstalt Kostenz bei Sankt Englmar, gelaufen 1901</t>
  </si>
  <si>
    <t>Jos. Windhager, Pfarrer, Wiesenfelden</t>
  </si>
  <si>
    <t>Kostenz, St. Englmar, Hartmannsgruber Bogen, Rekonvaleszentenanstalt, Wiesenfelden, 1901</t>
  </si>
  <si>
    <t>AK-2026-0182</t>
  </si>
  <si>
    <t>Altötting - Gesamtensemble</t>
  </si>
  <si>
    <t>Ottmar Zieher, München (Nr. 1992)</t>
  </si>
  <si>
    <t>Altötting / Oberbayern</t>
  </si>
  <si>
    <t>Topografie / Altötting</t>
  </si>
  <si>
    <t>Historische Ansicht von Altötting mit Kapellplatz und Basilika, gelaufen 1901 mit lateinischem Gruß</t>
  </si>
  <si>
    <t>A. Windhager, Pfarrer, Wiesenfelden</t>
  </si>
  <si>
    <t>Altötting, Ottmar Zieher München, Kapellplatz, Basilika, Wiesenfelden, Bayern-Briefmarke, 1901</t>
  </si>
  <si>
    <t>AK-2026-0183</t>
  </si>
  <si>
    <t>Humoristische Ansichtskarte mit Bierkrug und bayerischem Spruch</t>
  </si>
  <si>
    <t>Bayern (Motivkarte)</t>
  </si>
  <si>
    <t>Motiv / Humor &amp; Brauchtum</t>
  </si>
  <si>
    <t>Humorvolle Lithographie mit Bierkrug und Vers, gelaufen mit Bayern-Briefmarke nach Wiesenfelden</t>
  </si>
  <si>
    <t>Bierkrug, Humor, bayerischer Spruch, Wiesenfelden, Bayern-Briefmarke</t>
  </si>
  <si>
    <t>AK-2026-0184</t>
  </si>
  <si>
    <t>Regensburg - Blick auf Donau und Dom</t>
  </si>
  <si>
    <t>Historische Ansicht von Regensburg über die Donau zum Dom, gelaufen 1904 mit Bayern-Briefmarke</t>
  </si>
  <si>
    <t>Regensburg, Donau, Dom, Wiesenfelden, Bayern-Briefmarke, 1904</t>
  </si>
  <si>
    <t>AK-2026-0185</t>
  </si>
  <si>
    <t>München - Justizpalast</t>
  </si>
  <si>
    <t>Historische Ansicht des Justizpalastes in München mit Straßenleben, gelaufen Silvester 1900</t>
  </si>
  <si>
    <t>München, Justizpalast, Silvester 1900, Wiesenfelden, Bayern-Briefmarke</t>
  </si>
  <si>
    <t>AK-2026-0186</t>
  </si>
  <si>
    <t>Blick auf Kloster Weltenburg</t>
  </si>
  <si>
    <t>Original-Eigentum Gebr. Metz, Tübingen (Nr. 270/6)</t>
  </si>
  <si>
    <t>Weltenburg / Niederbayern</t>
  </si>
  <si>
    <t>Topografie / Weltenburg</t>
  </si>
  <si>
    <t>Ansicht des Klosters Weltenburg an der Donau mit markanten Felsformationen, ungelaufen</t>
  </si>
  <si>
    <t>Kloster Weltenburg, Donau, Gebr. Metz Tübingen, ungelaufen</t>
  </si>
  <si>
    <t>AK-2026-0187</t>
  </si>
  <si>
    <t>Gruss aus München (Kind mit Brezen und Schmankerln)</t>
  </si>
  <si>
    <t>Motiv / Lithographie / Grüße</t>
  </si>
  <si>
    <t>Mehrfarbige Lithographie mit Kind in Tracht, Brezen und bayerischen Schmankerln, gelaufen 1903</t>
  </si>
  <si>
    <t>G. Fischer (?)</t>
  </si>
  <si>
    <t>München, Gruss aus, Lithographie, Brezen, Schmankerl, Wiesenfelden, Bayern-Briefmarke, 1903</t>
  </si>
  <si>
    <t>AK-2026-0188</t>
  </si>
  <si>
    <t>Nürnberg - Albrecht Dürer-Haus</t>
  </si>
  <si>
    <t>B. Lehringer Nachf., Nürnberg (Nr. 60311)</t>
  </si>
  <si>
    <t>Historische Ansicht des Albrecht-Dürer-Hauses in Nürnberg, gelaufen 1934 mit Reichsparteitags-Sonderstempel</t>
  </si>
  <si>
    <t>Prof. Dr. v. V. Leisner, Süplingen b. Parsberg</t>
  </si>
  <si>
    <t>Nürnberg, Albrecht-Dürer-Haus, B. Lehringer Nachf., Sonderstempel Reichsparteitage, 1934</t>
  </si>
  <si>
    <t>AK-2026-0189</t>
  </si>
  <si>
    <t>Regensburg - Historische Federzeichnung mit Wappen</t>
  </si>
  <si>
    <t>Graphiker H. Wenzel, Regensburg</t>
  </si>
  <si>
    <t>Künstlerische Federzeichnung von Regensburg mit Stadtwappen, gelaufen 1950 mit Notopfer-Marke</t>
  </si>
  <si>
    <t>Joseph Müurer, Jend.-Oberkommissär, Süplingen</t>
  </si>
  <si>
    <t>Unbekannt / Kind</t>
  </si>
  <si>
    <t>Regensburg, H. Wenzel, Wappen, Süplingen, Notopfer Berlin, 1950</t>
  </si>
  <si>
    <t>AK-2026-0190</t>
  </si>
  <si>
    <t>Weißenhorn - Gesamtansicht mit geschichtlichem Text</t>
  </si>
  <si>
    <t>Karl Waweld, Schreinw. Weißenhorn (Dr. 11749-14)</t>
  </si>
  <si>
    <t>Weißenhorn / Schwaben</t>
  </si>
  <si>
    <t>Topografie / Weißenhorn</t>
  </si>
  <si>
    <t>Historische Ansicht von Weißenhorn mit ausführlichem Infotext zur Stadtgeschichte im Bild, gelaufen 1940</t>
  </si>
  <si>
    <t>Hrn. Sauer, Oberkontrollör, Süplingen</t>
  </si>
  <si>
    <t>Weißenhorn, Karl Waweld Verlag, Stadtgeschichte, Süplingen, 1940</t>
  </si>
  <si>
    <t>AK-2026-0191</t>
  </si>
  <si>
    <t>Passau - Partie an d. Donau</t>
  </si>
  <si>
    <t>B. Brückner, Passau (Nr. 17)</t>
  </si>
  <si>
    <t>Passau / Niederbayern</t>
  </si>
  <si>
    <t>Topografie / Passau</t>
  </si>
  <si>
    <t>Ansicht der Donaupartie in Passau mit Werbung für den Gasthof „Schwarzer Ochse“, gelaufen 1935</t>
  </si>
  <si>
    <t>Josef Sauer, Oberkontrollör, Parsberg</t>
  </si>
  <si>
    <t>Max [?]</t>
  </si>
  <si>
    <t>Passau, Donau, B. Brückner Passau, Gasthof Schwarzer Ochse, Parsberg, 1935</t>
  </si>
  <si>
    <t>AK-2026-0192</t>
  </si>
  <si>
    <t>Velburg i. Opf. Jura und König-Otto-Tropfsteinhöhle</t>
  </si>
  <si>
    <t>Oberfränkischer Ansichtskartenverlag Bayreuth</t>
  </si>
  <si>
    <t>Mehrbild-Ansichtskarte von Velburg und der König-Otto-Tropfsteinhöhle, gelaufen mit Sonderstempel[cite: 21, 22]</t>
  </si>
  <si>
    <t>Brigitte Köber, Hemau, Saulzbrunn[cite: 22]</t>
  </si>
  <si>
    <t>Velburg, Oberpfalz, König-Otto-Tropfsteinhöhle, Mehrbildkarte, Sonderstempel, Hemau</t>
  </si>
  <si>
    <t>AK-2026-0193</t>
  </si>
  <si>
    <t>Utting am Ammersee</t>
  </si>
  <si>
    <t>J. Feldbauer, Druckbildhersteller O.H.G., München 9 (Nr. 1535)[cite: 22]</t>
  </si>
  <si>
    <t>Utting / Ammersee / Oberbayern</t>
  </si>
  <si>
    <t>Topografie / Utting</t>
  </si>
  <si>
    <t>Echte Foto-Ansichtskarte mit Blick auf Utting am Ammersee und Alpenpanorama, ungelaufen[cite: 21, 22]</t>
  </si>
  <si>
    <t>Utting, Ammersee, Echt Foto, J. Feldbauer München, Alpenpanorama, ungelaufen</t>
  </si>
  <si>
    <t>AK-2026-0194</t>
  </si>
  <si>
    <t>Lupburg i. Opf. - Ortsansicht</t>
  </si>
  <si>
    <t>Alex Freund, Bildverbaudienst, Fürth i. Bay.[cite: 22]</t>
  </si>
  <si>
    <t>Lupburg / Oberpfalz</t>
  </si>
  <si>
    <t>Topografie / Lupburg</t>
  </si>
  <si>
    <t>Historische Ansicht von Lupburg in der Oberpfalz mit Burg und Umgebung, ungelaufen[cite: 21, 22]</t>
  </si>
  <si>
    <t>Lupburg, Oberpfalz, Alex Freund Fürth, Ortsansicht, ungelaufen</t>
  </si>
  <si>
    <t>AK-2026-0195</t>
  </si>
  <si>
    <t>Lupburg b. Parsberg, Obpf. - Ortsansicht mit Burg</t>
  </si>
  <si>
    <t>L. Bermmiler, Parsberg</t>
  </si>
  <si>
    <t>Echte Photokarte mit Blick auf Lupburg und die Burg, ungelaufen mit KAN-verbürgter Qualität</t>
  </si>
  <si>
    <t>Lupburg, Parsberg, Oberpfalz, Burg, L. Bermmiler Parsberg, Echte Photokarte, ungelaufen</t>
  </si>
  <si>
    <t>AK-2026-0196</t>
  </si>
  <si>
    <t>Die Plassenburg ob Kulmbach - Blick vom Marktturm in d. schönen Hof</t>
  </si>
  <si>
    <t>Verlag „Freunde der Plassenburg“, Kulmbach (Werbekarte Nr. 5)</t>
  </si>
  <si>
    <t>Ansichtskarte vom Innenhof der Plassenburg ob Kulmbach (Phot. Joachim Bär), ungelaufen</t>
  </si>
  <si>
    <t>Plassenburg, Kulmbach, Marktturm, Innenhof, Werbekarte, Joachim Bär, ungelaufen</t>
  </si>
  <si>
    <t>AK-2026-0197</t>
  </si>
  <si>
    <t>Rothenburg ob der Tauber - Partie beim Siebers Turm</t>
  </si>
  <si>
    <t>Bodenseeverlag (Karl Alber), Ravensburg (Nr. 887)</t>
  </si>
  <si>
    <t>Rothenburg ob der Tauber / Mittelfranken</t>
  </si>
  <si>
    <t>Topografie / Rothenburg ob der Tauber</t>
  </si>
  <si>
    <t>Künstlerkarte nach Original von V. Marschall mit Ansicht beim Siebers Turm in Rothenburg, ungelaufen</t>
  </si>
  <si>
    <t>Rothenburg ob der Tauber, Siebers Turm, V. Marschall, Bodenseeverlag Ravensburg, ungelaufen</t>
  </si>
  <si>
    <t>AK-2026-0198</t>
  </si>
  <si>
    <t>Ludwig Hölzelmacher, Fürth i. Bayern, Würzburger Straße 201 (Rila-Karte 6562/40/6)</t>
  </si>
  <si>
    <t>Ansicht des Albrecht-Dürer-Haus in Nürnberg mit ausführlichem historischen Text auf der Rückseite, ungelaufen</t>
  </si>
  <si>
    <t>Nürnberg, Albrecht-Dürer-Haus, Ludwig Hölzelmacher Fürth, Rila-Karte, ungelaufen</t>
  </si>
  <si>
    <t>AK-2026-0199</t>
  </si>
  <si>
    <t>Königssee - Gruß aus weiter Ferne</t>
  </si>
  <si>
    <t>Königssee / Oberbayern</t>
  </si>
  <si>
    <t>Topografie / Königssee</t>
  </si>
  <si>
    <t>Farbige Ansicht des Königssees mit Boot und Alpenpanorama, gelaufen 19xx mit Bayern-Briefmarke</t>
  </si>
  <si>
    <t>Fräulein Marie Morgenstern, Chemnitz, Gutenbergstr. 15</t>
  </si>
  <si>
    <t>Vater Bruder Ernst</t>
  </si>
  <si>
    <t>Königssee, Alpen, Boot, Gruß aus weiter Ferne, Chemnitz, Bayern-Briefmarke</t>
  </si>
  <si>
    <t>AK-2026-0200</t>
  </si>
  <si>
    <t>Nürnberg - Gesamtansicht (Königreich Bayern Postkarte)</t>
  </si>
  <si>
    <t>C. Koch Kunstverlag, Nürnberg, am Marientor (No. 501)</t>
  </si>
  <si>
    <t>Historische Lithographie bzw. farbige Gesamtansicht von Nürnberg, ungelaufen</t>
  </si>
  <si>
    <t>Nürnberg, Gesamtansicht, Königreich Bayern Postkarte, C. Koch Kunstverlag Nürnberg, ungelaufen</t>
  </si>
  <si>
    <t>AK-2026-0201</t>
  </si>
  <si>
    <t>Nürnberg - Dürerhaus</t>
  </si>
  <si>
    <t>J. Velten Verlag, Karlsruhe i. Baden (Nr. 6051)</t>
  </si>
  <si>
    <t>Historische Ansicht des Dürerhauses in Nürnberg, gelaufen 1928 mit Stempel von Bad Wörishofen</t>
  </si>
  <si>
    <t>Herrn Studienrat D. Heiperhoff, z. Zt. Bad Wörishofen, Kneippsanatorium</t>
  </si>
  <si>
    <t>Familie Hruška</t>
  </si>
  <si>
    <t>Nürnberg, Dürerhaus, J. Velten Karlsruhe, Bad Wörishofen, Kneippsanatorium, gelaufen 1928</t>
  </si>
  <si>
    <t>AK-2026-0202</t>
  </si>
  <si>
    <t>Lupburg (Opf.) - Ortsansicht</t>
  </si>
  <si>
    <t>Cramers Kunstanstalt KG, Dortmund (Lpbg 04 60/5)</t>
  </si>
  <si>
    <t>Ansicht von Lupburg in der Oberpfalz mit Burg auf dem Berg, ungelaufen (Cekade Originalfoto)</t>
  </si>
  <si>
    <t>Lupburg, Oberpfalz, Burg, Cramers Kunstanstalt Dortmund, Cekade Originalfoto, ungelaufen</t>
  </si>
  <si>
    <t>AK-2026-0203</t>
  </si>
  <si>
    <t>Kurort Falkenstein i. bayr. Wald</t>
  </si>
  <si>
    <t>Fritz Bräunig, Falkenstein i. bayr. Wald (Nr. 31488)</t>
  </si>
  <si>
    <t>Falkenstein / Bayerischer Wald</t>
  </si>
  <si>
    <t>Topografie / Falkenstein</t>
  </si>
  <si>
    <t>Ansicht des Kurorts Falkenstein im Bayerischen Wald mit Burg, gelaufen 1947 mit Falke-Marke</t>
  </si>
  <si>
    <t>Frau Maria Lanery, Beratzhausen</t>
  </si>
  <si>
    <t>Vater</t>
  </si>
  <si>
    <t>Falkenstein, Bayerischer Wald, Kurort, Fritz Bräunig, Beratzhausen, gelaufen 1947</t>
  </si>
  <si>
    <t>AK-2026-0204</t>
  </si>
  <si>
    <t>Rothenburg o. T. - Weisser Turm</t>
  </si>
  <si>
    <t>P. C. Goester's Kunstverlag (C. Koch), Nürnberg (No. 911)</t>
  </si>
  <si>
    <t>Historische farbige Ansichtskarte vom Weissen Turm in Rothenburg ob der Tauber, ungelaufen</t>
  </si>
  <si>
    <t>Rothenburg ob der Tauber, Weisser Turm, P. C. Goester Nürnberg, ungelaufen</t>
  </si>
  <si>
    <t>AK-2026-0205</t>
  </si>
  <si>
    <t>Erlangen - Schloß mit Emigrantenbrunnen</t>
  </si>
  <si>
    <t>Unbekannter Verlag (Nr. 15 3189)</t>
  </si>
  <si>
    <t>Erlangen / Mittelfranken</t>
  </si>
  <si>
    <t>Topografie / Erlangen</t>
  </si>
  <si>
    <t>Historische Ansicht des Erlanger Schlosses mit Emigrantenbrunnen, gelaufen 1912 nach Eichstätt</t>
  </si>
  <si>
    <t>An das K. I. Rgt. Kgl. Bayr. 10. Inf. Rgt., 8. Komp., Eichstätt</t>
  </si>
  <si>
    <t>Erlangen, Schloss, Emigrantenbrunnen, Eichstätt, Infanterie-Regiment, gelaufen 1912</t>
  </si>
  <si>
    <t>AK-2026-0206</t>
  </si>
  <si>
    <t>Schwarzhofen / Opf. - Ortsansicht</t>
  </si>
  <si>
    <t>Foto Schießl</t>
  </si>
  <si>
    <t>Ansicht von Schwarzhofen in der Oberpfalz, gelaufen mit Notopfer Berlin und deutscher Briefmarke</t>
  </si>
  <si>
    <t>H. Familie Pfab, Oberviechtach</t>
  </si>
  <si>
    <t>M. Spießl</t>
  </si>
  <si>
    <t>Schwarzhofen, Oberpfalz, Foto Schießl, Oberviechtach, Notopfer Berlin</t>
  </si>
  <si>
    <t>AK-2026-0207</t>
  </si>
  <si>
    <t>Gruss aus Aschaffenburg - Mehrbildkarte (Schloss, Pompejanum u.a.)</t>
  </si>
  <si>
    <t>Verlag Schicking &amp; Co., Lithoschnitt Nr. Asch 19</t>
  </si>
  <si>
    <t>Aschaffenburg / Unterfranken</t>
  </si>
  <si>
    <t>Topografie / Aschaffenburg</t>
  </si>
  <si>
    <t>Mehrbild-Ansichtskarte von Aschaffenburg (Schloss, Pompejanum, Schönbusch), gelaufen 1903</t>
  </si>
  <si>
    <t>Rafa Haffter in Nürnberg</t>
  </si>
  <si>
    <t>Minna</t>
  </si>
  <si>
    <t>Aschaffenburg, Mehrbildkarte, Schloss, Pompejanum, Schicking Lithoschnitt, Nürnberg, gelaufen 1903</t>
  </si>
  <si>
    <t>AK-2026-0208</t>
  </si>
  <si>
    <t>Augsburg, der Dom</t>
  </si>
  <si>
    <t>Augsburg / Schwaben</t>
  </si>
  <si>
    <t>Topografie / Augsburg</t>
  </si>
  <si>
    <t>Farbige Ansicht des Augsburger Doms, gelaufen 190x mit Bayern-Briefmarke</t>
  </si>
  <si>
    <t>Herrn Heinrich Hainer, Lajak u. a. Welle, Käschaid b. Bamberg</t>
  </si>
  <si>
    <t>Kamerad / F. Bauer</t>
  </si>
  <si>
    <t>Augsburg, Dom, Käschaid, Bamberg, Bayern-Briefmarke, gelaufen</t>
  </si>
  <si>
    <t>AK-2026-0209</t>
  </si>
  <si>
    <t>Gruss aus Ursberg</t>
  </si>
  <si>
    <t>J. Lipp, Photogr., Eichstätt</t>
  </si>
  <si>
    <t>Ursberg / Schwaben</t>
  </si>
  <si>
    <t>Topografie / Ursberg</t>
  </si>
  <si>
    <t>Ansicht von Ursberg mit Kloster und Kirche (J. Lipp Eichstätt), gelaufen 1924 mit Stempel Wasenfelden</t>
  </si>
  <si>
    <t>Herrn Anton Windsteiger, Hausen b. Wasenfelden</t>
  </si>
  <si>
    <t>Joh. P. H.</t>
  </si>
  <si>
    <t>Ursberg, Schwaben, Kloster, J. Lipp Eichstätt, Wasenfelden, gelaufen 1924</t>
  </si>
  <si>
    <t>AK-2026-0210</t>
  </si>
  <si>
    <t>Rothenburg o. Tauber - Blick auf Jakobskirche und Burggarten</t>
  </si>
  <si>
    <t>Verlag von C. Scholt, Buch- u. Kunsthandlung, Rothenburg o. Tauber (Nr. 13274)</t>
  </si>
  <si>
    <t>Ansicht von Rothenburg o. Tauber mit Jakobskirche und Burggarten, gelaufen 1914</t>
  </si>
  <si>
    <t>Herrn ... Dr. Maier ...</t>
  </si>
  <si>
    <t>Friedrich ...</t>
  </si>
  <si>
    <t>Rothenburg ob der Tauber, Jakobskirche, Burggarten, C. Scholt, gelaufen 1914</t>
  </si>
  <si>
    <t>AK-2026-0211</t>
  </si>
  <si>
    <t>München - Neues Nationalmuseum</t>
  </si>
  <si>
    <t>Ansicht des Neuen Nationalmuseums in München, gelaufen</t>
  </si>
  <si>
    <t>München, Neues Nationalmuseum, gelaufen</t>
  </si>
  <si>
    <t>AK-2026-0212</t>
  </si>
  <si>
    <t>AK-2026-0213</t>
  </si>
  <si>
    <t>AK-2026-0214</t>
  </si>
  <si>
    <t>AK-2026-0215</t>
  </si>
  <si>
    <t>AK-2026-0216</t>
  </si>
  <si>
    <t>AK-2026-0217</t>
  </si>
  <si>
    <t>AK-2026-0218</t>
  </si>
  <si>
    <t>AK-2026-0219</t>
  </si>
  <si>
    <t>AK-2026-0220</t>
  </si>
  <si>
    <t>AK-2026-0221</t>
  </si>
  <si>
    <t>AK-2026-0222</t>
  </si>
  <si>
    <t>AK-2026-0223</t>
  </si>
  <si>
    <t>AK-2026-0224</t>
  </si>
  <si>
    <t>AK-2026-0225</t>
  </si>
  <si>
    <t>Ludwig Bermüller, Parsberg</t>
  </si>
  <si>
    <t>AK-2026-0226</t>
  </si>
  <si>
    <t>Mühlhausen / Oberpfalz</t>
  </si>
  <si>
    <t>Topografie / Mühlhausen</t>
  </si>
  <si>
    <t>Kloster Seeon - Kirche mit See und Spiegelung</t>
  </si>
  <si>
    <t>Buchhandlung Ott, Seeon i. Obb.</t>
  </si>
  <si>
    <t>Seeon / Oberbayern</t>
  </si>
  <si>
    <t>Topografie / Seeon</t>
  </si>
  <si>
    <t>Parsberg - Ortsansicht mit Schloss</t>
  </si>
  <si>
    <t>Parsberg (Opf.) - Original-Fliegeraufnahme</t>
  </si>
  <si>
    <t>Unbekannt (Nr. 6220)</t>
  </si>
  <si>
    <t>Ecken leicht bestoßen, altersgemäßer Zustand</t>
  </si>
  <si>
    <t>Seeon (Obb.) 19. Okt.</t>
  </si>
  <si>
    <t>Herrn Pfarrer Müller, Obermichelbach</t>
  </si>
  <si>
    <t>Seeon, Kloster Seeon, Kirche, See, Spiegelung, Oberbayern, gelaufen</t>
  </si>
  <si>
    <t>Sehr guter Zustand, Kanten sauber</t>
  </si>
  <si>
    <t>Parsberg, Schloss, Ortsansicht, Ludwig Bermüller, Echte Photographie, ungelaufen</t>
  </si>
  <si>
    <t>Altersgemäßer Zustand, sauber</t>
  </si>
  <si>
    <t>Parsberg, Fliegeraufnahme, Luftbild, Echte Photographie, ungelaufen</t>
  </si>
  <si>
    <t>Mühlhausen (Bayr. Ostmark) - Storchennest</t>
  </si>
  <si>
    <t>Alfred Fröhlich, Fotoanstalt, Nürnberg / Buchbinderei Andreas Maar, Mühlhausen/Obfr.</t>
  </si>
  <si>
    <t>Altersgemäßer Zustand, leicht bestoßen</t>
  </si>
  <si>
    <t>1939 (10. August 1939)</t>
  </si>
  <si>
    <t>Ohne Empfänger (nur Notiz)</t>
  </si>
  <si>
    <t>Mühlhausen, Bayr. Ostmark, Storchennest, Störche, Dach, Ziegel, Alfred Fröhlich, Buchbinderei Andreas Maar, gelaufen 1939</t>
  </si>
  <si>
    <t>Parsberg i. Opf. vom Flugzeug aus</t>
  </si>
  <si>
    <t>Graph. Kunst- u. Verlagsanstalt A. Weber &amp; Co., Stuttgart / Ludwig Bermüller, Parsberg</t>
  </si>
  <si>
    <t>Echte Photographie (Awuco R 118), sauberer Zustand</t>
  </si>
  <si>
    <t>Parsberg, Luftbild, Fliegeraufnahme, A. Weber &amp; Co., Ludwig Bermüller, ungelaufen</t>
  </si>
  <si>
    <t>Forchheim - Stadtparkpartie</t>
  </si>
  <si>
    <t>Unbekannter Verlag (Nr. 9)</t>
  </si>
  <si>
    <t>Forchheim / Oberfranken</t>
  </si>
  <si>
    <t>Topografie / Forchheim</t>
  </si>
  <si>
    <t>Forchheim, Stadtparkpartie, Park, Teich, Bäume, Oberfranken, ungelaufen</t>
  </si>
  <si>
    <t>Passau - Donaupartie mit Dom</t>
  </si>
  <si>
    <t>Gebr. Metz, Kunstanstalt, Tübingen (BeNe 490/90)</t>
  </si>
  <si>
    <t>1950 (9.12.50)</t>
  </si>
  <si>
    <t>Passau 9.12.50 (mit Notopfer Berlin Steuermarke)</t>
  </si>
  <si>
    <t>Familie Pauer, Lupburg / Absender: BeNe</t>
  </si>
  <si>
    <t>Passau, Dom, Donau, Echte Photographie, Gebr. Metz, gelaufen 1950</t>
  </si>
  <si>
    <t>Parsberg i. d. O.Pf. Pfarrkirche konsekriert 1924 / Kriegergedächtnisaltar</t>
  </si>
  <si>
    <t>Verlag Hans Stümpfler – Buchdruckerei und Verlag des Parsberger Anzeiger, Parsberg / Photo-Kohlbauer, Königsberg (Bay.) (C 6971)</t>
  </si>
  <si>
    <t>Parsberg, Pfarrkirche, Kriegergedächtnisaltar, Altar, Kirche, Inschrift, Hans Stümpfler, Photo-Kohlbauer, ungelaufen</t>
  </si>
  <si>
    <t>Lindau i. B. - Leuchtturm und Löwe mit Dampfschiff</t>
  </si>
  <si>
    <t>Franckh-Verlag, Stuttgart-O. (Nr. 17007 · 8lu)</t>
  </si>
  <si>
    <t>Lindau / Schwaben</t>
  </si>
  <si>
    <t>Topografie / Lindau</t>
  </si>
  <si>
    <t>Altersgemäßer Zustand, sauber gestempelt</t>
  </si>
  <si>
    <t>1942 (23.5.42)</t>
  </si>
  <si>
    <t>Lindau (Bodensee) 23.5.42</t>
  </si>
  <si>
    <t>Gefolgschaft d. Wirtschaftsa. Parsberg i. O. / Absender: Paula</t>
  </si>
  <si>
    <t>Lindau, Bodensee, Leuchtturm, Löwe, Dampfschiff, Franckh-Verlag, gelaufen 1942</t>
  </si>
  <si>
    <t>Regensburg, Brückentor mit Donaustrudel und Dom</t>
  </si>
  <si>
    <t>Unbekannter Verlag (Nr. 267)</t>
  </si>
  <si>
    <t>Ecken leicht bestoßen, Rand leicht gebräunt, Rückseite mit leichten Flecken und kleinen Verschmutzungen</t>
  </si>
  <si>
    <t>Regensburg, Brückentor, Donaustrudel, Dom, Steinerne Brücke, Echte Fotografie, ungelaufen</t>
  </si>
  <si>
    <t>Schloß Parsberg – Bayrische Oberpfalz (Gemälde von Prof. Hans Rud. Schulze)</t>
  </si>
  <si>
    <t>ÖAF Dresden (Deutsche Burgen Nr. 6 / Nr. 173)</t>
  </si>
  <si>
    <t>Ecken leicht bestoßen, Rückseite mit kleinem Fleck und leichter Nachdunklung</t>
  </si>
  <si>
    <t>Parsberg, Schloß, Burg, Oberpfalz, Prof. Hans Rud. Schulze, ÖAF, ungelaufen</t>
  </si>
  <si>
    <t>Herrnsheim über Kitzingen – Ortsansicht mit Kirche</t>
  </si>
  <si>
    <t>Unbekannter Verlag (Mimosa-Fotopapier)</t>
  </si>
  <si>
    <t>Herrnsheim / Unterfranken</t>
  </si>
  <si>
    <t>Topografie / Herrnsheim</t>
  </si>
  <si>
    <t>Ecken minimal bestoßen, Vorderseite mit hellem Fleck im Himmel, gelaufen</t>
  </si>
  <si>
    <t>Herrnsheim</t>
  </si>
  <si>
    <t>Hrn. Pfarrer Müller, Obermichelbach über Neumarkt i. Op.</t>
  </si>
  <si>
    <t>Herrnsheim, Kitzingen, Obermichelbach, Pfarrkirche, Ortsansicht, Fotografie, Mimosa, gelaufen</t>
  </si>
  <si>
    <t>München. Bavaria mit Ruhmeshalle</t>
  </si>
  <si>
    <t>Ecken leicht bestoßen, Rückseite leicht gebräunt, gelaufen</t>
  </si>
  <si>
    <t>Fräulein Waltraud Beer, 8431 Seubersdorf/Opf., Bahnhofstr.</t>
  </si>
  <si>
    <t>München, Bavaria, Ruhmeshalle, Theresienwiese, gelaufen, Fräulein Waltraud Beer, Seubersdorf</t>
  </si>
  <si>
    <t>Bettenburg bei Hofheim / Ufr.</t>
  </si>
  <si>
    <t>Aero-Bild-Verlag Fulda / Bahnhofskiosk Hofheim (Nr. 60424 a)</t>
  </si>
  <si>
    <t>Hofheim / Unterfranken</t>
  </si>
  <si>
    <t>Topografie / Bettenburg</t>
  </si>
  <si>
    <t>Ecken bestoßen, Vorderseite mit kleinen Flecken im Himmel, Rückseite mit Fleck, gelaufen</t>
  </si>
  <si>
    <t>Hofheim / Seubersdorf</t>
  </si>
  <si>
    <t>Fräulein Waltraud Beer, Seubersdorf 143 (Opf.), Bahnhofstr. 143</t>
  </si>
  <si>
    <t>Bettenburg, Hofheim, Unterfranken, Schloss, koloriert, gelaufen, Waltraud Beer, Seubersdorf, Mama</t>
  </si>
  <si>
    <t>Hotel und Pension Café Hausberg Garmisch/Obb.</t>
  </si>
  <si>
    <t>Verlag E. Tiling, Untergrainau (Nr. 5411)</t>
  </si>
  <si>
    <t>Garmisch-Partenkirchen / Oberbayern</t>
  </si>
  <si>
    <t>Topografie / Wintersport &amp; Hotel</t>
  </si>
  <si>
    <t>Ungelaufen / Gut (Z2)</t>
  </si>
  <si>
    <t>Ecken leicht bestoßen, Rückseite mit leichter Patina, ungelaufen</t>
  </si>
  <si>
    <t>Garmisch-Partenkirchen</t>
  </si>
  <si>
    <t>Café Hausberg, Garmisch, Oberbayern, Hotel, Pension, Wintersport, Skifahrer, Alpspitze, Berge, Tiling</t>
  </si>
  <si>
    <t>AK-2026-0227</t>
  </si>
  <si>
    <t>Kirchberg a. d. Jagst – Ortsansicht mit Schloss</t>
  </si>
  <si>
    <t>Kunstanstalt Kalophot, München / Carl Fr. Hiller (Nr. 607/806)</t>
  </si>
  <si>
    <t>Kirchberg an der Jagst / Baden-Württemberg</t>
  </si>
  <si>
    <t>Topografie / Kirchberg</t>
  </si>
  <si>
    <t>Ecken leicht bestoßen, Kanten minimal berührt, ungelaufen</t>
  </si>
  <si>
    <t>Kirchberg an der Jagst, Schloss, Zeichnung, Kalophot, Hiller, ungelaufen</t>
  </si>
  <si>
    <t>AK-2026-0228</t>
  </si>
  <si>
    <t>Ruhpolding mit Kienberg, Rauschberg, Sonntagshorn, Reichenberg</t>
  </si>
  <si>
    <t>Phot. W. Pfingstl, Oberammergau</t>
  </si>
  <si>
    <t>Ruhpolding / Oberbayern</t>
  </si>
  <si>
    <t>Topografie / Alpenlandschaft</t>
  </si>
  <si>
    <t>Ecken leicht bestoßen, Kanten minimal berührt, Rückseite mit kleinem Fleck, ungelaufen</t>
  </si>
  <si>
    <t>AK-2026-0229</t>
  </si>
  <si>
    <t>Alatsee bei Füssen</t>
  </si>
  <si>
    <t>Phot. W. Pfingstl, Oberammergau (Nr. 1428)</t>
  </si>
  <si>
    <t>Füssen / Schwaben</t>
  </si>
  <si>
    <t>Topografie / Alpensee</t>
  </si>
  <si>
    <t>Alatsee, Füssen, Schwaben, Alpensee, Berge, Pfingstl, ungelaufen</t>
  </si>
  <si>
    <t>Ecken leicht bestoßen, Kanten minimal berührt, Rückseite mit Notopfermarke, Stempel und Tintenflecken, gelaufen</t>
  </si>
  <si>
    <t>Notopfer Berlin (10+2 Pf.)</t>
  </si>
  <si>
    <t>Lupburg / Opf.</t>
  </si>
  <si>
    <t>Familie Joseph Sauer, Lupburg / Opf. b. Parsburg über Regensburg</t>
  </si>
  <si>
    <t>Ruhpolding, Kienberg, Rauschberg, Sonntagshorn, Reichenberg, Oberbayern, Alpen, Pfingstl, gelaufen, Notopfer Berlin, Sauer, Lupburg</t>
  </si>
  <si>
    <t>AK-2026-0230</t>
  </si>
  <si>
    <t>Königsschloß Herrenchiemsee – Speisezimmer</t>
  </si>
  <si>
    <t>Fritz Zierer, vorm. A. Durner, Prien a. Ch. (Nr. 3469)</t>
  </si>
  <si>
    <t>Herrenchiemsee / Oberbayern</t>
  </si>
  <si>
    <t>Topografie / Königsschloss Interieur</t>
  </si>
  <si>
    <t>Ecken leicht bestoßen, Kanten minimal berührt, Rückseite mit kleinen Flecken, ungelaufen</t>
  </si>
  <si>
    <t>Herrenchiemsee, Schloss, Speisezimmer, Interieur, Ludwig II., Chiemsee, Zierer, Durner, ungelaufen</t>
  </si>
  <si>
    <t>AK-2026-0231</t>
  </si>
  <si>
    <t>Bad Reichenhall – Saalachsee – Stauanlage bei Kibling</t>
  </si>
  <si>
    <t>B. Lehrburger, Nürnberg (Nr. 3070)</t>
  </si>
  <si>
    <t>Bad Reichenhall / Oberbayern</t>
  </si>
  <si>
    <t>Topografie / Technik &amp; Natur</t>
  </si>
  <si>
    <t>Ecken leicht bestoßen, Kanten minimal berührt, Rückseite mit leichter altersbedingter Patina, ungelaufen</t>
  </si>
  <si>
    <t>Bad Reichenhall, Saalachsee, Kibling, Stauanlage, Technik, Lehrburger, Nürnberg, ungelaufen</t>
  </si>
  <si>
    <t>AK-2026-0232</t>
  </si>
  <si>
    <t>Heimkehr vom Bräuhaus! (Münchner Dienstmänner)</t>
  </si>
  <si>
    <t>Ottmar Zieher, München (Serie VII.)</t>
  </si>
  <si>
    <t>Humor / Lithographie / Hofbräuhaus</t>
  </si>
  <si>
    <t>Deutsches Reich Germania 5 Pf.</t>
  </si>
  <si>
    <t>Wiesenfelden</t>
  </si>
  <si>
    <t>H. H. Pfarrer Windhager, Wiesenfelden b. Straubing</t>
  </si>
  <si>
    <t>Vorderseite mit handschriftlichem Text und Datierung sowie violettem Sonderstempel „Aufgabeort im kgl. Hofbräuhaus München“, Rückseite mit Poststempel „Wiesenfelden 9.SEP.03“, München, Hofbräuhaus, Dienstmänner, Humor, Karikatur, Ottmar Zieher, Wiesenfelden, Pfarrer Windhager, 1903</t>
  </si>
  <si>
    <t>Ecken leicht bestoßen, Kanten minimal berührt</t>
  </si>
  <si>
    <t>AK-2026-0237</t>
  </si>
  <si>
    <t>Königsschloß Herrenchiemsee – Schlafzimmer</t>
  </si>
  <si>
    <t>Fritz Zierer, vorm. A. Durner, Prien am Chiemsee (Nr. 3464)</t>
  </si>
  <si>
    <t>Schloss / Architektur / König Ludwig II.</t>
  </si>
  <si>
    <t>Ungelaufen / Sehr gut (Z1-Z2)</t>
  </si>
  <si>
    <t>Ungelaufen, unbeschrieben</t>
  </si>
  <si>
    <t>Keine</t>
  </si>
  <si>
    <t>Prachtvolle Innenaufnahme des königlichen Schlafzimmers im Schloss Herrenchiemsee mit Prunkbett und Kronleuchter, Fritz Zierer Prien</t>
  </si>
  <si>
    <t>Minimale Lagerungsspuren, Ecken und Kanten sehr gut erhalten</t>
  </si>
  <si>
    <t>AK-2026-0238</t>
  </si>
  <si>
    <t>Königsschloß Linderhof</t>
  </si>
  <si>
    <t>Alpiner Kunstverlag Hans Huber, Garmisch-Partenkirchen (Nr. 10418)</t>
  </si>
  <si>
    <t>Linderhof / Oberbayern</t>
  </si>
  <si>
    <t>Schloss / Park / Ludwig II. / SW-Foto</t>
  </si>
  <si>
    <t>Echte Schwarz-Weiß-Fotokarte mit Büttenrand, rückseitig schwarzer Gedenkstempel mit Krone „Königsschloss Linderhof“</t>
  </si>
  <si>
    <t>Leichte alterungsbedingte Nachdunkelung der Ränder, sonst sehr gut erhalten</t>
  </si>
  <si>
    <t>AK-2026-0239</t>
  </si>
  <si>
    <t>Passau (Gesamtansicht mit Dom)</t>
  </si>
  <si>
    <t>Verlag Ferd. Köblinger, München (Nr. 26)</t>
  </si>
  <si>
    <t>Stadtansicht / Dom / Koloriert</t>
  </si>
  <si>
    <t>Gelaufen / Gut (Z2)</t>
  </si>
  <si>
    <t>Gelaufen mit Stempel</t>
  </si>
  <si>
    <t>Deutsches Reich Bayern 5 Pf.</t>
  </si>
  <si>
    <t>Frl. Marri Vogl, Postagentur in Lupburg bei Parsberg Oberpfalz</t>
  </si>
  <si>
    <t>Vorderseite mit handschriftlichem Text, Rückseite mit Bayern-Marke, Poststempel Passau und Ankunftsstempel Lupburg, Passau, Dom, Köblinger, Vogl, Lupburg, Parsberg, 1900er</t>
  </si>
  <si>
    <t>Ecken leicht bestoßen, Kanten minimal berührt, leichte altersbedingte Flecken</t>
  </si>
  <si>
    <t>AK-2026-0240</t>
  </si>
  <si>
    <t>Gruss aus Beratzhausen</t>
  </si>
  <si>
    <t>Aufnahme von G. Ebenhöch, Beratzhausen (Nr. 3)</t>
  </si>
  <si>
    <t>Beratzhausen / Oberpfalz</t>
  </si>
  <si>
    <t>Ortsansicht / Kirche / Koloriert</t>
  </si>
  <si>
    <t>Beratzhausen</t>
  </si>
  <si>
    <t>Frl. Mariie Vogl, Wohlgebohren in Lupburg</t>
  </si>
  <si>
    <t>Historische Ortsansicht von Beratzhausen mit Pfarrkirche, Verlag G. Ebenhöch, frankiert mit bayerischer Marke, gelaufen 1909 an Maria Vogl in Lupburg</t>
  </si>
  <si>
    <t>Leichte Feuchtigkeitsspuren auf der Rückseite, Kanten und Ecken leicht berührt</t>
  </si>
  <si>
    <t>AK-2026-0241</t>
  </si>
  <si>
    <t>Rosenheim. Prinzregentenstraße</t>
  </si>
  <si>
    <t>Ottmar Zieher / Ed. Metz, Tübingen (Nr. 20936/40)</t>
  </si>
  <si>
    <t>Rosenheim / Oberbayern</t>
  </si>
  <si>
    <t>Stadtansicht / Schule / Alpen / SW-Foto</t>
  </si>
  <si>
    <t>Echte Bromsilber-Fotokarte mit Schulgebäude und Alpenblick, moderne Foto-Edition</t>
  </si>
  <si>
    <t>Keine wesentlichen Mängel, sehr guter Zustand</t>
  </si>
  <si>
    <t>AK-2026-0242</t>
  </si>
  <si>
    <t>Gruß vom Salvator (München)</t>
  </si>
  <si>
    <t>Ottmar Zieher, München (Künstler Fritz Bergen)</t>
  </si>
  <si>
    <t>Brauchtum / Historisch / Starkbier / Gedicht</t>
  </si>
  <si>
    <t>Gelaufen mit Stempel nach Übersee</t>
  </si>
  <si>
    <t>Deutsches Reich Bayern 2x 5 Pf.</t>
  </si>
  <si>
    <t>Hof (Bayern)</t>
  </si>
  <si>
    <t>Herrn Otto Raithel, New York (USA)</t>
  </si>
  <si>
    <t>Künstler-Ansichtskarte von Fritz Bergen mit Salvator-Gedicht und Paulaner-Werbestempel, gelaufen nach New York 1912</t>
  </si>
  <si>
    <t>Leichte Randläsuren und Kantenbestoßungen</t>
  </si>
  <si>
    <t>AK-2026-0243</t>
  </si>
  <si>
    <t>Ingolstadt. Totalansicht mit Brücke</t>
  </si>
  <si>
    <t>Unbekannter Verlag (Nr. oben rechts)</t>
  </si>
  <si>
    <t>Ingolstadt / Oberbayern</t>
  </si>
  <si>
    <t>Stadtansicht / Donau / Kolorierte Litho</t>
  </si>
  <si>
    <t>Gelaufen / Befriedigend (Z3-Z2)</t>
  </si>
  <si>
    <t>Gelaufen mit Stempel und Textvorderseite</t>
  </si>
  <si>
    <t>Frau Minna Raithel, Hof (Bayern), Wöhrmauerstr. 1</t>
  </si>
  <si>
    <t>Kolorierte Lithographie mit Vorderseitenbeschriftung, gelaufen 1902 an Minna Raithel in Hof</t>
  </si>
  <si>
    <t>Deutliche Eckknicke, Kantenberührungen, fleckig</t>
  </si>
  <si>
    <t>AK-2026-0244</t>
  </si>
  <si>
    <t>Staffelberg (Wanderfahrt / Scheffel)</t>
  </si>
  <si>
    <t>Verlag v. Adam Hammrich, Staffelstein</t>
  </si>
  <si>
    <t>Staffelberg / Oberfranken</t>
  </si>
  <si>
    <t>Literatur / Gedicht / Porträts / Staffelberg</t>
  </si>
  <si>
    <t>Staffelstein</t>
  </si>
  <si>
    <t>Stammtisch-Gesellschaft „Buronfreunde“ Gold. Roßreß, Markt-Redwitz</t>
  </si>
  <si>
    <t>Scheffel-Gedichtkarte „Wanderfahrt“ vom Staffelstein mit Porträts, gelaufen 1910 an die Buronfreunde in Marktredwitz</t>
  </si>
  <si>
    <t>Leichte Kantenbestoßungen, Ecken minimal berührt</t>
  </si>
  <si>
    <t>AK-2026-0245</t>
  </si>
  <si>
    <t>Gößweinstein Fränk. Schweiz (Mehransicht)</t>
  </si>
  <si>
    <t>Foto-Kohibauer, Pfronten (Best.-Nr. Of 397)</t>
  </si>
  <si>
    <t>Gößweinstein / Fränkische Schweiz</t>
  </si>
  <si>
    <t>Mehransicht / Kirche / Burg / SW-Foto</t>
  </si>
  <si>
    <t>Gelaufen / Sehr gut (Z1-Z2)</t>
  </si>
  <si>
    <t>Bundespost 10 Pf.</t>
  </si>
  <si>
    <t>Frau Maria Sanner, Lupburg 118 bei Parsberg</t>
  </si>
  <si>
    <t>Mehransichten-Fotokarte von Gößweinstein (Basilika, Burg), gelaufen 1959 an Maria Sanner in Lupburg</t>
  </si>
  <si>
    <t>Keine nennenswerten Mängel, sehr guter Zustand</t>
  </si>
  <si>
    <t>AK-2026-0246</t>
  </si>
  <si>
    <t>Kitzingen a. Main – Bootshaus</t>
  </si>
  <si>
    <t>Verlag v. B. Högner (Tel. 152)</t>
  </si>
  <si>
    <t>Kitzingen / Unterfranken</t>
  </si>
  <si>
    <t>Stadtansicht / Fluss / Bootshaus / SW-Foto</t>
  </si>
  <si>
    <t>Deutsches Reich 6 Pf.</t>
  </si>
  <si>
    <t>Schwäbisch Hall (oder Umgebung)</t>
  </si>
  <si>
    <t>Familie Joseph Sanner, Gent. Oberkommissär a.D., Lupburg 70 1/2 b. Parsberg</t>
  </si>
  <si>
    <t>Historische Ansicht des Bootshauses in Kitzingen am Main, gelaufen 1937 an Familie Sanner in Lupburg</t>
  </si>
  <si>
    <t>Minimale Altersspuren, sehr guter Erhaltungszustand</t>
  </si>
  <si>
    <t>AK-2026-0247</t>
  </si>
  <si>
    <t>Am Simsee, Bayr. Alpenvorland</t>
  </si>
  <si>
    <t>J. Maier, Gebirgskartenverlag, Prienfeld (Nr. B 61)</t>
  </si>
  <si>
    <t>Simsee / Oberbayern</t>
  </si>
  <si>
    <t>Landschaft / See / Segelboot / SW-Foto</t>
  </si>
  <si>
    <t>Fotokarte vom Simsee mit Segelbooten und Alpenblick, Verlags-Nr. B 61</t>
  </si>
  <si>
    <t>AK-2026-0248</t>
  </si>
  <si>
    <t>Lindau im Bodensee mit Österr. und Schweizer Alpen</t>
  </si>
  <si>
    <t>Bodenseeeverlag Albert Ulrich, Ravensburg (Nr. 7757)</t>
  </si>
  <si>
    <t>Lindau / Bodensee</t>
  </si>
  <si>
    <t>Luftaufnahme / Insel Lindau / Alpen / Echte Fotografie</t>
  </si>
  <si>
    <t>Echte Photographie als Flugaufnahme von Lindau mit beschriftetem Alpenpanorama</t>
  </si>
  <si>
    <t>Minimale Lagerungsspuren, exzellenter Zustand</t>
  </si>
  <si>
    <t>AK-2026-0249</t>
  </si>
  <si>
    <t>Bodenseepanorama mit Statistik und Gipfelbeschriftung</t>
  </si>
  <si>
    <t>Verlag Erwin Burda, Freiburg i. Br. (Nr. B 6-2760)</t>
  </si>
  <si>
    <t>Bodensee / Region</t>
  </si>
  <si>
    <t>Panorama / Geografie / Statistik / Echte Fotografie</t>
  </si>
  <si>
    <t>Bodensee-Panoramakarte mit umfangreichen See-Statistiken und Bergketten-Beschriftung</t>
  </si>
  <si>
    <t>Keine nennenswerten Mängel, sehr schöner Zustand</t>
  </si>
  <si>
    <t>AK-2026-0250</t>
  </si>
  <si>
    <t>Schloss Neuschwanstein (Vogelperspektive)</t>
  </si>
  <si>
    <t>Oskar Göbl, Kempten (St. 361)</t>
  </si>
  <si>
    <t>Schwangau / Allgäu</t>
  </si>
  <si>
    <t>Schloss / Architektur / SW-Foto</t>
  </si>
  <si>
    <t>Gelaufen mit Stempel und Österr. Marke</t>
  </si>
  <si>
    <t>Österreich 2 Groschen</t>
  </si>
  <si>
    <t>Schloss Hopfen am See / Kempten</t>
  </si>
  <si>
    <t>Fam. Karl Engelhard, Geschäft, Dürrwangen b. Dinkelsbühl</t>
  </si>
  <si>
    <t>Historische Neuschwanstein-Ansicht, gelaufen mit speziellem Schlossstempel und Österreich-Marke nach Dürrwangen</t>
  </si>
  <si>
    <t>AK-2026-0251</t>
  </si>
  <si>
    <t>Oberstdorf in Umgebung (Panorama)</t>
  </si>
  <si>
    <t>Gebr. Metz, Tübingen (Nr. 172/12 E D C)</t>
  </si>
  <si>
    <t>Oberstdorf / Allgäuer Alpen</t>
  </si>
  <si>
    <t>Panorama / Alpen / Kupfertiefdruck</t>
  </si>
  <si>
    <t>Kupfertiefdruck-Panoramakarte von Oberstdorf mit Gipfelbeschriftung der Allgäuer Alpen</t>
  </si>
  <si>
    <t>Keine wesentlichen Mängel, exzellenter Erhaltungszustand</t>
  </si>
  <si>
    <t>AK-2026-0252</t>
  </si>
  <si>
    <t>Schloß Neuschwanstein (Klassisch)</t>
  </si>
  <si>
    <t>H. G. Metz, Tübingen</t>
  </si>
  <si>
    <t>Deutsches Reich 8 Pf.</t>
  </si>
  <si>
    <t>Frl. Maria Ruger, Konstanz a/See, Stefanienplatz 23</t>
  </si>
  <si>
    <t>Klassische Ansicht von Schloss Neuschwanstein, gelaufen an Maria Ruger in Konstanz</t>
  </si>
  <si>
    <t>Minimale Altersspuren, sehr guter Gesamtzustand</t>
  </si>
  <si>
    <t>AK-2026-0253</t>
  </si>
  <si>
    <t>Rosenheim mit Alpenpanorama</t>
  </si>
  <si>
    <t>Gebr. Metz, Tübingen (Nr. 382/117)</t>
  </si>
  <si>
    <t>Stadtansicht / Alpen / Bromsilber</t>
  </si>
  <si>
    <t>Echt-Bromsilber-Ansicht von Rosenheim mit Gipfelbeschriftung</t>
  </si>
  <si>
    <t>Keine nennenswerten Mängel</t>
  </si>
  <si>
    <t>AK-2026-0254</t>
  </si>
  <si>
    <t>Chiem-See mit Umgebung</t>
  </si>
  <si>
    <t>Moto-Verlag, Prien a. Chiemsee (Nr. 118)</t>
  </si>
  <si>
    <t>Chiemsee / Oberbayern</t>
  </si>
  <si>
    <t>Panorama / Karte / Echt Photo</t>
  </si>
  <si>
    <t>Detaillierte Panoramakarte des Chiemsees mit Inseln und Alpen im Hintergrund</t>
  </si>
  <si>
    <t>Minimale Lagerungsspuren</t>
  </si>
  <si>
    <t>AK-2026-0255</t>
  </si>
  <si>
    <t>München - Odeonsplatz und Theatinerkirche</t>
  </si>
  <si>
    <t>W.H.D. (Nr. 8485)</t>
  </si>
  <si>
    <t>Stadtansicht / Historisch / Gelaufen</t>
  </si>
  <si>
    <t>Gelaufen mit Stempel (1909)</t>
  </si>
  <si>
    <t>Velburg (03.07.1909)</t>
  </si>
  <si>
    <t>Herrn Josef Sauerer, Holnstein b. Berching</t>
  </si>
  <si>
    <t>Historische Ansicht des Odeonsplatzes in München, gelaufen 1909 nach Holnstein bei Berching</t>
  </si>
  <si>
    <t>Stiftnotizen auf Bildseite, Eckenbestoßungen</t>
  </si>
  <si>
    <t>AK-2026-0256</t>
  </si>
  <si>
    <t>Bad Reichenhall im Alpenklima</t>
  </si>
  <si>
    <t>Ernst Baumann, Bad Reichenhall (Nr. 4029)</t>
  </si>
  <si>
    <t>Kurort / Alpen / SW-Foto</t>
  </si>
  <si>
    <t>Gelaufen mit Stempel (1968)</t>
  </si>
  <si>
    <t>BRD 20 Pfg.</t>
  </si>
  <si>
    <t>Bad Reichenhall (12.07.1968)</t>
  </si>
  <si>
    <t>Frau Maria Sauerer, Lupburg / Opf.</t>
  </si>
  <si>
    <t>Bad Reichenhall Ansicht mit Kur-Nachricht vom Juli 1968 nach Lupburg (Oberpfalz)</t>
  </si>
  <si>
    <t>Minimale Eckenbestoßungen</t>
  </si>
  <si>
    <t>AK-2026-0257</t>
  </si>
  <si>
    <t>Nürnberg - Lorenzkirche</t>
  </si>
  <si>
    <t>Stengel a.G., Nürnberg</t>
  </si>
  <si>
    <t>Architektur / Kirche / Historisch</t>
  </si>
  <si>
    <t>Historische Farbkarte der Lorenzkirche in Nürnberg</t>
  </si>
  <si>
    <t>AK-2026-0258</t>
  </si>
  <si>
    <t>Rothenburg o.T. - Plönlein und Siebersturm</t>
  </si>
  <si>
    <t>Ernst Geissendörfer, Rothenburg o.T.</t>
  </si>
  <si>
    <t>Rothenburg o.d. Tauber / Mittelfranken</t>
  </si>
  <si>
    <t>Fachwerk / Mittelalter / SW-Foto</t>
  </si>
  <si>
    <t>Gelaufen mit Stempel und Marke</t>
  </si>
  <si>
    <t>Rothenburg o. Tauber</t>
  </si>
  <si>
    <t>Klassisches Plönlein-Motiv aus Rothenburg, gelaufen an Maria Sauerer in Lupburg</t>
  </si>
  <si>
    <t>Leichte Kantenbestoßungen, Papierbräunung</t>
  </si>
  <si>
    <t>AK-2026-0259</t>
  </si>
  <si>
    <t>Nürnberg - Frauenkirche Portal</t>
  </si>
  <si>
    <t>A. Weber &amp; Co., Stuttgart (Nr. 07451/51)</t>
  </si>
  <si>
    <t>Architektur / Kirche / Echt-Foto</t>
  </si>
  <si>
    <t>Echt-Foto Detailaufnahme des Portals der Frauenkirche Nürnberg</t>
  </si>
  <si>
    <t>AK-2026-0260</t>
  </si>
  <si>
    <t>Lupburg i. Opf. vom Flugzeug aus</t>
  </si>
  <si>
    <t>Luftverkehr Schäble, Schorndorf (Nr. 20693)</t>
  </si>
  <si>
    <t>Luftaufnahme / Heimatort / SW-Foto</t>
  </si>
  <si>
    <t>Historisches Luftbild von Lupburg in der Oberpfalz (R.L.M. freigegeben)</t>
  </si>
  <si>
    <t>Minimale Lagerspuren</t>
  </si>
  <si>
    <t>AK-2026-0261</t>
  </si>
  <si>
    <t>Ulm a. D. - Bismarckdenkmal</t>
  </si>
  <si>
    <t>C. Walcher, Ulm a. D.</t>
  </si>
  <si>
    <t>Ulm / Württemberg</t>
  </si>
  <si>
    <t>Koloriert / Denkmal / Münster</t>
  </si>
  <si>
    <t>Gelaufen mit Stempel und Bayern-Marke</t>
  </si>
  <si>
    <t>Deutsches Reich / Bayern</t>
  </si>
  <si>
    <t>Neu-Ulm / Bayern</t>
  </si>
  <si>
    <t>Fräulein Johanna Bauer, Hirschaid b. Bamberg</t>
  </si>
  <si>
    <t>Kolorierte Ulm-Ansicht mit Bismarckdenkmal, gelaufen an Johanna Bauer in Hirschaid</t>
  </si>
  <si>
    <t>Leichte Kantenbestoßungen</t>
  </si>
  <si>
    <t>AK-2026-0262</t>
  </si>
  <si>
    <t>Lupburg b. Parsberg, Obf. - Ansicht mit Burg</t>
  </si>
  <si>
    <t>L. Bermüller, Parsberg</t>
  </si>
  <si>
    <t>Ortsansicht / Burg / Echt-Foto</t>
  </si>
  <si>
    <t>Echt-Foto Ortsansicht von Lupburg mit Burg vom lokalen Fotografen Bermüller</t>
  </si>
  <si>
    <t>AK-2026-0263</t>
  </si>
  <si>
    <t>Lupburg i. Opf. mit Feldern und Straße</t>
  </si>
  <si>
    <t>Aero-Bild-Verlag, Fulda (Nr. 54340)</t>
  </si>
  <si>
    <t>Luftbild / Landschaft / Perutz-Film</t>
  </si>
  <si>
    <t>Landschaftsaufnahme von Lupburg mit umliegenden Feldern und Straße</t>
  </si>
  <si>
    <t>AK-2026-0264</t>
  </si>
  <si>
    <t>Bodenseepanorama mit Geographie und Wappen</t>
  </si>
  <si>
    <t>Albert Ulmer, Ravensburg (Nr. 2090)</t>
  </si>
  <si>
    <t>Bodensee / Mehrere Regionen</t>
  </si>
  <si>
    <t>Panorama / Geographie / Koloriert</t>
  </si>
  <si>
    <t>Deutsches Reich 10 Pf.</t>
  </si>
  <si>
    <t>Poststempel</t>
  </si>
  <si>
    <t>Familie Joseph Sauerer, Lupburg / Opf.</t>
  </si>
  <si>
    <t>Farbiges Bodensee-Panorama mit Geodaten und Wappen, gelaufen nach Lupburg</t>
  </si>
  <si>
    <t>AK-2026-0265</t>
  </si>
  <si>
    <t>Kallmünz i. Opf. - Fliegeraufnahme mit Burg</t>
  </si>
  <si>
    <t>AERO-Verlag, Leipzig (Nr. 6174)</t>
  </si>
  <si>
    <t>Kallmünz / Oberpfalz</t>
  </si>
  <si>
    <t>Luftbild / Fliegeraufnahme / SW</t>
  </si>
  <si>
    <t>Familie Sauerer, Neunburg v. W.</t>
  </si>
  <si>
    <t>Historische Fliegeraufnahme von Kallmünz mit Burgruine, gelaufen</t>
  </si>
  <si>
    <t>AK-2026-0266</t>
  </si>
  <si>
    <t>Ansbach - Mehrbildkarte (Schloss, Hofgarten)</t>
  </si>
  <si>
    <t>Fritz Lauterbach, Fürth (Frila 400.2:61)</t>
  </si>
  <si>
    <t>Ansbach / Mittelfranken</t>
  </si>
  <si>
    <t>Mehrbildkarte / Stadtansichten</t>
  </si>
  <si>
    <t>Gelaufen mit Stempel (1962)</t>
  </si>
  <si>
    <t>Poststempel Ansbach</t>
  </si>
  <si>
    <t>Frila-Mehrbildkarte von Ansbach, gelaufen an Familie Sauerer in Lupburg 1962</t>
  </si>
  <si>
    <t>Geringe Lagerspuren</t>
  </si>
  <si>
    <t>AK-2026-0267</t>
  </si>
  <si>
    <t>Kirchberg a. d. I. - Schloss und Ort</t>
  </si>
  <si>
    <t>Carl Fr. Müller, Kirchberg (Nr. 61174)</t>
  </si>
  <si>
    <t>Kirchberg an der Iller / BW</t>
  </si>
  <si>
    <t>Ortsansicht / Schloss / Heimatkarte</t>
  </si>
  <si>
    <t>Orts- und Schlossansicht von Kirchberg an der Iller</t>
  </si>
  <si>
    <t>AK-2026-0268</t>
  </si>
  <si>
    <t>Ungelaufen / Gut (Z1-Z2)</t>
  </si>
  <si>
    <t>München - Klapp-Werbebriefkarte Drei Masken Verlag</t>
  </si>
  <si>
    <t>Drei Masken Verlag A.G., München (1926)</t>
  </si>
  <si>
    <t>Reklame / Klappkarte / Verlagsgeschichte</t>
  </si>
  <si>
    <t>Vollständige Klappkarte, unbeschrieben</t>
  </si>
  <si>
    <t>Kompletter, klappbarer Verlags-Werbefolder des Drei Masken Verlags von 1926</t>
  </si>
  <si>
    <t>Mittelfalte (produktionsbedingt), minimale Altersspuren</t>
  </si>
  <si>
    <t>AK-2026-0269</t>
  </si>
  <si>
    <t>Speyer - Der Dom (Südseite)</t>
  </si>
  <si>
    <t>Ed. Theile, Speyer</t>
  </si>
  <si>
    <t>Speyer / Rheinland-Pfalz</t>
  </si>
  <si>
    <t>Ansichtskarte / Dom / Architektur</t>
  </si>
  <si>
    <t>Gelaufen mit Bayern-Marke (1900)</t>
  </si>
  <si>
    <t>Bayern 5 Pfennig, Stempel Speyer / Wiesenfelden</t>
  </si>
  <si>
    <t>Herrn Anton Miedinger, Lehrer in Wiesenfelden</t>
  </si>
  <si>
    <t>Ansichtskarte vom Speyerer Dom, gelaufen 1900 nach Wiesenfelden in Niederbayern</t>
  </si>
  <si>
    <t>Altersübliche Papierbräunung, beschrieben auf Vorderseite</t>
  </si>
  <si>
    <t>AK-2026-0270</t>
  </si>
  <si>
    <t>Mittenwald - Gruß aus Mittenwald (Mehrfachansicht)</t>
  </si>
  <si>
    <t>Verlag Foto-Karwendel Friedl Pehl, Mittenwald</t>
  </si>
  <si>
    <t>Mittenwald / Oberbayern</t>
  </si>
  <si>
    <t>Mehrfachansicht / Echt-Foto / Alpen</t>
  </si>
  <si>
    <t>Ungelaufen / Sehr gut (Z1)</t>
  </si>
  <si>
    <t>Ungelaufene Echt-Foto-Karte mit Büttenrand</t>
  </si>
  <si>
    <t>Echt-Foto-Mehrfachansicht von Mittenwald mit Orts- und Landschaftsmotiven</t>
  </si>
  <si>
    <t>Minimaler altersbedingter Lichtrand auf der Rückseite</t>
  </si>
  <si>
    <t>AK-2026-0271</t>
  </si>
  <si>
    <t>Ansbach - Blick zur Gumbertuskirche</t>
  </si>
  <si>
    <t>Verlag Georg Deinzer OHG, Nürnberg (Kruger 1654/6)</t>
  </si>
  <si>
    <t>Stadtansicht / Kirche / Brücke</t>
  </si>
  <si>
    <t>Ungelaufene Farbfotokarte</t>
  </si>
  <si>
    <t>Blick auf Ansbach mit Gumbertuskirche und Brücke</t>
  </si>
  <si>
    <t>Keine Mängel</t>
  </si>
  <si>
    <t>AK-2026-0272</t>
  </si>
  <si>
    <t>Feldkirchen b. Westerham gegen Wendelstein</t>
  </si>
  <si>
    <t>Buchverkauf Hertzberg, Feldkirchen / Obb.</t>
  </si>
  <si>
    <t>Feldkirchen-Westerham / Oberbayern</t>
  </si>
  <si>
    <t>Ortsansicht / Alpen / Wendelstein</t>
  </si>
  <si>
    <t>Gelaufen mit Bund-Marke (1960)</t>
  </si>
  <si>
    <t>Bund 10 Pf., Stempel Feldkirchen (Obb.) 1960</t>
  </si>
  <si>
    <t>Fam. Beer, Geubersdorf b. Parsberg</t>
  </si>
  <si>
    <t>Ansicht von Feldkirchen mit Wendelstein, gelaufen 1960 an Familie Beer in Geubersdorf</t>
  </si>
  <si>
    <t>Leichte Kantenbestoßungen, beschrieben</t>
  </si>
  <si>
    <t>AK-2026-0273</t>
  </si>
  <si>
    <t>Schloss Neuschwanstein (aus dem Wald)</t>
  </si>
  <si>
    <t>B. Arnold, Füssen (Haus Nr. 300)</t>
  </si>
  <si>
    <t>Schwangau / Füssen / Allgäu / Bayern</t>
  </si>
  <si>
    <t>Schloss Neuschwanstein / Architektur</t>
  </si>
  <si>
    <t>Gelaufen / Gut mit Mängeln (Z2-3)</t>
  </si>
  <si>
    <t>Gelaufen mit Deutsches Reich 5-Pf.-Marke (1924)</t>
  </si>
  <si>
    <t>Deutsches Reich 5 Pf., Stempel Füssen 2.9.24</t>
  </si>
  <si>
    <t>Frl. Hertha Mengelberg, Frankfurt a/M-Niederrad</t>
  </si>
  <si>
    <t>Historische Ansichtskarte von Neuschwanstein, gelaufen September 1924 an Familie Mengelberg in Frankfurt</t>
  </si>
  <si>
    <t>Allseitig deutliche Kantenbestoßungen, Eselsohren, leichte Knickspur am rechten Rand, altersübliche Vergilbung, beschrieben</t>
  </si>
  <si>
    <t>AK-2026-0274</t>
  </si>
  <si>
    <t>Gruss aus Gerzen</t>
  </si>
  <si>
    <t>Unbekannt (Lithographie)</t>
  </si>
  <si>
    <t>Gerzen / Niederbayern</t>
  </si>
  <si>
    <t>Ortsansicht / Lithographie</t>
  </si>
  <si>
    <t>Gelaufen / Mäßig (Z3)</t>
  </si>
  <si>
    <t>Gelaufen mit Bayern 5 Pf.-Marke, Stempel 1898, leichter Riss</t>
  </si>
  <si>
    <t>Bayern 5 Pf., Stempel Frontenhausen / Wiesenfelden / Straubing 1898</t>
  </si>
  <si>
    <t>H. H. Pfarrer Andreas Windinger, Wiesenfelden</t>
  </si>
  <si>
    <t>Historische Lithographie Gruss aus Gerzen, gelaufen August 1898 an Pfarrer Windinger</t>
  </si>
  <si>
    <t>Riss im oberen Bereich, leichte Randbestoßungen, Eselsohren, altersübliche Vergilbung, beschrieben</t>
  </si>
  <si>
    <t>AK-2026-0275</t>
  </si>
  <si>
    <t>Schloss Parsberg (Bayrische Oberpfalz)</t>
  </si>
  <si>
    <t>Prof. Hang Rud. Schulze (Nr. 173)</t>
  </si>
  <si>
    <t>Parsberg / Oberpfalz / Bayern</t>
  </si>
  <si>
    <t>Burgen &amp; Schlösser / Architektur</t>
  </si>
  <si>
    <t>Ungelaufene Ansichtskarte der Serie Deutsche Burgen</t>
  </si>
  <si>
    <t>Keiner</t>
  </si>
  <si>
    <t>Historische Ansicht Schloss Parsberg aus der Serie Deutsche Burgen mit Infotext auf der Rückseite</t>
  </si>
  <si>
    <t>Minimale Eckenbestoßungen, rückseitig leichte Lagerungsspuren, unbeschrieben</t>
  </si>
  <si>
    <t>AK-2026-0276</t>
  </si>
  <si>
    <t>Bamberg – Totalansicht</t>
  </si>
  <si>
    <t>Unbekannt (Echt Kupfertiefdruck)</t>
  </si>
  <si>
    <t>Bamberg / Oberfranken / Bayern</t>
  </si>
  <si>
    <t>Städteansicht / Bamberg</t>
  </si>
  <si>
    <t>Ungelaufene Ansichtskarte im echten Kupfertiefdruck</t>
  </si>
  <si>
    <t>Historische Totalansicht von Bamberg im echten Kupfertiefdruck</t>
  </si>
  <si>
    <t>Sehr guter Zustand, minimale Lagerungsspuren, unbeschrieben</t>
  </si>
  <si>
    <t>AK-2026-0277</t>
  </si>
  <si>
    <t>Gotthardbahn Fassnette</t>
  </si>
  <si>
    <t>Photoglob-Verlag Wehrli A.-G., Kilchberg Zürich</t>
  </si>
  <si>
    <t>Schweiz / Gotthardbahn</t>
  </si>
  <si>
    <t>Eisenbahn / Alpen / Gotthard</t>
  </si>
  <si>
    <t>Gelaufen mit Helvetia-Marke, Stempel Flüelen 1906</t>
  </si>
  <si>
    <t>Schweiz Helvetia, Stempel Flüelen 30.V.06</t>
  </si>
  <si>
    <t>Karl Naithel, Hof a.d. Saale (Bayern), Wirthstrasse 7</t>
  </si>
  <si>
    <t>Historische Ansichtskarte der Gotthardbahn (Fassnette), gelaufen Mai 1906 an Karl Naithel in Hof</t>
  </si>
  <si>
    <t>Leichte Kantenbestoßungen, Eselsohren, Stempelabdruck, beschrieben</t>
  </si>
  <si>
    <t>AK-2026-0278</t>
  </si>
  <si>
    <t>Nürnberg - Neptunbrunnen &amp; Handwerkerhof Ansicht</t>
  </si>
  <si>
    <t>S. Schubert'sche Verlagsbuchhandlung (A. Zemsch), Nürnberg (Bestell-Nr. 8500)</t>
  </si>
  <si>
    <t>Nürnberg / Mittelfranken / Bayern</t>
  </si>
  <si>
    <t>Städteansicht / Nürnberg / Neptunbrunnen</t>
  </si>
  <si>
    <t>Gelaufen mit Bayern-Marke 5 Pf., Stempel Nürnberg 1908, Riss oben</t>
  </si>
  <si>
    <t>Bayern 5 Pf., Stempel Nürnberg 1908</t>
  </si>
  <si>
    <t>Frau Seline Knorr, Kinderheim, Beuthen O/S (Oberschlesien)</t>
  </si>
  <si>
    <t>Bunte Litho/Ansichtskarte von Nürnberg mit Neptunbrunnen, gelaufen 1908 an Frau Seline Knorr in Beuthen</t>
  </si>
  <si>
    <t>Leichter Riss oben am Rand, Kantenbestoßungen, altersübliche Vergilbung, beschrieben</t>
  </si>
  <si>
    <t>AK-2026-0279</t>
  </si>
  <si>
    <t>Unter den Colonaden Bad Steben</t>
  </si>
  <si>
    <t>Photographie und Verlag: Gg. Drechsel, Photograph, Bad Steben</t>
  </si>
  <si>
    <t>Bad Steben / Oberfranken / Bayern</t>
  </si>
  <si>
    <t>Kurort / Bad Steben / Architektur</t>
  </si>
  <si>
    <t>Ungelaufene Ansichtskarte von den Kolonnaden in Bad Steben</t>
  </si>
  <si>
    <t>Historische Ansicht der Kolonnaden im Kurort Bad Steben von Photograph Gg. Drechsel</t>
  </si>
  <si>
    <t>AK-2026-0280</t>
  </si>
  <si>
    <t>975 Jahre Schwarzenfeld (Historische Ansichten um 1910)</t>
  </si>
  <si>
    <t>Reproduction aus der Sammlung von Peter Bartmann, Heimatpfleger von Schwarzenfeld</t>
  </si>
  <si>
    <t>Schwarzenfeld / Oberpfalz / Bayern</t>
  </si>
  <si>
    <t>Ortsjubiläum / Schwarzenfeld / Historische Ansichten</t>
  </si>
  <si>
    <t>Gelaufen / Sehr gut (Z1-2)</t>
  </si>
  <si>
    <t>Gelaufen mit Sonderstempel und Marken zum 975-jährigen Jubiläum 1990</t>
  </si>
  <si>
    <t>Deutsche Bundespost Berlin Sonderstempel Schwarzenfeld 24.-6.90</t>
  </si>
  <si>
    <t>Sonderstempel</t>
  </si>
  <si>
    <t>An Herrn Richard Sauerer u.a. (Sammlersendung)</t>
  </si>
  <si>
    <t>Jubiläumskarte 975 Jahre Schwarzenfeld nach historischen Ansichten um 1910, gelaufen Juni 1990</t>
  </si>
  <si>
    <t>Sehr guter Zustand, minimale Lagerungsspuren, sauber gestempelt</t>
  </si>
  <si>
    <t>AK-2026-0281</t>
  </si>
  <si>
    <t>Seubersdorf - Schulhaus</t>
  </si>
  <si>
    <t>Unbekannt / Verlagshaus</t>
  </si>
  <si>
    <t>Seubersdorf / Oberpfalz / Bayern</t>
  </si>
  <si>
    <t>Ortsansicht / Schulhaus / Seubersdorf</t>
  </si>
  <si>
    <t>Gelaufen mit handschriftlicher Kurrent-Vielschreiber-Grüße, Stempel unleserlich/schwach</t>
  </si>
  <si>
    <t>Unleserlicher Poststempel (ca. 1910er Jahre)</t>
  </si>
  <si>
    <t>An Familie oder Einzelpersonen (Mehrfachunterschriften)</t>
  </si>
  <si>
    <t>Historische Ansicht des Schulhauses in Seubersdorf mit umlaufendem Holzzaun, gelaufen</t>
  </si>
  <si>
    <t>Kantenbestoßungen, Eselsohren, oberer Rand mit kleineren Beschädigungen/Eindrücken, beschrieben</t>
  </si>
  <si>
    <t>AK-2026-0282</t>
  </si>
  <si>
    <t>Prof. Hang Rud. Schulze (Nr. 173)[cite: 18]</t>
  </si>
  <si>
    <t>Ungelaufen / Sehr gut (Z1-2)[cite: 18]</t>
  </si>
  <si>
    <t>Ungelaufene Ansichtskarte der Serie Deutsche Burgen (Doppelter Bestand)[cite: 18]</t>
  </si>
  <si>
    <t>Historische Ansicht Schloss Parsberg aus der Serie Deutsche Burgen mit Infotext auf der Rückseite[cite: 18]</t>
  </si>
  <si>
    <t>Minimale Eckenbestoßungen, rückseitig leichte Lagerungsspuren, unbeschrieben[cite: 18]</t>
  </si>
  <si>
    <t>AK-2026-0283</t>
  </si>
  <si>
    <t>Herzogstand-Häuser vom Fahrenberg</t>
  </si>
  <si>
    <t>Unbekannt / Serie 691</t>
  </si>
  <si>
    <t>Herzogstand / Bayern</t>
  </si>
  <si>
    <t>Berge / Architektur / Herzogstand / Fahrenberg</t>
  </si>
  <si>
    <t>Gelaufen mit Bayern-Marke 5 Pf., Stempel Hof 190x</t>
  </si>
  <si>
    <t>Bayern 5 Pf., Stempel Hof</t>
  </si>
  <si>
    <t>An Herrn Otto Naithel, Hof (Bayern), Wirthstrasse 7</t>
  </si>
  <si>
    <t>Historische Ansicht der Herzogstand-Häuser vom Fahrenberg, gelaufen an Otto Naithel in Hof</t>
  </si>
  <si>
    <t>AK-2026-0284</t>
  </si>
  <si>
    <t>Ehrenmal mit Wachposten (München / Königsplatz)</t>
  </si>
  <si>
    <t>Unbekannt (Echt Foto / Kunstdruck)</t>
  </si>
  <si>
    <t>München / Oberbayern / Bayern</t>
  </si>
  <si>
    <t>München / NS-Architektur / Ehrenmal / Königsplatz</t>
  </si>
  <si>
    <t>Ungelaufene Foto-Ansichtskarte mit rückseitigem Stempel „Kriegerheimstätte“</t>
  </si>
  <si>
    <t>Keiner (Rückseitig Kontrollstempel Kriegerheimstätte)</t>
  </si>
  <si>
    <t>Historische Foto-Ansichtskarte vom Ehrenmal am Königsplatz in München mit SS-/Wachposten</t>
  </si>
  <si>
    <t>Sehr guter Zustand, welliger Rand, minimale Lagerungsspuren, unbeschrieben</t>
  </si>
  <si>
    <t>AK-2026-0285</t>
  </si>
  <si>
    <t>Lupburg b. Parsberg, Obpf. (Gesamtansicht mit Kruzifix im Vordergrund)</t>
  </si>
  <si>
    <t>L. Bermüller, Parsberg (Echte Photographie, Originalaufnahme)</t>
  </si>
  <si>
    <t>Lupburg / Parsberg / Oberpfalz / Bayern</t>
  </si>
  <si>
    <t>Ortsansicht / Lupburg / Oberpfalz</t>
  </si>
  <si>
    <t>Ungelaufene, echte Photographie von Lupburg in der Oberpfalz</t>
  </si>
  <si>
    <t>Echte Photographie und Ortsansicht von Lupburg bei Parsberg mit Wegkreuz im Vordergrund</t>
  </si>
  <si>
    <t>Sehr guter Zustand, minimale Eckenbestoßungen, unbeschrieben</t>
  </si>
  <si>
    <t>Preisvergleich Postkartensammlung</t>
  </si>
  <si>
    <t>Karten geprüft</t>
  </si>
  <si>
    <t>Aktueller Gesamt-VK</t>
  </si>
  <si>
    <t>Ermittelter Gesamt-VK</t>
  </si>
  <si>
    <t>Differenz Gesamt</t>
  </si>
  <si>
    <t>Preisänderungen</t>
  </si>
  <si>
    <t>Unverändert</t>
  </si>
  <si>
    <t>Quellzeile</t>
  </si>
  <si>
    <t>Aktuell Min</t>
  </si>
  <si>
    <t>Aktuell Max</t>
  </si>
  <si>
    <t>Aktuell VK</t>
  </si>
  <si>
    <t>Ermittelt Min</t>
  </si>
  <si>
    <t>Ermittelt Max</t>
  </si>
  <si>
    <t>Ermittelt VK</t>
  </si>
  <si>
    <t>Differenz Min</t>
  </si>
  <si>
    <t>Differenz Max</t>
  </si>
  <si>
    <t>Differenz VK</t>
  </si>
  <si>
    <t>Bewertung</t>
  </si>
  <si>
    <t>AK-2026-0286</t>
  </si>
  <si>
    <t>Ingolstadt - Stadtmauer und Altstadt</t>
  </si>
  <si>
    <t>Ingolstadt / Oberbayern / Bayern</t>
  </si>
  <si>
    <t>Städteansicht / Ingolstadt / Stadtmauer</t>
  </si>
  <si>
    <t>Gelaufen als Feldpost mit Stempel 1918, Vorderseite beschrieben</t>
  </si>
  <si>
    <t>Feldpoststempel (Stempelstelle 1918)</t>
  </si>
  <si>
    <t>Feldpoststempel</t>
  </si>
  <si>
    <t>An Herrn Johann Saurer, Kgl. Gendarmerie-Wachtmeister in Berching/Neumarkt</t>
  </si>
  <si>
    <t>Historische Ansicht von Ingolstadt (Stadtmauer), gelaufen als Feldpost im Mai 1918</t>
  </si>
  <si>
    <t>AK-2026-0287</t>
  </si>
  <si>
    <t>Gasthaus a. Chiemsee (mit Alpenpanorama)</t>
  </si>
  <si>
    <t>Moto-Verlag, Prien am Chiemsee (Nr. 314, Echt Photo)</t>
  </si>
  <si>
    <t>Chiemsee / Oberbayern / Bayern</t>
  </si>
  <si>
    <t>Chiemsee / Alpen / Gasthaus / Landschaft</t>
  </si>
  <si>
    <t>Ungelaufene Foto-Ansichtskarte vom Chiemsee mit Bergpanorama</t>
  </si>
  <si>
    <t>Echte Foto-Ansichtskarte des Gasthauses am Chiemsee mit Seeblick und Alpen im Hintergrund</t>
  </si>
  <si>
    <t>AK-2026-0288</t>
  </si>
  <si>
    <t>Schloß Herrenchiemsee (Multi-Ansicht mit Innenräumen und Fassade)</t>
  </si>
  <si>
    <t>Photoverlag Reustlen &amp; Stamoß, Prien a. Chiemsee (Nr. 202)</t>
  </si>
  <si>
    <t>Herrenchiemsee / Oberbayern / Bayern</t>
  </si>
  <si>
    <t>Schloss Herrenchiemsee / König Ludwig II. / Architektur</t>
  </si>
  <si>
    <t>Gelaufen mit Deutsches Reich-Marke 6 Pf., Stempel Prien a. Chiemsee 191x</t>
  </si>
  <si>
    <t>Deutsches Reich 6 Pf., Stempel Prien a. Chiemsee</t>
  </si>
  <si>
    <t>An Oberkrammeister Sauerer in Parsberg / Obpf.</t>
  </si>
  <si>
    <t>Historische Mehrfachansicht von Schloss Herrenchiemsee (Innenräume und Außenfassade), gelaufen</t>
  </si>
  <si>
    <t>AK-2026-0289</t>
  </si>
  <si>
    <t>Karwendelgebirge mit Kochef- u. Walchensee (Reliefkarte Nr. 18)</t>
  </si>
  <si>
    <t>Peter Triem, Kunstverlag, München (Reliefkarte Nr. 18)</t>
  </si>
  <si>
    <t>Oberbayern / Bayerische Alpen</t>
  </si>
  <si>
    <t>Karwendelgebirge / Walchensee / Kocheler See / Reliefkarte</t>
  </si>
  <si>
    <t>Ungelaufene topografische Relief-Ansichtskarte mit Stempelaufdruck „Kaffee- u. Herzogstand-Aufstieg“</t>
  </si>
  <si>
    <t>Grafische Relief-Ansichtskarte des Karwendelgebirges mit Walchensee und Kochelsee</t>
  </si>
  <si>
    <t>Leichte Lagerungsspuren, Stempelaufdruck rückseitig, unbeschrieben</t>
  </si>
  <si>
    <t>AK-2026-0290</t>
  </si>
  <si>
    <t>Christlessee bei Oberstdorf (mit Bergblick)</t>
  </si>
  <si>
    <t>Original-Eigentum Gebr. Metz, Tübingen</t>
  </si>
  <si>
    <t>Allgäu / Oberstdorf / Bayern</t>
  </si>
  <si>
    <t>Christlessee / Allgäu / Alpen / See / Landschaft</t>
  </si>
  <si>
    <t>Ungelaufene Farbfoto-Ansichtskarte des Christlessees bei Oberstdorf im Allgäu</t>
  </si>
  <si>
    <t>Farbige Ansichtskarte des Christlessees bei Oberstdorf mit umliegendem Bergpanorama</t>
  </si>
  <si>
    <t>AK-2026-0291</t>
  </si>
  <si>
    <t>Schloss Herrenchiemsee - Chambre de Parade, Paradebett</t>
  </si>
  <si>
    <t>Verlag von F. Spoler in Prien</t>
  </si>
  <si>
    <t>Schloss Herrenchiemsee / König Ludwig II. / Schlafzimmer / Paradebett</t>
  </si>
  <si>
    <t>Ungelaufene historische Ansichtskarte vom Paradebett in Schloss Herrenchiemsee</t>
  </si>
  <si>
    <t>Historische Ansichtskarte des Paradebetts im Schloss Herrenchiemsee (Chambre de Parade)</t>
  </si>
  <si>
    <t>Leichte Kantenbestoßungen, Eselsohren, unbeschrieben</t>
  </si>
  <si>
    <t>AK-2026-0292</t>
  </si>
  <si>
    <t>Karmelitenkloster Mayerling, N.-Ö., ehemaliges Jagdschloss des Kronprinz Rudolf</t>
  </si>
  <si>
    <t>Karmel Mayerling - 1289</t>
  </si>
  <si>
    <t>Mayerling / Niederösterreich / Österreich</t>
  </si>
  <si>
    <t>Karmelitenkloster / Mayerling / Jagdschloss / Kronprinz Rudolf</t>
  </si>
  <si>
    <t>Ungelaufene historische Ansichtskarte vom Karmelitenkloster (ehemaliges Jagdschloss Mayerling)</t>
  </si>
  <si>
    <t>Historische Ansicht des Klosters und ehemaligen Jagdschlosses in Mayerling, Niederösterreich</t>
  </si>
  <si>
    <t>Leichte Lagerungsspuren, unbeschrieben</t>
  </si>
  <si>
    <t>AK-2026-0293</t>
  </si>
  <si>
    <t>Hoher Kranzberg, 1392 m bei Mittenwald a. Isar</t>
  </si>
  <si>
    <t>Verlag von A. Irl, Hofphotograph, Mittenwald (Nr. 91)</t>
  </si>
  <si>
    <t>Mittenwald / Oberbayern / Bayern</t>
  </si>
  <si>
    <t>Hoher Kranzberg / Mittenwald / Alpen / Landschaft</t>
  </si>
  <si>
    <t>Ungelaufene Schwarzweiß-Ansichtskarte vom Hohen Kranzberg bei Mittenwald</t>
  </si>
  <si>
    <t>Historische Ansicht vom Hohen Kranzberg mit Blick auf das alpine Panorama bei Mittenwald</t>
  </si>
  <si>
    <t>AK-2026-0294</t>
  </si>
  <si>
    <t>Unterlengenhardt bei Bad Liebenzell 588 m ü. M. (Multi-Ansicht)</t>
  </si>
  <si>
    <t>Fr. Dürr, Bieselsberg</t>
  </si>
  <si>
    <t>Unterlengenhardt / Bad Liebenzell / Schwarzwald / Baden-Württemberg</t>
  </si>
  <si>
    <t>Unterlengenhardt / Bad Liebenzell / Schwarzwald / Mehrfachansicht</t>
  </si>
  <si>
    <t>Gelaufen mit Notopfer Berlin 2 Pf. und Briefmarke Deutsches Reich/Bund 10 Pf., Stempel Bad Liebenzell 195x</t>
  </si>
  <si>
    <t>Notopfer Berlin 2 Pf. + Briefmarke 10 Pf., Stempel Bad Liebenzell</t>
  </si>
  <si>
    <t>An Herrn Hans Heimerl in Kaiserslautern, Lagerstr. 21, Firma Bergauer</t>
  </si>
  <si>
    <t>Historische Mehrfachansicht von Unterlengenhardt im Schwarzwald mit Sanatorium, Pension zum Adler und Dorfansichten</t>
  </si>
  <si>
    <t>Leichte Kantenbestoßungen, Stempelabdruck, handschriftlich beschrieben von Betty</t>
  </si>
  <si>
    <t>AK-2026-0295</t>
  </si>
  <si>
    <t>St. Bartholomä m. Watzmann (Berchtesgadener Land)</t>
  </si>
  <si>
    <t>Original-Zeit-Photo Nr. 258 / Aufnahme u. Verlag: F. G. Zeitz, Königssee/Obb.</t>
  </si>
  <si>
    <t>Berchtesgadener Land / Oberbayern / Bayern</t>
  </si>
  <si>
    <t>St. Bartholomä / Watzmann / Königssee / Berchtesgaden</t>
  </si>
  <si>
    <t>Ungelaufene Foto-Ansichtskarte von St. Bartholomä und dem Watzmann am Königssee</t>
  </si>
  <si>
    <t>Historische Foto-Ansichtskarte der Wallfahrtskirche St. Bartholomä vor der Watzmann-Ostwand</t>
  </si>
  <si>
    <t>AK-2026-0296</t>
  </si>
  <si>
    <t>Der Königssee gegen das Steinerne Meer (Deutsche Heimatbilder)</t>
  </si>
  <si>
    <t>Rücker Kunstverlag, Hans Huber, München (Nr. 19)</t>
  </si>
  <si>
    <t>Königssee / Steinernes Meer / Berchtesgadener Land / Alpen</t>
  </si>
  <si>
    <t>Gelaufen mit Deutsches Reich-Marke 6 Pf., Stempel Königssee (Obb.) vom 26.8.1941</t>
  </si>
  <si>
    <t>Deutsches Reich 6 Pf., Stempel Königssee 26.8.1941</t>
  </si>
  <si>
    <t>An Herrn Walter Schleicher in Apolda/Thür., Amalienstr. 6</t>
  </si>
  <si>
    <t>Historische Ansichtskarte vom Königssee mit Blick zum Steinernen Meer, gelaufen 1941</t>
  </si>
  <si>
    <t>Leichte Kantenbestoßungen, Stempelabdruck, handschriftlich beschrieben</t>
  </si>
  <si>
    <t>AK-2026-0297</t>
  </si>
  <si>
    <t>Walchensee (Unsere bayerischen Alpen - Herzogstandgebiet)</t>
  </si>
  <si>
    <t>Kunstanstalten Alpenkarten, München (H. St. Nr. 27)</t>
  </si>
  <si>
    <t>Walchensee / Oberbayern / Bayern</t>
  </si>
  <si>
    <t>Walchensee / Herzogstand / Bayerische Alpen / See</t>
  </si>
  <si>
    <t>Gelaufen mit Stempelaufdruck bzw. Entwertung</t>
  </si>
  <si>
    <t>Stempelaufdruck (Lila Stempel)</t>
  </si>
  <si>
    <t>Stempel</t>
  </si>
  <si>
    <t>An (nicht explizit genannte Empfänger / Textauszug)</t>
  </si>
  <si>
    <t>Historische Ansichtskarte vom Walchensee im Herzogstandgebiet</t>
  </si>
  <si>
    <t>Leichte Kantenbestoßungen, Stempelabdruck, beschrieben</t>
  </si>
  <si>
    <t>AK-2026-0298</t>
  </si>
  <si>
    <t>Nürnberg - Schöner Brunnen</t>
  </si>
  <si>
    <t>Photographie und Verlag Otto Kurzen, Nürnberg, Schwarzwaelderstr. (D. 5843 35)</t>
  </si>
  <si>
    <t>Schöner Brunnen / Nürnberg / Frauenkirche / Hauptmarkt</t>
  </si>
  <si>
    <t>Gelaufen mit Stempel (Zahlstelle/Absender oben rechts, unleserlich/Stempelreste), Nürnberg 2.9.36</t>
  </si>
  <si>
    <t>Stempelreste / Postkarte</t>
  </si>
  <si>
    <t>An Herrn Karl Tiedke (Gemeindevorsteher) in Eldenburg bei Lenzen/Prign.</t>
  </si>
  <si>
    <t>Historische Ansichtskarte vom Schönen Brunnen und der Frauenkirche in Nürnberg, gelaufen 1936</t>
  </si>
  <si>
    <t>Leichte Kantenbestoßungen, beschriftet und gestempelt</t>
  </si>
  <si>
    <t>AK-2026-0299</t>
  </si>
  <si>
    <t>Schloß Neuschwanstein mit Alpsee und Schloß Hohenschwangau</t>
  </si>
  <si>
    <t>Kunstanstalt Franz Wolf, München (Allg. 108)</t>
  </si>
  <si>
    <t>Schwangau / Oberbayern / Bayern</t>
  </si>
  <si>
    <t>Schloss Neuschwanstein / Alpsee / Schloss Hohenschwangau / Allgäu</t>
  </si>
  <si>
    <t>Gelaufen mit Deutsches Reich-Marke (Grün, Posthorn/Zahl), Stempel HOHENSCHWANGAU vom 22.9.33 - 18</t>
  </si>
  <si>
    <t>Deutsches Reich Marke, Stempel Hohenschwangau 22.9.1933</t>
  </si>
  <si>
    <t>An Frau Anna Richter in Lößpal bei Greiz i. V. (Steiermark/Österreich - bzw. Greiz)</t>
  </si>
  <si>
    <t>Historische Ansichtskarte von Schloss Neuschwanstein, Alpsee und Hohenschwangau, gelaufen 1933</t>
  </si>
  <si>
    <t>Leichte Kantenbestoßungen, gestempelt und handschriftlich beschrieben</t>
  </si>
  <si>
    <t>AK-2026-0300</t>
  </si>
  <si>
    <t>Altötting - Gnadenaltar in der Heil. Kapelle</t>
  </si>
  <si>
    <t>Kunstverlag Hans Straub, Altötting (Nr. 37)</t>
  </si>
  <si>
    <t>Altötting / Oberbayern / Bayern</t>
  </si>
  <si>
    <t>Altötting / Heilige Kapelle / Gnadenaltar / Wallfahrt</t>
  </si>
  <si>
    <t>Ungelaufene Ansichtskarte vom Gnadenaltar in der Heiligen Kapelle zu Altötting</t>
  </si>
  <si>
    <t>Handschriftlicher Vermerk: "Juni 35. Von Mamma!"</t>
  </si>
  <si>
    <t>Historische Ansichtskarte der Schwarzen Madonna am Gnadenaltar in Altötting</t>
  </si>
  <si>
    <t>Sehr guter Zustand, ungelaufen, handschriftlich datiert (Juni 1935)</t>
  </si>
  <si>
    <t>AK-2026-0301</t>
  </si>
  <si>
    <t>München - Rathaus</t>
  </si>
  <si>
    <t>Oskar Ullík, Kempten, Nr. 6021</t>
  </si>
  <si>
    <t>Neues Rathaus / Marienplatz / München</t>
  </si>
  <si>
    <t>Gelaufen mit Deutsches Reich-Marke 6 Pf. ("Hauptstadt der Bewegung"), Stempel (unleserlich)</t>
  </si>
  <si>
    <t>Deutsches Reich 6 Pf., Stempelreste</t>
  </si>
  <si>
    <t>An Familie Joh. Georg Lösch in Steinbach / post Hofenfels über Ansbach</t>
  </si>
  <si>
    <t>Historische Ansichtskarte vom Neuen Rathaus in München, gelaufen</t>
  </si>
  <si>
    <t>AK-2026-0302</t>
  </si>
  <si>
    <t>Farbige Motiv-Ansicht (Landschaft mit Kirchturm, unbeschriftet/Signet P 3004)</t>
  </si>
  <si>
    <t>Unbekannter Verlag (Signet: P 3004)</t>
  </si>
  <si>
    <t>Bayern / Deutschland</t>
  </si>
  <si>
    <t>Landschaft / Kirchturm / Fluss / Frühling / Bäume</t>
  </si>
  <si>
    <t>Ungelaufene, farbige Künstler- oder Landschaftsansichtskarte</t>
  </si>
  <si>
    <t>Historische, farbige Ansichtskarte einer Flusslandschaft mit Kirchturm im Frühlingsgewand</t>
  </si>
  <si>
    <t>Sehr guter Zustand, ungelaufen, unbeschrieben</t>
  </si>
  <si>
    <t>AK-2026-0303</t>
  </si>
  <si>
    <t>Predigtstuhl-Seilbahn Bad Reichenhall</t>
  </si>
  <si>
    <t>Casy Verlag A. Gründler, Freilassing (Fotograf: Eder)</t>
  </si>
  <si>
    <t>Bad Reichenhall / Oberbayern / Bayern</t>
  </si>
  <si>
    <t>Predigtstuhl / Seilbahn / Bad Reichenhall / Bayerische Alpen</t>
  </si>
  <si>
    <t>Ungelaufene Foto-Ansichtskarte der Predigtstuhlbahn in Bad Reichenhall</t>
  </si>
  <si>
    <t>Historische Foto-Ansichtskarte der Predigtstuhl-Seilbahn in Bad Reichenhall</t>
  </si>
  <si>
    <t>AK-2026-0304</t>
  </si>
  <si>
    <t>Gruss aus Altötting (Litho mit Kapelle und Basilika)</t>
  </si>
  <si>
    <t>Dr. Trenkler Co., Leipzig, Doppelansichtskarten 8973</t>
  </si>
  <si>
    <t>Altötting / Basilika / Heilige Kapelle / Wallfahrt</t>
  </si>
  <si>
    <t>Gelaufen mit Deutsches Reich-Marke 5 Pf., Stempel HIRSAU (?) vom 26.8.1907</t>
  </si>
  <si>
    <t>Deutsches Reich 5 Pf., Stempel Hirsau 26.8.1907</t>
  </si>
  <si>
    <t>An Herrn Lehrer Franz Lenzenhuber in Grossfarrach bei Murau, Steiermark, Schloß Strasse</t>
  </si>
  <si>
    <t>Historische Litho-Ansichtskarte "Gruss aus Altötting" mit Mehrfachansicht, gelaufen 1907</t>
  </si>
  <si>
    <t>Leichte Kantenbestoßungen, beschrieben und gestempelt</t>
  </si>
  <si>
    <t>AK-2026-0305</t>
  </si>
  <si>
    <t>Bayerische Verwaltungsschule Holzhausen a. Ammersee</t>
  </si>
  <si>
    <t>Georg Dangel, Kunst- u. Verlagsanstalt, Stuttgart-W. (165507/10b)</t>
  </si>
  <si>
    <t>Holzhausen a. Ammersee / Oberbayern / Bayern</t>
  </si>
  <si>
    <t>Bayerische Verwaltungsschule / Ammersee / Schule</t>
  </si>
  <si>
    <t>Ungelaufene Ansichtskarte mit Notopfer Berlin Steuermarke (10 Pf. Bundesrepublik)</t>
  </si>
  <si>
    <t>Notopfer Berlin Steuermarke</t>
  </si>
  <si>
    <t>Historische Ansichtskarte der Bayerischen Verwaltungsschule in Holzhausen am Ammersee</t>
  </si>
  <si>
    <t>Sehr guter Zustand, ungelaufen, unbeschrieben (mit aufgeklebter Steuermarke)</t>
  </si>
  <si>
    <t>AK-2026-0306</t>
  </si>
  <si>
    <t>Berchtesgaden - Almbachklamm (Wasserfall)</t>
  </si>
  <si>
    <t>Unbekannter Verlag (Nummer oben links: 1909 V .)</t>
  </si>
  <si>
    <t>Almbachklamm / Berchtesgaden / Wasserfall / Klamm</t>
  </si>
  <si>
    <t>Ungelaufene Foto- oder Farbansichtskarte der Almbachklamm bei Berchtesgaden</t>
  </si>
  <si>
    <t>Historische Ansichtskarte vom Wasserfall in der Almbachklamm bei Berchtesgaden</t>
  </si>
  <si>
    <t>AK-2026-0307</t>
  </si>
  <si>
    <t>Kloster Ettal</t>
  </si>
  <si>
    <t>H. Sting, Tübingen (Bl. 235 20 / Kupfertiefdruck)</t>
  </si>
  <si>
    <t>Ettal / Oberbayern / Bayern</t>
  </si>
  <si>
    <t>Kloster Ettal / Ettal / Alpen / Kirche</t>
  </si>
  <si>
    <t>Ungelaufene Foto-Ansichtskarte vom Kloster Ettal im Kupfertiefdruck</t>
  </si>
  <si>
    <t>Historische Foto-Ansichtskarte des Klosters Ettal in Oberbayern</t>
  </si>
  <si>
    <t>AK-2026-0308</t>
  </si>
  <si>
    <t>Starnberger See - Seeshaupt mit Benediktenwand (Abendstimmung)</t>
  </si>
  <si>
    <t>Original-Aufnahme u. Verlag von Lorenz Franzl, München (No. 311103)</t>
  </si>
  <si>
    <t>Seeshaupt / Oberbayern / Bayern</t>
  </si>
  <si>
    <t>Starnberger See / Seeshaupt / Benediktenwand / Alpen</t>
  </si>
  <si>
    <t>Ungelaufene Ansichtskarte vom Starnberger See in Abendstimmung</t>
  </si>
  <si>
    <t>Historische Ansichtskarte vom Starnberger See mit Blick auf Seeshaupt und die Benediktenwand</t>
  </si>
  <si>
    <t>AK-2026-0309</t>
  </si>
  <si>
    <t>Farbige Motiv-Ansicht / Burg- oder Schlossanlage (Deutsche Burgen und Hof-Marken / Nr. 173)</t>
  </si>
  <si>
    <t>Verlag unbekannt (aus der Reihe "Deutsche Burgen und Hof-Marken", Nr. 173)</t>
  </si>
  <si>
    <t>Burg / Schloss / Historische Anlage / Architektur</t>
  </si>
  <si>
    <t>Gelaufen mit Deutsches Reich-Marke 6 Pf., Stempel PARSBERG vom 27.3.193?</t>
  </si>
  <si>
    <t>Deutsches Reich 6 Pf., Stempel Parsberg 27.3.193.</t>
  </si>
  <si>
    <t>An Frau Martin Louwerse in Stift Heiligenanstalt bei Regensburg (mit handschriftlichem Text)</t>
  </si>
  <si>
    <t>Historische, farbige Ansichtskarte aus der Reihe "Deutsche Burgen und Hof-Marken", gelaufen</t>
  </si>
  <si>
    <t>Webshop-Start: Verkaufsübersicht</t>
  </si>
  <si>
    <t>Bestand, Preispositionierung und Datenqualität für einen strukturierten Verkaufsstart</t>
  </si>
  <si>
    <t>Karten</t>
  </si>
  <si>
    <t>Aktueller VK</t>
  </si>
  <si>
    <t>Ø VK / Karte</t>
  </si>
  <si>
    <t>Marktvergleich</t>
  </si>
  <si>
    <t>Preis anpassen</t>
  </si>
  <si>
    <t>Artikel-Duplikate</t>
  </si>
  <si>
    <t>Top-Orte</t>
  </si>
  <si>
    <t>VK-Summe</t>
  </si>
  <si>
    <t>Herrenchiemsee</t>
  </si>
  <si>
    <t>Preissegment</t>
  </si>
  <si>
    <t>Premium (≥ 12 €)</t>
  </si>
  <si>
    <t>Kernsortiment (8–11,99 €)</t>
  </si>
  <si>
    <t>Standard (5–7,99 €)</t>
  </si>
  <si>
    <t>Bündel (&lt; 5 €)</t>
  </si>
  <si>
    <t>Datenqualität</t>
  </si>
  <si>
    <t>Offen</t>
  </si>
  <si>
    <t>Priorität</t>
  </si>
  <si>
    <t>Ohne Marktvergleich</t>
  </si>
  <si>
    <t>Hoch</t>
  </si>
  <si>
    <t>Doppelte Artikelnummern</t>
  </si>
  <si>
    <t>Verlag unbekannt</t>
  </si>
  <si>
    <t>Mittel</t>
  </si>
  <si>
    <t>Jahr unklar</t>
  </si>
  <si>
    <t>Stempel unklar</t>
  </si>
  <si>
    <t>Niedrig</t>
  </si>
  <si>
    <t>Empfänger/Absender unklar</t>
  </si>
  <si>
    <t>Verkaufspriorität – höchste aktuelle Einzelwerte</t>
  </si>
  <si>
    <t>Rang</t>
  </si>
  <si>
    <t>Ort</t>
  </si>
  <si>
    <t>VK</t>
  </si>
  <si>
    <t>Markt-VK</t>
  </si>
  <si>
    <t>Differenz</t>
  </si>
  <si>
    <t>Empfehlung</t>
  </si>
  <si>
    <t>Senken</t>
  </si>
  <si>
    <t>Erhöhen</t>
  </si>
  <si>
    <t>Start-Checkliste</t>
  </si>
  <si>
    <t>Nr.</t>
  </si>
  <si>
    <t>Aufgabe</t>
  </si>
  <si>
    <t>Umfang</t>
  </si>
  <si>
    <t>Nutzen</t>
  </si>
  <si>
    <t>Fehlende Marktvergleiche ergänzen</t>
  </si>
  <si>
    <t>Preisrisiko reduzieren</t>
  </si>
  <si>
    <t>Doppelte Artikelnummern bereinigen</t>
  </si>
  <si>
    <t>Bestellungen eindeutig zuordnen</t>
  </si>
  <si>
    <t>Premium-Karten einzeln fotografieren</t>
  </si>
  <si>
    <t>Höherer Erlös je Listing</t>
  </si>
  <si>
    <t>Standardkarten zu Themen-Bundles bündeln</t>
  </si>
  <si>
    <t>Aufwand und Versand senken</t>
  </si>
  <si>
    <t>Verlagsangaben nachpflegen</t>
  </si>
  <si>
    <t>Suche und SEO verbessern</t>
  </si>
  <si>
    <t>Datierung nachpflegen</t>
  </si>
  <si>
    <t>Sammlerrelevanz erhöhen</t>
  </si>
  <si>
    <t>Listing-Mindeststandard erfüllt</t>
  </si>
  <si>
    <t>Bereit</t>
  </si>
  <si>
    <t>Titel, Zustand, Preis, Status vorhanden</t>
  </si>
  <si>
    <t>Größte Preis-Chancen laut Vergleich</t>
  </si>
  <si>
    <t>Potenzial</t>
  </si>
  <si>
    <t>Aktion</t>
  </si>
  <si>
    <t>Preis-Senkungen mit höchster Dringlichkeit</t>
  </si>
  <si>
    <t>Aktuell</t>
  </si>
  <si>
    <t>Markt</t>
  </si>
  <si>
    <t>AK-2026-0310</t>
  </si>
  <si>
    <t>Gruß aus Seubersdorf (Mehrfach-Luftbildkarte)</t>
  </si>
  <si>
    <t>Verlag Flugbild GmbH., Bonn (Freigegeben Reg. Präs. D'dorf: 01/7215-8-1)</t>
  </si>
  <si>
    <t>Seubersdorf / Luftbild / Mehrfachansicht</t>
  </si>
  <si>
    <t>Ungelaufene Foto-Mehrfach-Luftbildansichtskarte von Seubersdorf (mit Gastwirtschaft u. Metzgerei Joh. Pöhmerer)</t>
  </si>
  <si>
    <t>Historische Foto-Luftbildansichtskarte von Seubersdorf in der Oberpfalz</t>
  </si>
  <si>
    <t>AK-2026-0311</t>
  </si>
  <si>
    <t>Feldkirchen b. Westerham gegen Wendelstein (1884 m)</t>
  </si>
  <si>
    <t>Vertrieb: Drogerie und Lebensmittel Krönung (Nr. 0870 / Echt Photo)</t>
  </si>
  <si>
    <t>Feldkirchen-Westerham / Oberpfalz / Bayern (bzw. Oberbayern)</t>
  </si>
  <si>
    <t>Feldkirchen / Westerham / Wendelstein / Alpen</t>
  </si>
  <si>
    <t>Ungelaufene Foto-Ansichtskarte von Feldkirchen bei Westerham mit Blick zum Wendelstein</t>
  </si>
  <si>
    <t>Historische Foto-Ansichtskarte von Feldkirchen bei Westerham mit dem Wendelstein</t>
  </si>
  <si>
    <t>Sehr guter Zustand, ungelaufen, unbeschrieben (Echt Photo)</t>
  </si>
  <si>
    <t>AK-2026-0312</t>
  </si>
  <si>
    <t>Luftbild Sulzbürg / Opf.</t>
  </si>
  <si>
    <t>Foto-Erdahl, Nürnberg, Virchowstr. 14 (Medizinaldrogerie Dr. Hans Siddling)</t>
  </si>
  <si>
    <t>Sulzbürg / Neumarkt in der Oberpfalz / Bayern</t>
  </si>
  <si>
    <t>Sulzbürg / Oberpfalz / Luftbild / Kirche</t>
  </si>
  <si>
    <t>Gelaufen mit Deutsches Reich-Marke (Grün, Posthorn/Zahl), Stempel NEUMARKT (OBP.) vom 28.8.56 (?)</t>
  </si>
  <si>
    <t>Deutsches Reich Marke, Stempel Neumarkt (Obp.) 28.8.56</t>
  </si>
  <si>
    <t>An Frau Sofie Ullrich in Righeim bei Hofheim / Unterfranken</t>
  </si>
  <si>
    <t>Historische Foto-Luftbildansichtskarte von Sulzbürg in der Oberpfalz, gelaufen 1956</t>
  </si>
  <si>
    <t>AK-2026-0313</t>
  </si>
  <si>
    <t>Garmisch-Partenkirchen - Ballengasse m. Alpspitze</t>
  </si>
  <si>
    <t>Aufn. u. Verlag Bücheler, phot., Garmisch-Partenkirchen (Nr. 461)</t>
  </si>
  <si>
    <t>Garmisch-Partenkirchen / Oberbayern / Bayern</t>
  </si>
  <si>
    <t>Ballengasse / Alpspitze / Garmisch-Partenkirchen / Alpen</t>
  </si>
  <si>
    <t>Gelaufen mit Deutsches Reich-Marke 10 Pf. (Heuss/Posthorn), Stempel (Garmisch-Partenkirchen)</t>
  </si>
  <si>
    <t>Deutsches Reich 10 Pf., Stempelreste</t>
  </si>
  <si>
    <t>An Frau Maria Beer in Seubersdorf, Bahnhofstraße</t>
  </si>
  <si>
    <t>Historische Ansichtskarte der Ballengasse mit Alpspitze in Garmisch-Partenkirchen, gelaufen</t>
  </si>
  <si>
    <t>AK-2026-0314</t>
  </si>
  <si>
    <t>Seubersdorf Opf. (Mehrfach-Luftbildkarte mit Bäckerei Anton Liedl)</t>
  </si>
  <si>
    <t>Verlag Flugbild GmbH., Bonn (Freigegeben Reg. Präs. D'dorf: 01/7215-7-40)</t>
  </si>
  <si>
    <t>Seubersdorf / Luftbild / Bäckerei Anton Liedl / Kolonialwaren</t>
  </si>
  <si>
    <t>Ungelaufene Foto-Mehrfach-Luftbildansichtskarte von Seubersdorf Opf. (mit Bäckerei u. Kolonialwaren Anton Liedl)</t>
  </si>
  <si>
    <t>AK-2026-0315</t>
  </si>
  <si>
    <t>Bodensee - Panorama-Ansichtskarte mit Wappen</t>
  </si>
  <si>
    <t>Kunstverlag Franz Walter, Überlingen a. Bodensee (Bild 901 / Echte Fotografie)</t>
  </si>
  <si>
    <t>Bodensee / Bayern &amp; Baden-Württemberg / Deutschland</t>
  </si>
  <si>
    <t>Bodensee / Panorama / Wappen / Landschaft</t>
  </si>
  <si>
    <t>Ungelaufene Foto-Ansichtskarte mit Panoramadarstellung des Bodensees und historischen Wappen</t>
  </si>
  <si>
    <t>Historische Foto-Panorama-Ansichtskarte vom Bodensee mit Wappen</t>
  </si>
  <si>
    <t>Sehr guter Zustand, ungelaufen, unbeschrieben (Echte Fotografie)</t>
  </si>
  <si>
    <t>AK-2026-0316</t>
  </si>
  <si>
    <t>Sulzbürg / Opf. (Gesamtansicht mit Kirche und Schlossbereich)</t>
  </si>
  <si>
    <t>Verlag unbekannt (Fotokarte ungelaufen)</t>
  </si>
  <si>
    <t>Sulzbürg / Oberpfalz / Kirche / Schloss</t>
  </si>
  <si>
    <t>Ungelaufene historische Foto-Ansichtskarte von Sulzbürg in der Oberpfalz</t>
  </si>
  <si>
    <t>Historische Foto-Ansichtskarte von Sulzbürg in der Oberpfalz</t>
  </si>
  <si>
    <t>Sehr guter Zustand, ungelaufen, unbeschrieben (mit Absenderangabe Waltraut Beer, Wettenhofen)</t>
  </si>
  <si>
    <t>AK-2026-0317</t>
  </si>
  <si>
    <t>Rothenburg o. T. - Hegereiterhaus</t>
  </si>
  <si>
    <t>Aufnahme u. Verlag A. Ohmeyer, Rothenburg o. T. (Nr. 6)</t>
  </si>
  <si>
    <t>Rothenburg ob der Tauber / Mittelfranken / Bayern</t>
  </si>
  <si>
    <t>Rothenburg / Hegereiterhaus / Historische Altstadt / Architektur</t>
  </si>
  <si>
    <t>Gelaufen mit Deutsches Reich-Marke, Stempel ROTHENBURG O. T. vom 28.7.35</t>
  </si>
  <si>
    <t>Deutsches Reich Marke, Stempel Rothenburg o. T. 28.7.35</t>
  </si>
  <si>
    <t>An Herrn Hauptlehrer Georg Schrembs in Erlangen, Hindenburgstr. 45 I</t>
  </si>
  <si>
    <t>Historische Ansichtskarte vom Hegereiterhaus in Rothenburg ob der Tauber, gelaufen 1935</t>
  </si>
  <si>
    <t>AK-2026-0318</t>
  </si>
  <si>
    <t>Gnadenkapelle Tirschenreuth (Innenansicht / Altarraum)</t>
  </si>
  <si>
    <t>Missionshaus St. Peter, Tirschenreuth Opf. (Schöning &amp; Co., Lübeck - W. Nr. etc.)</t>
  </si>
  <si>
    <t>Tirschenreuth / Oberpfalz / Bayern</t>
  </si>
  <si>
    <t>Missionshaus St. Peter / Gnadenkapelle / Tirschenreuth / Altar</t>
  </si>
  <si>
    <t>Gelaufen / handschriftlich datiert vom 17. 9. 1942 (Schriftverkehr des Missionshauses)</t>
  </si>
  <si>
    <t>Keiner (Briefmarke fehlt/nicht vorhanden)</t>
  </si>
  <si>
    <t>Handschriftliches Datum &amp; Text</t>
  </si>
  <si>
    <t>An geehrte Frau Lierer (Schriftverkehr mit dem Missionshaus St. Peter)</t>
  </si>
  <si>
    <t>Historische Ansichtskarte der Gnadenkapelle im Missionshaus St. Peter in Tirschenreuth, 1942</t>
  </si>
  <si>
    <t>Leichte Kantenbestoßungen, mit maschinenschriftlichem/handschriftlichem Text vom 17.9.1942</t>
  </si>
  <si>
    <t>AK-2026-0319</t>
  </si>
  <si>
    <t>Schliersee (Bayr. Alpen)</t>
  </si>
  <si>
    <t>Schliersee / Oberbayern / Bayern</t>
  </si>
  <si>
    <t>Schliersee / Alpen / See / Landschaft</t>
  </si>
  <si>
    <t>Ungelaufene historische Foto-Ansichtskarte vom Schliersee in den bayerischen Alpen</t>
  </si>
  <si>
    <t>Historische Foto-Ansichtskarte vom Schliersee in Oberbayern</t>
  </si>
  <si>
    <t>AK-2026-0320</t>
  </si>
  <si>
    <t>Deutsche Alpenstraße beim Wirtshof Ramsau / Lattenbachbrücke mit Watzmann u. Hochkalter</t>
  </si>
  <si>
    <t>Aufn. u. Verlag Georg Bichler, Fotohaus, Altenmarkt Alz Obb. (Nr. 12)</t>
  </si>
  <si>
    <t>Ramsau bei Berchtesgaden / Oberbayern / Bayern</t>
  </si>
  <si>
    <t>Deutsche Alpenstraße / Wirtshof / Ramsau / Lattenbachbrücke / Watzmann / Hochkalter</t>
  </si>
  <si>
    <t>Gelaufen mit Notopfer Berlin-Marke (2 Pf.), Stempel (BERCHTESGADENER LAND)</t>
  </si>
  <si>
    <t>Notopfer Berlin 2 Pf., Stempel Berchtesgadener Land</t>
  </si>
  <si>
    <t>An Karl Paikner, Post Feldkirchen bei Westerham / Oberbayern</t>
  </si>
  <si>
    <t>Historische Ansichtskarte der Deutschen Alpenstraße bei Ramsau mit Watzmann und Hochkalter, gelaufen</t>
  </si>
  <si>
    <t>AK-2026-0321</t>
  </si>
  <si>
    <t>Bamberg - Grabmal Kaiser Heinrich u. Kunigunda im Dom</t>
  </si>
  <si>
    <t>Photographie und Verlag: Joseph Hoape, Staffelstein (Nr. 1/31 / Echte Photographie)</t>
  </si>
  <si>
    <t>Bamberg / Bamberger Dom / Grabmal / Kaiser Heinrich / Kunigunda</t>
  </si>
  <si>
    <t>Ungelaufene Foto-Ansichtskarte vom Grabmal Kaiser Heinrichs und Kunigundas im Bamberger Dom</t>
  </si>
  <si>
    <t>Historische Foto-Ansichtskarte des Kaisergrabs im Bamberger Dom</t>
  </si>
  <si>
    <t>Sehr guter Zustand, ungelaufen, unbeschrieben (Echte Photographie)</t>
  </si>
  <si>
    <t>AK-2026-0322</t>
  </si>
  <si>
    <t>Regensburg - Dom und Steinerne Brücke</t>
  </si>
  <si>
    <t>Verlag unbekannt (K. 3556)</t>
  </si>
  <si>
    <t>Regensburg / Oberpfalz / Bayern</t>
  </si>
  <si>
    <t>Regensburg / Dom / Steinerne Brücke / Donau</t>
  </si>
  <si>
    <t>Ungelaufene historische Ansichtskarte von Regensburg mit Dom und Steinerner Brücke</t>
  </si>
  <si>
    <t>Historische Ansichtskarte von Regensburg mit Dom und Steinerner Brücke</t>
  </si>
  <si>
    <t>Sehr guter Zustand, ungelaufen, unbeschrieben[cite: 31, 32]</t>
  </si>
  <si>
    <t>AK-2026-0323</t>
  </si>
  <si>
    <t>Deutsche Burgen u. Hof-Marken von Prof. Hans Rud. Schulze (Nr. 173)</t>
  </si>
  <si>
    <t>Schloss Parsberg / Oberpfalz / Historische Anlage / Architektur</t>
  </si>
  <si>
    <t>Ungelaufene farbige Ansichtskarte von Schloss Parsberg in der Oberpfalz</t>
  </si>
  <si>
    <t>Historische Ansichtskarte von Schloss Parsberg aus der Reihe Deutsche Burgen und Hof-Marken</t>
  </si>
  <si>
    <t>AK-2026-0324</t>
  </si>
  <si>
    <t>Walhalla a. d. Donau b. Regensburg</t>
  </si>
  <si>
    <t>H. Sting, Tübingen (45. 14. 19)</t>
  </si>
  <si>
    <t>Donaustauf / Regensburg / Oberpfalz / Bayern</t>
  </si>
  <si>
    <t>Walhalla / Donaustauf / Donau / Regensburg / Denkmal</t>
  </si>
  <si>
    <t>Ungelaufene historische Ansichtskarte der Walhalla bei Regensburg</t>
  </si>
  <si>
    <t>Historische Ansichtskarte der Walhalla bei Regensburg von H. Sting, Tübingen</t>
  </si>
  <si>
    <t>Gesamtsumme</t>
  </si>
  <si>
    <t>AK-2026-0325</t>
  </si>
  <si>
    <t>Annahmestelle für Offizierbewerber der Luftwaffe München</t>
  </si>
  <si>
    <t>Unbekannter Verlag (Echte Fotografie)</t>
  </si>
  <si>
    <t>Militär / Luftwaffe / Offizierbewerber / München</t>
  </si>
  <si>
    <t>Ungelaufene echte Foto-Behördenkarte der Luftwaffe München</t>
  </si>
  <si>
    <t>Historische Foto-Ansichtskarte als offizieller Vordruck für Offizierbewerber der Luftwaffe in München</t>
  </si>
  <si>
    <t>Minimale Kantenbestoßungen, unbeschrieben</t>
  </si>
  <si>
    <t>AK-2026-0326</t>
  </si>
  <si>
    <t>Regensburg - Mehrfachansicht (Steinerne Brücke, Walhalla, Befreiungshalle, Donauhafen)</t>
  </si>
  <si>
    <t>Verlag Ludwig Simon, München-Pullach (Nr. 731)</t>
  </si>
  <si>
    <t>Regensburg / Mehrfachansicht / Walhalla / Befreiungshalle</t>
  </si>
  <si>
    <t>Ungelaufene historische Mehrfachansichtskarte von Regensburg und Umgebung</t>
  </si>
  <si>
    <t>Historische Mehrfach-Ansichtskarte von Regensburg mit vier klassischen Motiven</t>
  </si>
  <si>
    <t>Leichte Kantenbestoßungen, unbeschrieben</t>
  </si>
  <si>
    <t>AK-2026-0327</t>
  </si>
  <si>
    <t>Stubbenkammer: Gestade vom Königsstuhl aus gesehen</t>
  </si>
  <si>
    <t>Mohrmann 1927</t>
  </si>
  <si>
    <t>Insel Rügen / Mecklenburg-Vorpommern / Deutschland</t>
  </si>
  <si>
    <t>Stubbenkammer / Königsstuhl / Rügen / Ostsee / Küste</t>
  </si>
  <si>
    <t>Gelaufen mit Deutsches Reich-Marke (8 Pf., Hindenburg), Stempel STUBBENKAMMER / INSEL RÜGEN vom 2.7.1929</t>
  </si>
  <si>
    <t>Deutsches Reich 8 Pf. (Hindenburg), Stempel Stubbenkammer 2.7.1929</t>
  </si>
  <si>
    <t>An Familie Franz S... in Wiesenfelden, Obpf. (über Regensburg)</t>
  </si>
  <si>
    <t>Historische Ansichtskarte der Stubbenkammer auf Rügen von 1927, gelaufen 1929</t>
  </si>
  <si>
    <t>AK-2026-0328</t>
  </si>
  <si>
    <t>Blick gegen Sonnwendjoch (mit Wurzhütte über Neuhaus b. Schliersee)</t>
  </si>
  <si>
    <t>Verlag unbekannt (Handschriftlicher Text: "Almhütten vor uns!")</t>
  </si>
  <si>
    <t>Neuhaus / Schliersee / Oberbayern / Bayern</t>
  </si>
  <si>
    <t>Sonnwendjoch / Wurzhütte / Neuhaus / Schliersee / Alpen</t>
  </si>
  <si>
    <t>Gelaufen mit Deutsches Reich-Marke, Stempel (Schliersee) vom 12.VIII.48</t>
  </si>
  <si>
    <t>Deutsches Reich Briefmarken, Stempel Schliersee 12.8.1948</t>
  </si>
  <si>
    <t>An Joseph Laurer, Jud.-Merkantilist, ... Randsberg i. Bayr. Wald (über Regensburg)</t>
  </si>
  <si>
    <t>Historische Ansichtskarte vom Sonnwendjoch und der Wurzhütte bei Neuhaus am Schliersee, gelaufen 1948</t>
  </si>
  <si>
    <t>AK-2026-0329</t>
  </si>
  <si>
    <t>Nebelhorngipfel (2224 m) mit Zugspitze (2964 m) und Hochvogel (2594 m)</t>
  </si>
  <si>
    <t>Original-Aufnahme von Ludwig Pleghaar, Kunstverlag, Sonthofen (D. und Ö. Alpenverein, Sektion Allgäu-Immenstadt)</t>
  </si>
  <si>
    <t>Nebelhorn / Allgäuer Alpen / Bayern</t>
  </si>
  <si>
    <t>Nebelhorn / Zugspitze / Hochvogel / Allgäu / Alpenverein</t>
  </si>
  <si>
    <t>Ungelaufene Foto-Ansichtskarte des Alpenvereins Sektion Allgäu-Immenstadt</t>
  </si>
  <si>
    <t>Historische Alpenvereins-Ansichtskarte des Nebelhorngipfels mit Blick zur Zugspitze und zum Hochvogel</t>
  </si>
  <si>
    <t>AK-2026-0330</t>
  </si>
  <si>
    <t>Bodensee-Panorama (mit Ortsangaben und Berggipfeln)</t>
  </si>
  <si>
    <t>Verlag unbekannt (Farbige Litho / Panorama)</t>
  </si>
  <si>
    <t>Bodensee / Bayern, Baden-Württemberg &amp; Schweiz</t>
  </si>
  <si>
    <t>Bodensee / Panorama / Alpen / See / Kartografie</t>
  </si>
  <si>
    <t>Gelaufen mit Poststempel FRIEDRICHSHAFEN (25.7.55) und Notopfer Berlin-Marke (2 Pf.)</t>
  </si>
  <si>
    <t>Notopfer Berlin 2 Pf., Stempel Friedrichshafen 25.7.55</t>
  </si>
  <si>
    <t>An Herrn Hans Weiss, Nürnberg, Rudterstr. 15</t>
  </si>
  <si>
    <t>Farblithografisches Bodensee-Panorama, gelaufen 1955 mit Notopfermarke und sauberem Stempel Friedrichshafen</t>
  </si>
  <si>
    <t>Leichte Kantenbestoßungen, Ecken minimal gestaucht, beschrieben mit Kurrentschrift</t>
  </si>
  <si>
    <t>AK-2026-0331</t>
  </si>
  <si>
    <t>Gilching, Villenkolonie</t>
  </si>
  <si>
    <t>Alphons Sendlinger, Gemischtwarengeschäft</t>
  </si>
  <si>
    <t>Gilching / Oberbayern / Bayern</t>
  </si>
  <si>
    <t>Gilching / Villenkolonie / Ortsansicht / Architektur</t>
  </si>
  <si>
    <t>Gelaufen mit Poststempel (Gilching), Stempelabdruck rückseitig</t>
  </si>
  <si>
    <t>Poststempel Gilching (Stempelreste/Bogenstempel)</t>
  </si>
  <si>
    <t>An Herrn Hans Weiss, Nürnberg, Euckerstr. 15</t>
  </si>
  <si>
    <t>Historische Ansichtskarte von Gilching (Villenkolonie) vom Gemischtwarengeschäft Alphons Sendlinger, gelaufen</t>
  </si>
  <si>
    <t>Leichte Kantenbestoßungen, rückseitig fleckig, beschrieben</t>
  </si>
  <si>
    <t>AK-2026-0332</t>
  </si>
  <si>
    <t>Gelaufen mit Bund-Briefmarke (10 Pf.) und klarem Poststempel PARSBERG vom 17.10.61</t>
  </si>
  <si>
    <t>Bund 10 Pf., Stempel Parsberg 17.10.61</t>
  </si>
  <si>
    <t>An Herrn Lehrer Sauerer, Polizei-Oberin-Inspektor, Regensburg, Bismarckplatz 7</t>
  </si>
  <si>
    <t>Ansichtskarte von Schloss Parsberg aus der Reihe Deutsche Burgen und Hof-Marken, gelaufen 1961 nach Regensburg an Lehrer Sauerer</t>
  </si>
  <si>
    <t>Stärkere Kantenbestoßungen, Ecken bestoßen, Vorderseite leicht angeschmutzt, beschrieben</t>
  </si>
  <si>
    <t>AK-2026-0333</t>
  </si>
  <si>
    <t>Neues Schloß Herrenchiemsee - Treppenhaus</t>
  </si>
  <si>
    <t>A. Zerle, München 2, Gabelsbergerstr. 30 (Nr. 602 / Echte Fotografie)</t>
  </si>
  <si>
    <t>Herrenchiemsee / Chiemsee / Oberbayern / Bayern</t>
  </si>
  <si>
    <t>Schloss Herrenchiemsee / Königsschlösser / Treppenhaus / Architektur</t>
  </si>
  <si>
    <t>Ungelaufene echte Foto-Ansichtskarte vom Treppenhaus im Neuen Schloss Herrenchiemsee</t>
  </si>
  <si>
    <t>Historische Foto-Ansichtskarte des prunkvollen Treppenhauses von Schloss Herrenchiemsee</t>
  </si>
  <si>
    <t>Sehr guter Zustand, Kanten minimal bestoßen, ungelaufen, unbeschrieben</t>
  </si>
  <si>
    <t>AK-2026-0334</t>
  </si>
  <si>
    <t>Ungelaufen / Gut mit Mängeln (Z2-3)</t>
  </si>
  <si>
    <t>Ungelaufene farbige Ansichtskarte von Schloss Parsberg aus der bekannten Reihe</t>
  </si>
  <si>
    <t>Rückseitig deutliche Flecken/Vergilbung, Kanten leicht bestoßen, unbeschrieben</t>
  </si>
  <si>
    <t>AK-2026-0335</t>
  </si>
  <si>
    <t>An der Loreley (Rheinlandschaft mit Lastkahn)</t>
  </si>
  <si>
    <t>Aufnahme und Verlag Photohaus Bubenheim, St. Goar (Gon 25 51/1 / Originalfoto)</t>
  </si>
  <si>
    <t>Loreley / St. Goar / Rheinland-Pfalz / Deutschland</t>
  </si>
  <si>
    <t>Loreley / Rhein / Schifffahrt / Flusslandschaft / Denkmal</t>
  </si>
  <si>
    <t>Ungelaufene echte Foto-Ansichtskarte der Loreley am Rhein mit Lastkahn im Strom</t>
  </si>
  <si>
    <t>Echte Foto-Ansichtskarte vom Loreley-Felsen am Rhein mit vorbeifahrendem Lastkahn</t>
  </si>
  <si>
    <t>Sehr guter Zustand, minimale Lagerungsspuren an den Ecken, ungelaufen, unbeschrieben</t>
  </si>
  <si>
    <t>AK-2026-0336</t>
  </si>
  <si>
    <t>Regensburg, die altehrwürdige Donaustadt &amp; Mehrfachansichten (Walhalla, Rathaus, Befreiungshalle, Dom)</t>
  </si>
  <si>
    <t>Phot. Dassel (Jwerba Berlin, O. R. G. M.)</t>
  </si>
  <si>
    <t>Regensburg / Kelheim / Oberpfalz / Bayern</t>
  </si>
  <si>
    <t>Großformat / Falzkarte / Mehrfachansicht / Regensburg / Walhalla</t>
  </si>
  <si>
    <t>Großformatige, ungelaufene historische Falz-Ansichtskarte von Phot. Dassel mit mehreren Regensburger Motiven</t>
  </si>
  <si>
    <t>Großformatige historische Falz-Mehrfachansichtskarte von Regensburg und Umgebung (Phot. Dassel)</t>
  </si>
  <si>
    <t>Mittige horizontale Knickfalte (Faltkarte), Kanten bestoßen, unbeschrieben</t>
  </si>
  <si>
    <t>AK-2026-0337</t>
  </si>
  <si>
    <t>Sehr guter Zustand, minimale Lagerungsspuren an den Kanten, unbeschrieben</t>
  </si>
  <si>
    <t>AK-2026-0338</t>
  </si>
  <si>
    <t>AK-2026-0339</t>
  </si>
  <si>
    <t>Regensburg - Dom St. Peter (Mittelschiff, erbaut 12.-15. Jahrhundert)</t>
  </si>
  <si>
    <t>Verlag unbekannt (Nr. K/1556)</t>
  </si>
  <si>
    <t>Regensburg / Dom St. Peter / Innenansicht / gotische Architektur</t>
  </si>
  <si>
    <t>Ungelaufene historische Ansichtskarte vom prachtvollen Mittelschiff des Regensburger Doms</t>
  </si>
  <si>
    <t>Historische Innenansicht des Regensburger Doms (Mittelschiff)</t>
  </si>
  <si>
    <t>Sehr guter Zustand, minimale Randspuren, unbeschrieben</t>
  </si>
  <si>
    <t>AK-2026-0340</t>
  </si>
  <si>
    <t>Verlag unbekannt (Ansichtskarte Regensburg)</t>
  </si>
  <si>
    <t>Ungelaufene historische Ansichtskarte von Regensburg mit Steinerner Brücke und Dom</t>
  </si>
  <si>
    <t>Klassische Ansicht von Regensburg mit der Steinernen Brücke und dem Dom im Hintergrund</t>
  </si>
  <si>
    <t>Sehr guter Zustand, leichte Kantenbestoßungen, unbeschrieben</t>
  </si>
  <si>
    <t>AK-2026-0341</t>
  </si>
  <si>
    <t>Ansbach - St. Gumbertuskirche und Stadthaus</t>
  </si>
  <si>
    <t>Ansbach / Mittelfranken / Bayern</t>
  </si>
  <si>
    <t>Sehr guter Zustand, minimale Kantenbestoßungen, unbeschrieben</t>
  </si>
  <si>
    <t>Verlag Fritz Louterbach, Fürth i. Bay., Soldatenstraße 3 (Frilo-Karte Nr. 294/2/32 / Echte Photographie)[cite: 16, 17]</t>
  </si>
  <si>
    <t>Ansbach / Mittelfranken / Bayern[cite: 16, 17]</t>
  </si>
  <si>
    <t>Ansbach / St. Gumbertuskirche / Stadthaus / Architektur[cite: 16, 17]</t>
  </si>
  <si>
    <t>Ungelaufen / Sehr gut (Z1-2)[cite: 16, 17]</t>
  </si>
  <si>
    <t>Ungelaufene echte Foto-Ansichtskarte von Ansbach mit St. Gumbertuskirche und Stadthaus[cite: 16, 17]</t>
  </si>
  <si>
    <t>Nein[cite: 16, 17]</t>
  </si>
  <si>
    <t>Keiner[cite: 16, 17]</t>
  </si>
  <si>
    <t>Keine[cite: 16, 17]</t>
  </si>
  <si>
    <t>Historische echte Foto-Ansichtskarte von Ansbach (St. Gumbertuskirche und Stadthaus)[cite: 16, 17]</t>
  </si>
  <si>
    <t>Sehr guter Zustand, minimale Kantenbestoßungen, unbeschrieben[cite: 16, 17]</t>
  </si>
  <si>
    <t>Feldkirchen b. Westerham gegen Wendelstein (1864 m)[cite: 16, 17]</t>
  </si>
  <si>
    <t>Vertrieb: Drogerie und Lebensmittel Krönung (Nr. 0870)[cite: 16, 17]</t>
  </si>
  <si>
    <t>Feldkirchen-Westerham / Oberbayern / Bayern[cite: 16, 17]</t>
  </si>
  <si>
    <t>Feldkirchen / Westerham / Wendelstein / Alpen / Heimatkarte[cite: 16, 17]</t>
  </si>
  <si>
    <t>Gelaufen / Gut (Z2)[cite: 16, 17]</t>
  </si>
  <si>
    <t>Gelaufen mit Poststempel und Frankatur, beschriftet an Fräulein Waltraut Beer in Geubersdorf 43, Krs. Parsberg, Oberpfalz[cite: 16, 17]</t>
  </si>
  <si>
    <t>Ja[cite: 16, 17]</t>
  </si>
  <si>
    <t>Deutsche Briefmarke, Poststempel[cite: 16, 17]</t>
  </si>
  <si>
    <t>Poststempel[cite: 16, 17]</t>
  </si>
  <si>
    <t>Fräulein Waltraut Beer, Geubersdorf 43, Krs. Parsberg, Oberpfalz[cite: 16, 17]</t>
  </si>
  <si>
    <t>Historische Ansichtskarte von Feldkirchen mit Blick zum Wendelstein, gelaufen an Familie Beer in der Oberpfalz[cite: 16, 17]</t>
  </si>
  <si>
    <t>Kanten leicht bestoßen, altersbedingte Gilbungsspuren, beschrieben mit Kurrentschrift[cite: 16, 17]</t>
  </si>
  <si>
    <t>Regensburg - Rathaus</t>
  </si>
  <si>
    <t>Verlag unbekannt (Historische Ansichtskarte)[cite: 16, 17]</t>
  </si>
  <si>
    <t>Regensburg / Oberpfalz / Bayern[cite: 16, 17]</t>
  </si>
  <si>
    <t>Regensburg / Rathaus / Altes Rathaus / Architektur[cite: 16, 17]</t>
  </si>
  <si>
    <t>Ungelaufene historische Ansichtskarte vom Regensburger Rathaus[cite: 16, 17]</t>
  </si>
  <si>
    <t>Klassische Ansicht des historischen Regensburger Rathauses[cite: 16, 17]</t>
  </si>
  <si>
    <t>Sehr guter Zustand, Kanten minimal bestoßen, unbeschrieben[cite: 16, 17]</t>
  </si>
  <si>
    <t>AK-2026-0342</t>
  </si>
  <si>
    <t>Knabeninstitut Fürstenstein, Bayr. Wald (Südansicht)</t>
  </si>
  <si>
    <t>Josef Huber's Postkartenverlag, München (Nr. 1227)</t>
  </si>
  <si>
    <t>Fürstenstein / Bayerischer Wald / Niedersachsen/Niederbayern / Bayern</t>
  </si>
  <si>
    <t>Knabeninstitut Fürstenstein / Bayerischer Wald / Architektur / Schule</t>
  </si>
  <si>
    <t>Gelaufen mit Deutsches Reich-Marke (6 Pf., Hindenburg), Poststempel</t>
  </si>
  <si>
    <t>Deutsches Reich 6 Pf. (Hindenburg), Poststempel</t>
  </si>
  <si>
    <t>An Herrn Oberkommissar Josef Sauerer, Parsberg, Opf.</t>
  </si>
  <si>
    <t>Historische Ansichtskarte des Knabeninstituts Fürstenstein im Bayerischen Wald, gelaufen mit Kurrentschrift-Brief</t>
  </si>
  <si>
    <t>Leichte Kantenbestoßungen, Ecken leicht bestoßen, beschrieben mit Kurrentschrift</t>
  </si>
  <si>
    <t>AK-2026-0343</t>
  </si>
  <si>
    <t>München - Ehrentempel am Königlichen Platz</t>
  </si>
  <si>
    <t>Verlag unbekannt (Nr. 3 / C 2235)</t>
  </si>
  <si>
    <t>München / Königlicher Platz / Ehrentempel / Nationalsozialistische Architektur / Zeitgeschichte</t>
  </si>
  <si>
    <t>Gelaufen / Gut mit Besonderheit (Z2)</t>
  </si>
  <si>
    <t>Gelaufen mit seltenem Sonderstempel „Internationale Rennwochen München 1-26 3. Juli 1942 / Braunes Band von Deutschland“ und Frankatur</t>
  </si>
  <si>
    <t>Deutsches Reich Marke, seltener Sonderstempel München 1942</t>
  </si>
  <si>
    <t>Sonderstempel / Historischer Messe- &amp; Event-Stempel</t>
  </si>
  <si>
    <t>An Schulinabteilung Wirtschaftsamt, Parsberg Opf.</t>
  </si>
  <si>
    <t>Historische Ansichtskarte des Ehrentempels in München am Königlichen Platz mit seltenem Sonderstempel der Internationalen Rennwochen (Braunes Band von Deutschland) 1942</t>
  </si>
  <si>
    <t>Leichte Kantenbestoßungen, rückseitig postalisch gelaufen, beschrieben</t>
  </si>
  <si>
    <t>AK-2026-0344</t>
  </si>
  <si>
    <t>Walhalla a. Donau bei Regensburg (Erbaut 1830–1842 durch König Ludwig I., Entwurf von Leo von Klenze)</t>
  </si>
  <si>
    <t>Josef Huber's Postkartenverlag, München (Nr. 16500)</t>
  </si>
  <si>
    <t>Walhalla / Donaustauf / Regensburg / Innenansicht / Ruhmeshalle / Klassizismus</t>
  </si>
  <si>
    <t>Ungelaufene historische Ansichtskarte vom Innenraum / der Büstenaufstellung in der Walhalla bei Regensburg</t>
  </si>
  <si>
    <t>Historische Innenansicht der Walhalla bei Regensburg (Ruhmeshalle für berühmte Deutsche)</t>
  </si>
  <si>
    <t>AK-2026-0345</t>
  </si>
  <si>
    <t>Gaststätte „Tiroler Höhe“ Nürnberg-S. am Hasenbuck</t>
  </si>
  <si>
    <t>Verlag K. E. Eichler, Nürnberg 34, Steinhauserweg 68 (KEI 40 172/3)[cite: 14]</t>
  </si>
  <si>
    <t>Nürnberg / Mittelfranken / Bayern[cite: 14]</t>
  </si>
  <si>
    <t>Gaststätte Tiroler Höhe / Hasenbuck / Nürnberg / Werbung / Gastronomie</t>
  </si>
  <si>
    <t>Ungelaufen / Sehr gut (Z1-2)[cite: 14]</t>
  </si>
  <si>
    <t>Ungelaufene Werbe-Ansichtskarte der Gaststätte Tiroler Höhe in Nürnberg am Hasenbuck mit Innenansichten (Gastraum, Nebenzimmer)[cite: 13, 14]</t>
  </si>
  <si>
    <t>Nein[cite: 14]</t>
  </si>
  <si>
    <t>Keiner[cite: 14]</t>
  </si>
  <si>
    <t>Keine[cite: 14]</t>
  </si>
  <si>
    <t>Historische Werbe- und Innenansichtskarte der bekannten Nürnberger Gaststätte „Tiroler Höhe“[cite: 13, 14]</t>
  </si>
  <si>
    <t>Sehr guter Zustand, minimale Kantenbestoßungen, unbeschrieben[cite: 14]</t>
  </si>
  <si>
    <t>AK-2026-0346</t>
  </si>
  <si>
    <t>Meersburg am Bodensee (Schloss und Seeansicht mit Alpenpanorama)</t>
  </si>
  <si>
    <t>Kunstverlag Franz Walter, München 2 (Mrsbg. 116 / Echt Foto)[cite: 14]</t>
  </si>
  <si>
    <t>Meersburg / Bodensee / Baden-Württemberg / Deutschland[cite: 14]</t>
  </si>
  <si>
    <t>Meersburg / Bodensee / Schloss Meersburg / Seeansicht / Alpen</t>
  </si>
  <si>
    <t>Ungelaufene echte Foto-Ansichtskarte von Meersburg am Bodensee mit Schloss und Blick auf die Alpen[cite: 13, 14]</t>
  </si>
  <si>
    <t>Echte Foto-Ansichtskarte von Meersburg am Bodensee mit historischem Schloss und Alpenblick[cite: 13, 14]</t>
  </si>
  <si>
    <t>Sehr guter Zustand, Kanten minimal bestoßen, unbeschrieben[cite: 14]</t>
  </si>
  <si>
    <t>AK-2026-0347</t>
  </si>
  <si>
    <t>Wurzhütte über Neuhaus b. Schliersee</t>
  </si>
  <si>
    <t>Verlag unbekannt (Wurzhütte / Schliersee)[cite: 14]</t>
  </si>
  <si>
    <t>Neuhaus / Schliersee / Oberbayern / Bayern[cite: 14]</t>
  </si>
  <si>
    <t>Wurzhütte / Neuhaus / Schliersee / Alpen / Ausflugslokal / Hütte</t>
  </si>
  <si>
    <t>Ungelaufen / Gut mit Mängeln (Z2-3)[cite: 14]</t>
  </si>
  <si>
    <t>Ungelaufene historische Ansichtskarte der bekannten Wurzhütte oberhalb von Neuhaus am Schliersee[cite: 13, 14]</t>
  </si>
  <si>
    <t>Historische Ansichtskarte der beliebten Ausflugshütte „Wurzhütte“ bei Neuhaus am Schliersee[cite: 13, 14]</t>
  </si>
  <si>
    <t>Kanten bestoßen, stärkere altersbedingte Gilbungsspuren und Flecken auf der Rückseite, unbeschrieben[cite: 13, 14]</t>
  </si>
  <si>
    <t>AK-2026-0348</t>
  </si>
  <si>
    <t>Oberstdorf u. die Allgäuer Bergwelt (mit detaillierter Berg-Beschriftung)</t>
  </si>
  <si>
    <t>Verlag unbekannt (Nr. 210)</t>
  </si>
  <si>
    <t>Oberstdorf / Allgäu / Schwaben / Bayern</t>
  </si>
  <si>
    <t>Oberstdorf / Allgäu / Bergwelt / Panorama / Alpen / Gipfelbestimmung</t>
  </si>
  <si>
    <t>Ungelaufene historische Panorama-Ansichtskarte von Oberstdorf mit Beschriftung der umgebenden Allgäuer Berggipfel</t>
  </si>
  <si>
    <t>Historische Alpen-Panorama-Ansichtskarte von Oberstdorf mit genauer Gipfel- und Ortsbeschriftung</t>
  </si>
  <si>
    <t>AK-2026-0349</t>
  </si>
  <si>
    <t>Kötztinger Hütte auf dem Mittagstein (bayer. Wald) - Gedeckter Tisch / Holzschnitt-Stil</t>
  </si>
  <si>
    <t>Gebirgskarten-Verlag Peter Trim, München 59, Usambarastraße 5 (Echte Photo / C 154 Din 476)</t>
  </si>
  <si>
    <t>Bayerischer Wald / Niederbayern / Bayern</t>
  </si>
  <si>
    <t>Kötztinger Hütte / Mittagstein / Bayerischer Wald / Hütte / Ausflugsziel</t>
  </si>
  <si>
    <t>Ungelaufene, künstlerisch gestaltete Foto-Ansichtskarte der Kötztinger Hütte im Bayerischen Wald mit Sonderstempel/Zudruck „Gute Bewirtung - Vorzügl. Unterkunft“</t>
  </si>
  <si>
    <t>Keiner (Besonderer Werbe-Zudruck auf der Rückseite)</t>
  </si>
  <si>
    <t>Historische Foto-Ansichtskarte der Kötztinger Hütte am Mittagstein im Bayerischen Wald mit speziellem Rückseiten-Zudruck</t>
  </si>
  <si>
    <t>Kanten leicht bestoßen, altersbedingte Gilbungsspuren und Flecken auf der Rückseite, handschriftlich beschrieben (u.a. Notiz vom Sonntag den 11. IX. 29)</t>
  </si>
  <si>
    <t>AK-2026-0350</t>
  </si>
  <si>
    <t>Walhalla bei Donaustauf (Originalluftaufnahme)</t>
  </si>
  <si>
    <t>Stoja-Verlag Janke &amp; Dr. Maiwald, Nürnberg-A. / Luftverkehr Strähle, Schorndorf (Nr. 25954/AJ/CA 37)</t>
  </si>
  <si>
    <t>Walhalla / Donaustauf / Luftaufnahme / Architektur / Klassizismus</t>
  </si>
  <si>
    <t>Ungelaufene Originalluftaufnahme der Walhalla bei Donaustauf von Strähle / Stoja-Verlag</t>
  </si>
  <si>
    <t>Hochwertige historische Luftbild-Ansichtskarte der Walhalla bei Donaustauf</t>
  </si>
  <si>
    <t>Sehr guter Zustand, Kanten minimal bestoßen, unbeschrieben, rückseitig keinerlei Handschrift</t>
  </si>
  <si>
    <t>AK-2026-0351</t>
  </si>
  <si>
    <t>Regensburg - Mehrfachansicht (Donaupartie, Brückentor mit Steinerner Brücke, Donaubrücke und Dom)</t>
  </si>
  <si>
    <t>Verlag unbekannt (Nr. 68 / Regensburg a. d. Donau)</t>
  </si>
  <si>
    <t>Regensburg / Mehrfachansicht / Steinerne Brücke / Dom / Donau</t>
  </si>
  <si>
    <t>Ungelaufene historische Mehrfachansichtskarte von Regensburg mit verschiedenen Stadtmotiven</t>
  </si>
  <si>
    <t>Klassische Regensburger Mehrfachansicht (Ansichtskarte mit 4 Teilmotiven)</t>
  </si>
  <si>
    <t>Sehr guter Zustand, minimale Kantenbestoßungen, unbeschrieben, rückseitig keinerlei Handschrift</t>
  </si>
  <si>
    <t>AK-2026-0352</t>
  </si>
  <si>
    <t>Parsberg / Schloss Parsberg / Oberpfalz / Burgen und Schlösser / Litho-Umrahmung</t>
  </si>
  <si>
    <t>Ungelaufene historische Ansichtskarte von Schloss Parsberg aus der bekannten Künstlerreihe von Prof. Hans Rud. Schulze mit dekorativer ornamentaler Zierumrahmung</t>
  </si>
  <si>
    <t>Beliebte historische Ansichtskarte von Schloss Parsberg in der Oberpfalz aus der renommierten Architektur-Reihe</t>
  </si>
  <si>
    <t>AK-2026-0353</t>
  </si>
  <si>
    <t>Ansbach - Gesamtansicht mit historischem Textdruck zur Stadtgeschichte</t>
  </si>
  <si>
    <t>Franckh-Verlag, Stuttgart-O. (Nr. 18865/89a / Franckh-Echt-Foto-Ansichtskarte)</t>
  </si>
  <si>
    <t>Ansbach / Gesamtansicht / Stadtgeschichte / Historische Ansichtskarte / Architektur</t>
  </si>
  <si>
    <t>Ungelaufene, hochwertige Echte-Foto-Ansichtskarte von Ansbach mit ausführlichem historischen Textdruck auf der Vorderseite zur Entstehung im 8. Jahrhundert (Kl. Gumbert) bis zum Übergang an Bayern 1806</t>
  </si>
  <si>
    <t>Besondere historische Foto-Ansichtskarte von Ansbach mit integriertem geschichtlichem Textinfoblock auf der Bildseite</t>
  </si>
  <si>
    <t>Sehr guter Zustand, minimale Kantenbestoßungen, unbeschrieben, rückseitig unbeschrieben</t>
  </si>
  <si>
    <t>AK-2026-0354</t>
  </si>
  <si>
    <t>Am Königssee (Blick auf St. Bartholomä vor steiler Felswand)</t>
  </si>
  <si>
    <t>Aufnahme: Verlag F. G. Zeit, K. G., Königssee-Obb. (Echt Foto)</t>
  </si>
  <si>
    <t>Berchtesgaden / Königssee / Oberbayern / Bayern</t>
  </si>
  <si>
    <t>Königssee / St. Bartholomä / Berchtesgadener Land / Alpen / Heimatkarte</t>
  </si>
  <si>
    <t>Gelaufen / Gut mit Text (Z2)</t>
  </si>
  <si>
    <t>Gelaufen mit Poststempel BERCHTESGADEN 16.7.56-15 und Deutsche Bundespost Briefmarke (10 Pf., Heinemann), adressiert an Marie Beer in Wettenhofen 20, Post Sulzbürg, Kr. Neumarkt/Opf.</t>
  </si>
  <si>
    <t>Deutsche Bundespost 10 Pf. Briefmarke, Poststempel Berchtesgaden 1956</t>
  </si>
  <si>
    <t>Poststempel Berchtesgaden (16.7.1956)</t>
  </si>
  <si>
    <t>Marie Beer, Wettenhofen 20, Post Sulzbürg, Kr. Neumarkt/Opf.</t>
  </si>
  <si>
    <t>Klassische Ansicht des Königssees mit St. Bartholomä, postalisch gelaufen 1956 in die Oberpfalz mit handschriftlicher Urlaubserlebnis-Mitteilung</t>
  </si>
  <si>
    <t>Kanten leicht bestoßen, altersbedingte Gilbungsspuren. Sütterlin-Transkription der Rückseite: „Meine Lieben! Wir sind Mittwoch abends in Bad Reichenhall gut umgekommen. Wir schlafen in der Jugendherberge, das Bett ist hart u. ich habe schon lauter blaue Flecken. Wir bekommen nur das Frühstück, dafür müßten wir mit schlafen 3,50 DM bezahlen... Es grüßt euch alle Waltraud / Ich möchte Heidi wäre auch hier.“</t>
  </si>
  <si>
    <t>AK-2026-0355</t>
  </si>
  <si>
    <t>Polizeianheim am Spitzingsee gegen Brecherspitz</t>
  </si>
  <si>
    <t>Nr. 1750 - Aufnahme u. Verlag Georg Eitzenberger, Photograph, Schliersee (Echte Fotografie)</t>
  </si>
  <si>
    <t>Spitzingsee / Schliersee / Oberbayern / Bayern</t>
  </si>
  <si>
    <t>Spitzingsee / Brecherspitz / Polizeianheim / Alpen / Winterlandschaft / Heimatkarte</t>
  </si>
  <si>
    <t>Ungelaufene echte Foto-Ansichtskarte vom Polizeianheim am Spitzingsee im Winter mit Blick auf die Brecherspitz</t>
  </si>
  <si>
    <t>Stimmungsvolle winterliche echte Foto-Ansichtskarte vom Spitzingsee und der Brecherspitz (Verlagsfotografie Eitzenberger, Schliersee)</t>
  </si>
  <si>
    <t>AK-2026-0356</t>
  </si>
  <si>
    <t>Riedenburg (Altmühltal) - Gesamtansicht mit Burgen</t>
  </si>
  <si>
    <t>Originalaufnahme: A. Kettner, Riedenburg (Gesetzl. geschützt 1905)</t>
  </si>
  <si>
    <t>Riedenburg / Altmühltal / Niederbayern / Bayern</t>
  </si>
  <si>
    <t>Riedenburg / Altmühltal / Burgen / Landschaft / Ortsansicht</t>
  </si>
  <si>
    <t>Ungelaufene historische Color-Ansichtskarte von Riedenburg im Altmühltal mit den umliegenden Burgen</t>
  </si>
  <si>
    <t>Historische farbige Ansichtskarte von Riedenburg im Altmühltal mit Burgenpanorama aus dem Jahr 1905</t>
  </si>
  <si>
    <t>AK-2026-0357</t>
  </si>
  <si>
    <t>„Riedenburg.“ - Ortsansicht mit Burg im Altmühltal</t>
  </si>
  <si>
    <t>Verlag: A. Kettner, Riedenburg</t>
  </si>
  <si>
    <t>Riedenburg / Altmühltal / Burgen / Ortsansicht / Historische Karte</t>
  </si>
  <si>
    <t>Ungelaufene historische Ansichtskarte von Riedenburg im Altmühltal vom Verlag A. Kettner</t>
  </si>
  <si>
    <t>Klassische historische Schwarz-Weiß-Ansichtskarte von Riedenburg im Altmühltal</t>
  </si>
  <si>
    <t>Sehr guter Zustand, Kanten minimal bestoßen, unbeschrieben, rückseitig unbeschrieben</t>
  </si>
  <si>
    <t>AK-2026-0358</t>
  </si>
  <si>
    <t>AK-2026-0359</t>
  </si>
  <si>
    <t>Regensburg - Mehrfachansicht (Dom, Donauhafen, Walhalla)</t>
  </si>
  <si>
    <t>Verlag unbekannt (Historische Regensburg-Mehrfachansicht)</t>
  </si>
  <si>
    <t>Regensburg / Mehrfachansicht / Dom / Donauhafen / Walhalla / Architektur</t>
  </si>
  <si>
    <t>Gelaufen / Gut mit philatelistischer Besonderheit (Z2)</t>
  </si>
  <si>
    <t>Gelaufen mit Poststempel REGENSBURG 2 (2.7.55-21), Deutsche Bundespost Briefmarke (10 Pf.) sowie seltener Notopfer-Berlin-Steuermarke (2 Pf.), adressiert an Frau Marie Beer, Wettenhofen 20, Post: Sulzbürg - Oberpfalz, Kreis Neumarkt</t>
  </si>
  <si>
    <t>Deutsche Bundespost 10 Pf. Marke, Notopfer-Berlin-Marke 2 Pf., Poststempel Regensburg (2.7.1955)</t>
  </si>
  <si>
    <t>Poststempel Regensburg (2.7.1955), Notopfer-Berlin-Marke</t>
  </si>
  <si>
    <t>Frau Marie Beer, Wettenhofen 20, Post: Sulzbürg - Oberpfalz, Kreis Neumarkt</t>
  </si>
  <si>
    <t>Historische Regensburger Mehrfachansicht, gelaufen 1955 mit Notopfer-Berlin-Marke und ausführlicher Kurrentschrift-Nachricht</t>
  </si>
  <si>
    <t>Kanten leicht bestoßen, altersbedingte Gilbungsspuren. Sütterlin-Transkription der Rückseite: „Liebe Frau Beer! Für Ihren werten Brief recht vielen Dank. Liege halt immer noch im Krankenhaus u. bin inzwischen auch noch im Hals operiert worden, geht mir aber schon wieder besser, daß ich einige Wochen mich schon vorsehen, ehe ich nach Haus darf. Von Ihnen hoffe ich doch, daß es gut geht mit Ihren Kindern, ja? Wünsche Ihnen weiterhin alles Gute u. grüße Sie auch herzlichst Ihre Frau Frank.“</t>
  </si>
  <si>
    <t>AK-2026-0360</t>
  </si>
  <si>
    <t>Regensburg / Donau - Steinerne Brücke und Dom</t>
  </si>
  <si>
    <t>Verlag Ludwig Simon, München-Pullach (Nr. 727)</t>
  </si>
  <si>
    <t>Regensburg / Steinerne Brücke / Dom / Donau / Architektur</t>
  </si>
  <si>
    <t>Ungelaufene historische Ansichtskarte von Regensburg mit Blick auf die Steinerne Brücke und den Dom vom Verlag Ludwig Simon München-Pullach</t>
  </si>
  <si>
    <t>Klassische historische Ansichtskarte von Regensburg (Steinerne Brücke und Dom)</t>
  </si>
  <si>
    <t>Gasthof - Metzgerei „Zum Burgblick“ Burglengenfeld/Opf.</t>
  </si>
  <si>
    <t>Schwarz-Verlag GmbH, 7832 Kenzingen/Breisgau (Bestell-Nr. 5233 s)</t>
  </si>
  <si>
    <t>Burglengenfeld / Oberpfalz / Bayern</t>
  </si>
  <si>
    <t>Burglengenfeld / Gasthof Zum Burgblick / Metzgerei / Gastronomie / Heimatkarte</t>
  </si>
  <si>
    <t>Ungelaufene Werbe-Ansichtskarte des Gasthofs und der Metzgerei „Zum Burgblick“ (Familie Peter Sauerer, Naabgasse 7, 8412 Burglengenfeld/Opf.) mit Innen- und Außenansichten</t>
  </si>
  <si>
    <t>Lokale Werbe-Ansichtskarte des Gasthofs Zum Burgblick in Burglengenfeld (Oberpfalz)</t>
  </si>
  <si>
    <t>AK-2026-0033</t>
  </si>
  <si>
    <t>AK-2026-0361</t>
  </si>
  <si>
    <t>Gruß aus Beratzhausen - Ortsansicht</t>
  </si>
  <si>
    <t>Verlag J. B. Dombek, Burglengenfeld</t>
  </si>
  <si>
    <t>Beratzhausen / Oberpfalz / Bayern</t>
  </si>
  <si>
    <t>Beratzhausen / Oberpfalz / Ortsansicht / Historische Ansichtskarte</t>
  </si>
  <si>
    <t>Gelaufen mit Poststempel und Frankatur (abgestempelt in Beratzhausen), adressiert an Herrn Pfarrkurat ... in Lupburg[cite: 17, 18]</t>
  </si>
  <si>
    <t>Briefmarke, Poststempel Beratzhausen[cite: 18]</t>
  </si>
  <si>
    <t>Poststempel Beratzhausen[cite: 18]</t>
  </si>
  <si>
    <t>Herrn Pfarrkurat in Lupburg[cite: 18]</t>
  </si>
  <si>
    <t>Historische Ansichtskarte von Beratzhausen in der Oberpfalz, postalisch gelaufen mit handgeschriebener Kurrentschrift-Nachricht[cite: 17, 18]</t>
  </si>
  <si>
    <t>Kanten bestoßen, altersbedingte Gilbungsspuren und Flecken. Sütterlin-/Kurrent-Transkription der Rückseite: „Andenken! Herrn Pfarrkurat ... Lupburg...“ sowie Grüße von der Reise[cite: 17, 18]</t>
  </si>
  <si>
    <t>AK-2026-0362</t>
  </si>
  <si>
    <t>Altötting - Mehrfachansicht mit Kapellenplatz und Heiligem Bruder Konrad von Altötting</t>
  </si>
  <si>
    <t>St. Antonius-Buchhandlung, Adolf Steiner, Altötting (Nr. 2/105 / Echte Photographie)[cite: 18]</t>
  </si>
  <si>
    <t>Altötting / Oberbayern / Bayern[cite: 17, 18]</t>
  </si>
  <si>
    <t>Altötting / Kapellenplatz / Bruder Konrad / Wallfahrtsort / Mehrfachansicht / Echte Fotografie[cite: 17, 18]</t>
  </si>
  <si>
    <t>Ungelaufen / Sehr gut (Z1-2)[cite: 17, 18]</t>
  </si>
  <si>
    <t>Ungelaufene echte Foto-Mehrfachansichtskarte von Altötting mit Porträt des Hl. Bruder Konrad (geb. 22. Dezbr. 1818, gest. 21. April 1894) und diversen Ansichten des Kapellenplatzes[cite: 17, 18]</t>
  </si>
  <si>
    <t>Nein[cite: 17, 18]</t>
  </si>
  <si>
    <t>Keiner[cite: 17, 18]</t>
  </si>
  <si>
    <t>Keine[cite: 17, 18]</t>
  </si>
  <si>
    <t>Schöne echte Foto-Wallfahrtskarte von Altötting mit Medaillon-Porträt des Heiligen Bruder Konrad und verschiedenen Platzansichten[cite: 17, 18]</t>
  </si>
  <si>
    <t>Sehr guter Zustand, minimale Kantenbestoßungen, unbeschrieben, rückseitig unbeschrieben[cite: 17, 18]</t>
  </si>
  <si>
    <t>AK-2026-0363</t>
  </si>
  <si>
    <t>Verlag unbekannt (Nr. 68 / Regensburg a. d. Donau)[cite: 17, 18]</t>
  </si>
  <si>
    <t>Regensburg / Oberpfalz / Bayern[cite: 17, 18]</t>
  </si>
  <si>
    <t>Regensburg / Mehrfachansicht / Steinerne Brücke / Dom / Donau[cite: 17, 18]</t>
  </si>
  <si>
    <t>Ungelaufene historische Mehrfachansichtskarte von Regensburg mit vier klassischen Teilmotiven[cite: 17, 18]</t>
  </si>
  <si>
    <t>Klassische historische Regensburger Mehrfachansicht aus der bekannten Seriennummer 68[cite: 17, 18]</t>
  </si>
  <si>
    <t>AK-2026-0364</t>
  </si>
  <si>
    <t>Altötting - Mehrfachansicht (Wallfahrtsort Altötting mit Hl. Bruder Konrad, Gnadenkapelle, Basilika)</t>
  </si>
  <si>
    <t>Verlag Schilling &amp; Co., Lübeck Nr. 07354</t>
  </si>
  <si>
    <t>Altötting / Wallfahrtsort / Bruder Konrad / Gnadenkapelle / Basilika / Mehrfachansicht</t>
  </si>
  <si>
    <t>Gelaufen / Gut mit Text und Stempel (Z2)</t>
  </si>
  <si>
    <t>Gelaufen mit Poststempel ALTÖTTING (3.9.57) und Deutsches Reich 6-Pfennig-Marke, adressiert an Familie Josef Zwickl, Lupburg b. Parsberg, Opf.[cite: 20]</t>
  </si>
  <si>
    <t>Briefmarke Deutsches Reich 6 Pf., Poststempel Altötting (3.9.1957)[cite: 20]</t>
  </si>
  <si>
    <t>Poststempel Altötting (3.9.1957)[cite: 20]</t>
  </si>
  <si>
    <t>Familie Josef Zwickl, Lupburg b. Parsberg, Opf.[cite: 20]</t>
  </si>
  <si>
    <t>Historische Mehrfachansichtskarte von Altötting, gelaufen 1957 mit ausführlicher handgeschriebener Kurrentschrift-Mitteilung auf der Rückseite[cite: 20]</t>
  </si>
  <si>
    <t>Kanten bestoßen, altersbedingte Gilbungsspuren. Sütterlin-/Kurrent-Transkription der Rückseite: „Liebe Lisl u. Eltern... Gestern von Altötting mitgekommen... Herzliche Grüße sendet Euch Hans.“[cite: 20]</t>
  </si>
  <si>
    <t>AK-2026-0365</t>
  </si>
  <si>
    <t>Altötting - Kapellplatz mit Gnadenkapelle und Stiftspfarrkirche (inkl. Hotel-Werbe-Stempel Gasthof u. Café Münchnerhof)</t>
  </si>
  <si>
    <t>Kunstverlag Hans Strauß, Altötting (Nr. 782)</t>
  </si>
  <si>
    <t>Altötting / Kapellplatz / Gnadenkapelle / Münchnerhof / Historische Ansichtskarte</t>
  </si>
  <si>
    <t>Gelaufen / Gut mit Text und Sonderstempel (Z2)</t>
  </si>
  <si>
    <t>Gelaufen mit Poststempel ALTÖTTING (27.5.50), Marke Deutsches Reich 6 Pf. sowie violettem Gasthof-Stempel „Gasthof u. Café Münchnerhof, Bes.: Joh. Bungart, Altötting“, adressiert an Familie Sauerer, Lupburg b. Parsberg Opf.[cite: 20]</t>
  </si>
  <si>
    <t>Briefmarke 6 Pf., Poststempel Altötting (27.5.1950), Hotel-Stempel Münchnerhof[cite: 20]</t>
  </si>
  <si>
    <t>Poststempel Altötting (27.5.1950), Gasthof-Stempel[cite: 20]</t>
  </si>
  <si>
    <t>Familie Sauerer, Lupburg b. Parsberg Opf.[cite: 20]</t>
  </si>
  <si>
    <t>Historische Ansichtskarte vom Kapellplatz in Altötting mit seltenem Hotelstempel des „Münchnerhofs“ und gelaufener Post von 1950[cite: 20]</t>
  </si>
  <si>
    <t>Kanten leicht bestoßen. Sütterlin-/Kurrent-Transkription der Rückseite: „7. 9. 36. Meinen bis [lieben]... Hier sehr glücklich angekommen... Herzliche Grüße Vati“[cite: 20]</t>
  </si>
  <si>
    <t>AK-2026-0366</t>
  </si>
  <si>
    <t>Altötting - Gnadenaltar in der heil. Kapelle</t>
  </si>
  <si>
    <t>Kunstverlag Hans Strauß, Altötting (Nr. 37, Gesetzlich geschützt 1939)</t>
  </si>
  <si>
    <t>Altötting / Gnadenaltar / Heilige Kapelle / Wallfahrtsort / Innenansicht</t>
  </si>
  <si>
    <t>Gelaufen mit Poststempel ALTÖTTING (9.10.40) und Deutsches Reich 6-Pfennig-Marke, adressiert an Herrn Richard Sauerer, Lupburg b. Parsberg Opf.[cite: 20]</t>
  </si>
  <si>
    <t>Briefmarke Deutsches Reich 6 Pf., Poststempel Altötting (9.10.1940)[cite: 20]</t>
  </si>
  <si>
    <t>Poststempel Altötting (9.10.1940)[cite: 20]</t>
  </si>
  <si>
    <t>Herrn Richard Sauerer, Lupburg b. Parsberg Opf.[cite: 20]</t>
  </si>
  <si>
    <t>Historische Innenansicht des Gnadenaltars in der Heiligen Kapelle zu Altötting, gelaufen im Oktober 1940[cite: 20]</t>
  </si>
  <si>
    <t>Kanten leicht bestoßen, altersübliche Patina. Sütterlin-/Kurrent-Transkription der Rückseite: „16. 9.? Für Ihren gewohnten Gruß... Valentin hier kurz...“[cite: 20]</t>
  </si>
  <si>
    <t>AK-2026-0367</t>
  </si>
  <si>
    <t>Gruss aus Altötting - Mehrfachansicht mit Wallfahrtskirche und Kapellplatz</t>
  </si>
  <si>
    <t>Altötting / Gruss aus / Mehrfachansicht / Wallfahrtsort / Kapellplatz</t>
  </si>
  <si>
    <t>Gelaufen mit Poststempel ALTÖTTING-WESENFELDER (12.6.19) und Bayern 5-Pfennig-Marke, Ankunftsstempel STRAUBING THERESIENPLATZ (12. Aug 19), adressiert an Fräulein Windhager, Straubing[cite: 21, 22]</t>
  </si>
  <si>
    <t>Briefmarke Bayern 5 Pf., Poststempel Altötting-Wesenfelder (12.6.19), Ankunftsstempel Straubing (12.8.19)[cite: 21, 22]</t>
  </si>
  <si>
    <t>Poststempel Altötting-Wesenfelder, Ankunftsstempel Straubing[cite: 21, 22]</t>
  </si>
  <si>
    <t>Fräulein Windhager, Straubing[cite: 21, 22]</t>
  </si>
  <si>
    <t>Historische Mehrfach-Ansichtskarte „Gruss aus Altötting“, gelaufen 1919 mit Durchgangsstempel Straubing[cite: 21, 22]</t>
  </si>
  <si>
    <t>Kanten bestoßen, Ecken bestoßen. Sütterlin-/Kurrent-Transkription der Vorderseite: „Liebe Mutte u. Schwestern... In heiliger Motte in Altötting angelangt...“[cite: 21]</t>
  </si>
  <si>
    <t>AK-2026-0368</t>
  </si>
  <si>
    <t>Regenten-Jubiläumskarte 1821-1911 (Prinzregent Luitpold von Bayern im allegorischen Blumengespann)</t>
  </si>
  <si>
    <t>Ottmar Zieher, München (Signiert A. Kniep 1910)</t>
  </si>
  <si>
    <t>Prinzregent Luitpold / Jubiläum 1821-1911 / Allegorie / Blumenwagen / Bayern / Monarchie</t>
  </si>
  <si>
    <t>Ungelaufene königlich bayerische Postkarte mit grünem Wertzudruck (Königreich Bayern Postkarte 5 Pfennig)[cite: 22]</t>
  </si>
  <si>
    <t>Wappen-Eindruck (Königreich Bayern 5 Pf.)</t>
  </si>
  <si>
    <t>Dekorative und seltene Regenten-Jubiläumskarte zum 90. Geburtstag bzw. Jubiläum des Prinzregenten Luitpold von Bayern, künstlerisch gestaltet von A. Kniep, verlegt bei Ottmar Zieher, München[cite: 21, 22]</t>
  </si>
  <si>
    <t>Sehr guter Zustand, ungelaufen, unbeschrieben.[cite: 21, 22]</t>
  </si>
  <si>
    <t>AK-2026-0369</t>
  </si>
  <si>
    <t>Schloß Hirschberg bei Beilngries i. Altmühltal</t>
  </si>
  <si>
    <t>Ludwig Ellinger Nachf., Fürth i. Bayern, Volkskunst-Reihe 107 (Nr. 80633)</t>
  </si>
  <si>
    <t>Beilngries / Altmühltal / Oberpfalz / Bayern</t>
  </si>
  <si>
    <t>Schloss Hirschberg / Beilngries / Altmühltal / Architektur / Schlossansicht</t>
  </si>
  <si>
    <t>Gelaufen mit Poststempel [unleserlich] (194x) und Deutsches Reich 6-Pfennig-Marke, adressiert an Frau Maria Bartmann, P[ost] Geisenhausen bei Vilsbiburg, z. Zt. Lupburg (d. Parsberg Opf.)[cite: 21, 22]</t>
  </si>
  <si>
    <t>Briefmarke Deutsches Reich 6 Pf., Poststempel[cite: 21, 22]</t>
  </si>
  <si>
    <t>Poststempel[cite: 21, 22]</t>
  </si>
  <si>
    <t>Frau Maria Bartmann, Lupburg[cite: 21, 22]</t>
  </si>
  <si>
    <t>Historische Ansichtskarte von Schloss Hirschberg bei Beilngries im Altmühltal, adressiert an die Familie Bartmann in Lupburg[cite: 21, 22]</t>
  </si>
  <si>
    <t>Kanten leicht bestoßen. Sütterlin-/Kurrent-Transkription der Rückseite: „Wohlgebt. Frau Maria Bartmann... Herzliche Grüße von Deiner Melanie.“[cite: 22]</t>
  </si>
  <si>
    <t>AK-2026-0370</t>
  </si>
  <si>
    <t>Schloss Herrenchiemsee – Salle de l'oeil de boeuf (Ochsenaugensaal)</t>
  </si>
  <si>
    <t>Jos. Albert, Hofkunstanstalt, München (No. 310)</t>
  </si>
  <si>
    <t>Chiemsee / Herrenchiemsee / Oberbayern / Bayern</t>
  </si>
  <si>
    <t>Schloss Herrenchiemsee / Ochsenaugensaal / Interieur / König Ludwig II. / Bayern</t>
  </si>
  <si>
    <t>Ungelaufene historische Ansichtskarte der Hofkunstanstalt Jos. Albert, München</t>
  </si>
  <si>
    <t>Historische Interieur-Ansicht des Schlosses Herrenchiemsee (Ochsenaugensaal), herausgegeben von der Hofkunstanstalt Jos. Albert, München</t>
  </si>
  <si>
    <t>Sehr guter Zustand, ungelaufen, unbeschrieben.</t>
  </si>
  <si>
    <t>AK-2026-0371</t>
  </si>
  <si>
    <t>Benediktbeuern mit Benediktenwand</t>
  </si>
  <si>
    <t>Salesianer-Verlag, Benediktbeuern / G. B. K. (Nr. 171)</t>
  </si>
  <si>
    <t>Benediktbeuern / Oberbayern / Bayern</t>
  </si>
  <si>
    <t>Benediktbeuern / Benediktenwand / Kloster / Voralpen / Bayern / Alpenlandschaft</t>
  </si>
  <si>
    <t>Gelaufen mit Poststempel BENEDIKTBEUERN (12.11.28) und Deutsches Reich 6-Pfennig-Marke (Hindenburg), adressiert an Herrn Pfarrer ... in Kirchqid. b. Parsberg (Opf.)</t>
  </si>
  <si>
    <t>Briefmarke Deutsches Reich 6 Pf., Poststempel Benediktbeuern (12.11.28)</t>
  </si>
  <si>
    <t>Poststempel Benediktbeuern</t>
  </si>
  <si>
    <t>Herr Pfarrer ..., Kirchqid. b. Parsberg</t>
  </si>
  <si>
    <t>Ansichtskarte von Benediktbeuern mit Kloster und Benediktenwand, gelaufen 1928 an die Pfarrei Kirchqid bei Parsberg in der Oberpfalz</t>
  </si>
  <si>
    <t>Leichte Kantenbestoßung. Sütterlin-/Kurrent-Transkription der Rückseite: Textlicher Gruß aus Benediktbeuern an den Herrn Pfarrer.</t>
  </si>
  <si>
    <t>AK-2026-0372</t>
  </si>
  <si>
    <t>Compton, Königssee (Alpenansicht / Gemäldekarte)</t>
  </si>
  <si>
    <t>Alpiner Kunstverlag Eugen Richter, Berchtesgaden-Königssee-Freilassing (Nr. 5)</t>
  </si>
  <si>
    <t>Königssee / Berchtesgadener Land / Bayern</t>
  </si>
  <si>
    <t>Königssee / Compton / Alpenlandschaft / See / Gemälde / Kunstkarte</t>
  </si>
  <si>
    <t>Ungelaufene Kunst-Ansichtskarte nach einem Gemälde von Compton, verlegt im Alpinen Kunstverlag Eugen Richter, Berchtesgaden</t>
  </si>
  <si>
    <t>Dekorative Kunst-Ansichtskarte des Königssees nach einer Vorlage von Compton, herausgegeben vom Alpinen Kunstverlag Eugen Richter</t>
  </si>
  <si>
    <t>AK-2026-0373</t>
  </si>
  <si>
    <t>Blick von der Riffelscharte auf Eibsee</t>
  </si>
  <si>
    <t>Orig. Aufn. u. Verl. Kunstanst. Rich. Boesthart, Garmisch-Partenkirchen</t>
  </si>
  <si>
    <t>Eibsee / Riffelscharte / Garmisch-Partenkirchen / Oberbayern / Bayern</t>
  </si>
  <si>
    <t>Eibsee / Riffelscharte / Alpenlandschaft / See / Bayern</t>
  </si>
  <si>
    <t>Gelaufen mit Poststempel GARMISCH-PARTENKIRCHEN (1.7.41) und Deutsches Reich 6-Pfennig-Marke, adressiert an Familie Renil Zwickl, Niederndorf b. München[cite: 22]</t>
  </si>
  <si>
    <t>Briefmarke Deutsches Reich 6 Pf., Poststempel Garmisch-Partenkirchen (1.7.1941)[cite: 22]</t>
  </si>
  <si>
    <t>Poststempel Garmisch-Partenkirchen (1.7.1941)[cite: 22]</t>
  </si>
  <si>
    <t>Familie Renil Zwickl, Niederndorf b. München[cite: 22]</t>
  </si>
  <si>
    <t>Historische Alpen-Ansichtskarte vom Blick von der Riffelscharte auf den Eibsee, gelaufen im Juli 1941[cite: 22]</t>
  </si>
  <si>
    <t>Kanten leicht bestoßen. Sütterlin-/Kurrent-Transkription der Rückseite: Ausführlicher handgeschriebener Text mit Grüßen an die Familie.[cite: 22]</t>
  </si>
  <si>
    <t>AK-2026-0374</t>
  </si>
  <si>
    <t>Regensburg a. D. – Alte Kapelle, Hochaltar</t>
  </si>
  <si>
    <t>Kunst-Verlag Stuttgart D. St. 12741-44p (Kosmos)</t>
  </si>
  <si>
    <t>Regensburg / Alte Kapelle / Hochaltar / Barock / Kircheninnenraum / Kunstkarte</t>
  </si>
  <si>
    <t>Gelaufen mit Poststempel REGENSBURG (11.9.41) und Deutsches Reich 6-Pfennig-Marke, adressiert an Frl. Maria Schattenhofer, Kaufmannstochter, Beilngries[cite: 22]</t>
  </si>
  <si>
    <t>Briefmarke Deutsches Reich 6 Pf., Poststempel Regensburg (11.9.1941)[cite: 22]</t>
  </si>
  <si>
    <t>Poststempel Regensburg (11.9.1941)[cite: 22]</t>
  </si>
  <si>
    <t>Frl. Maria Schattenhofer, Beilngries[cite: 22]</t>
  </si>
  <si>
    <t>Historische Ansichtskarte vom Hochaltar der Alten Kapelle in Regensburg, gelaufen im September 1941 an Frl. Maria Schattenhofer[cite: 22]</t>
  </si>
  <si>
    <t>Kanten leicht bestoßen. Sütterlin-/Kurrent-Transkription der Rückseite: „Viel, meinen besten, die schönsten Wünsche... Dein Onkel Baptist.“[cite: 22]</t>
  </si>
  <si>
    <t>AK-2026-0375</t>
  </si>
  <si>
    <t>Garmisch-Partenkirchen mit Zugspitze, 2964 m</t>
  </si>
  <si>
    <t>Aufnahme und Verlag von Max Lerpscher, Bad Tölz (St. 94560)</t>
  </si>
  <si>
    <t>Garmisch-Partenkirchen / Zugspitze / Oberbayern / Bayern</t>
  </si>
  <si>
    <t>Garmisch-Partenkirchen / Zugspitze / Alpen / Bayern / Ortsansicht</t>
  </si>
  <si>
    <t>Ungelaufen / Sehr gut (Z1-2)[cite: 22]</t>
  </si>
  <si>
    <t>Ungelaufene historische Ansichtskarte von Garmisch-Partenkirchen mit Blick auf die Zugspitze (2964 m)[cite: 22]</t>
  </si>
  <si>
    <t>Klassische Ansicht von Garmisch-Partenkirchen vor der Kulisse der Zugspitze, verlegt bei Max Lerpscher, Bad Tölz</t>
  </si>
  <si>
    <t>Sehr guter Zustand, ungelaufen, unbeschrieben, rückseitig unbeschrieben</t>
  </si>
  <si>
    <t>AK-2026-0376</t>
  </si>
  <si>
    <t>Geschichte des ehem. Klosters St. Michael zu Bamberg / Blick auf St. Michael</t>
  </si>
  <si>
    <t>W. Tillig, Ansichtskartenverlag, 86 Bamberg, Heiliggrabstr. 7 (B 1/17)</t>
  </si>
  <si>
    <t>Bamberg / Kloster St. Michael / Geschichte / Architektur / Kirchenansicht</t>
  </si>
  <si>
    <t>Ungelaufene historische Ansichtskarte mit geschichtlichem Text zum ehemaligen Kloster St. Michael in Bamberg</t>
  </si>
  <si>
    <t>AK-2026-0377</t>
  </si>
  <si>
    <t>8461 Schwarzhofen / Opf. – Gemischtwaren Fa. Hausladen</t>
  </si>
  <si>
    <t>Foto-Verlag A. Schatter, Schwandorf i. Bay. - Neunburg v. W. (Ng 171)</t>
  </si>
  <si>
    <t>Schwarzhofen / Oberpfalz / Bayern</t>
  </si>
  <si>
    <t>Schwarzhofen / Gemischtwaren / Fa. Hausladen / Ortsansicht / Oberpfalz</t>
  </si>
  <si>
    <t>AK-2026-0378</t>
  </si>
  <si>
    <t>Oberammergau – Häusel u. Gretelheim</t>
  </si>
  <si>
    <t>Photo-Verlag H. Kronburger, Oberammergau (25a)</t>
  </si>
  <si>
    <t>Oberammergau / Oberbayern / Bayern</t>
  </si>
  <si>
    <t>Oberammergau / Häusel und Gretelheim / Ortsansicht / Architektur</t>
  </si>
  <si>
    <t>Ungelaufene Echtfoto-Ansichtskarte von Oberammergau mit dem Haus "Häusel u. Gretelheim"</t>
  </si>
  <si>
    <t>AK-2026-0379</t>
  </si>
  <si>
    <t>Schloß Parsberg / Bayrische Oberpfalz</t>
  </si>
  <si>
    <t>Deutsche Burgen Nr. 6 von Prof. Hans Rud. Schulze (Nr. 173)</t>
  </si>
  <si>
    <t>Parsberg / Schloß Parsberg / Burgen / Oberpfalz / Historische Gebäude</t>
  </si>
  <si>
    <t>AK-2026-0380</t>
  </si>
  <si>
    <t>Kunstuhr an der ehemaligen Ratstrinkstube zu Rothenburg o. Tbr., mittag 12 Uhr den Meistertrunk darstellend</t>
  </si>
  <si>
    <t>Aufnahme und Verlag A. Ohmayer, Rothenburg o. T.</t>
  </si>
  <si>
    <t>Rothenburg ob der Tauber / Kunstuhr / Ratstrinkstube / Meistertrunk / Historische Motive</t>
  </si>
  <si>
    <t>ca. 1950–1970</t>
  </si>
  <si>
    <t>Historische Karte mit ausführlichem historischem Textfeld zur Bau- und Klostergeschichte (von der Gründung 1015 bis 1804) sowie Ansicht der Michaelskirche</t>
  </si>
  <si>
    <t>Sehr guter Zustand, ungelaufen, rückseitig unbeschrieben</t>
  </si>
  <si>
    <t>ca. 1950–1965</t>
  </si>
  <si>
    <t>Interessante heimatkundliche Ortsansicht von Schwarzhofen (heute Markt Schwarzach b. Nabburg / Landkreis Schwandorf), Verlag Schatter</t>
  </si>
  <si>
    <t>ca. 1930–1950</t>
  </si>
  <si>
    <t>Echtfoto-Ansichtskarte von Oberammergau, verlegt bei H. Kronburger, mit Darstellung des malerischen Gebäudes im traditionellen Lüftlmalerei-Stil</t>
  </si>
  <si>
    <t>Sehr guter Zustand, ungelaufen, rückseitig unbeschrieben, Stempel "ECHT FOTO"</t>
  </si>
  <si>
    <t>ca. 1920</t>
  </si>
  <si>
    <t>Historische Burgkarte aus der Serie von Prof. Hans Rud. Schulze mit ausführlichem Beschreibungstext auf der Rückseite (Erbaut im 13. Jahrh., seit 1730 adelig, jetzt Stadteigentum)</t>
  </si>
  <si>
    <t>Sehr guter Zustand, ungelaufen, mit Schmuckrand und Wappenverzierungen</t>
  </si>
  <si>
    <t>Klassische Motivkarte der berühmten Kunstuhr und des Meistertrunks in Rothenburg o.d.T. mit ausführlicher historischer Begebenheit auf der Kartenunterseite</t>
  </si>
  <si>
    <t>Ungelaufene historische Ansichtskarte von Schwarzhofen in der Oberpfalz mit Blick auf das Ortsbild und die Firma Hausladen</t>
  </si>
  <si>
    <t>Ungelaufene historische Ansichtskarte von Schloß Parsberg in der Oberpfalz aus der Serie "Deutsche Burgen"</t>
  </si>
  <si>
    <t>Ungelaufene historische Ansichtskarte der Kunstuhr an der Ratstrinkstube in Rothenburg ob der Tauber mit historischem Erklärtext</t>
  </si>
  <si>
    <t>AK-2026-0381</t>
  </si>
  <si>
    <t>Feste Koburg aus einem Flugzeug gesehen</t>
  </si>
  <si>
    <t>Verlag der Riemann'schen Hofbuchhandlung, Koburg (Aufnahme: Bodensee-Luftbildgesellschaft, Konstanz)</t>
  </si>
  <si>
    <t>Coburg / Oberfranken / Bayern</t>
  </si>
  <si>
    <t>Coburg / Veste Coburg / Luftaufnahme / Burgen</t>
  </si>
  <si>
    <t>Ungelaufene Luftbild-Ansichtskarte der Veste Coburg mit leichten Altersflecken und stärkerem Eckenknick oben rechts</t>
  </si>
  <si>
    <t>Historische Luftaufnahme der Veste Coburg aus der frühen Flugzeug-Ära, verlegt bei der Riemann'schen Hofbuchhandlung</t>
  </si>
  <si>
    <t>AK-2026-0382</t>
  </si>
  <si>
    <t>Zenting, bayr. Wald</t>
  </si>
  <si>
    <t>Karl Ringel, Bäckerei, Zenthing (Nr. 607)</t>
  </si>
  <si>
    <t>Zenting / Niederbayern / Bayern</t>
  </si>
  <si>
    <t>Zenting / Bayerischer Wald / Ortsansicht / Landschaft</t>
  </si>
  <si>
    <t>Ungelaufen / Befriedigend bis Gut (Z2-3)</t>
  </si>
  <si>
    <t>Ungelaufene echte Foto-Ansichtskarte von Zenting im Bayerischen Wald mit deutlichen Flecken (Rückseite stärker fleckig/gebräunt)</t>
  </si>
  <si>
    <t>Echtfoto-Ansichtskarte des Verlags Karl Ringel, Zenting, mit Panoramablick auf den Ort im Bayerischen Wald</t>
  </si>
  <si>
    <t>AK-2026-0383</t>
  </si>
  <si>
    <t>Karl Ringel, Bäckerei, Zenthing (Nr. 610)</t>
  </si>
  <si>
    <t>Ungelaufene echte Foto-Ansichtskarte von Zenting im Bayerischen Wald (weiterer Blickwinkel), mit Alters- und Feuchtigkeitsflecken</t>
  </si>
  <si>
    <t>Echtfoto-Ansichtskarte von Karl Ringel, Zenting, stimmungsvolle Ortsansicht im Bayerischen Wald</t>
  </si>
  <si>
    <t>Leichter Eckenknick, Altersflecken</t>
  </si>
  <si>
    <t>Starke Vergilbungen/Flecken</t>
  </si>
  <si>
    <t>Lagerungsflecken, Ecken bestoßen</t>
  </si>
  <si>
    <t>AK-2026-0384</t>
  </si>
  <si>
    <t>Roth a/ See</t>
  </si>
  <si>
    <t>Verlag von L. L. Kett, Roth a. See, C. Sch. C. (12 8185)</t>
  </si>
  <si>
    <t>Roth an der Saale / Unterfranken / Bayern</t>
  </si>
  <si>
    <t>Roth an der Saale / Ortsansicht / Landschaft</t>
  </si>
  <si>
    <t>Ungelaufene historische Ansichtskarte von Roth an der Saale mit Blick auf den Ort</t>
  </si>
  <si>
    <t>AK-2026-0385</t>
  </si>
  <si>
    <t>Klosterkirche Ettal</t>
  </si>
  <si>
    <t>Verlag von Josef Mayr, Ettal (J. 15420)</t>
  </si>
  <si>
    <t>Ettal / Klosterkirche Ettal / Kirche / Barock / Architektur</t>
  </si>
  <si>
    <t>AK-2026-0386</t>
  </si>
  <si>
    <t>Crailsheim – Im Chor der Johanniskirche</t>
  </si>
  <si>
    <t>Aus Serie „Schwäbische Heimatbilder“ – Aufn. von A. von der Trappen (Verlag: Ed. Büllwages, Crailsheim / Graph. Kunst- u. Verlagsanstalt A. Weber, Stuttgart)</t>
  </si>
  <si>
    <t>Crailsheim / Baden-Württemberg / Deutschland</t>
  </si>
  <si>
    <t>Crailsheim / Johanniskirche / Chor / Kirche / Schwäbische Heimatbilder</t>
  </si>
  <si>
    <t>ca. 1920–1935</t>
  </si>
  <si>
    <t>ca. 1910–1930</t>
  </si>
  <si>
    <t>Historische Ortsansicht von Roth an der Saale, verlegt bei L. L. Kett</t>
  </si>
  <si>
    <t>Ungelaufene historische Ansichtskarte vom Inneren der Klosterkirche Ettal</t>
  </si>
  <si>
    <t>Innenaufnahme der barocken Klosterkirche in Ettal, verlegt bei Josef Mayr</t>
  </si>
  <si>
    <t>Ungelaufene historische Ansichtskarte vom Chor der Johanniskirche in Crailsheim aus der Serie „Schwäbische Heimatbilder“</t>
  </si>
  <si>
    <t>Detailreiche Innenaufnahme des Chors der Johanniskirche in Crailsheim, verlegt bei Ed. Büllwages</t>
  </si>
  <si>
    <t>AK-2026-0389</t>
  </si>
  <si>
    <t>Freibergsee bei Oberstdorf (Allg.)</t>
  </si>
  <si>
    <t>Verlag Ottmar Zieher, München (759)</t>
  </si>
  <si>
    <t>Oberstdorf / Allgäu / Bayern</t>
  </si>
  <si>
    <t>Oberstdorf / Freibergsee / Alpen / See / Landschaft</t>
  </si>
  <si>
    <t>Gelaufene historische Ansichtskarte vom Freibergsee bei Oberstdorf im Allgäu mit Stempel von 1936</t>
  </si>
  <si>
    <t>Nach Köln a. Rh.</t>
  </si>
  <si>
    <t>AK-2026-0390</t>
  </si>
  <si>
    <t>Regensburg – Blick auf die Stadt von den Winserer Höhen</t>
  </si>
  <si>
    <t>K. R. G. M. (K 1556)</t>
  </si>
  <si>
    <t>Regensburg / Winserer Höhen / Stadtansicht / Fluss / Donau</t>
  </si>
  <si>
    <t>Ungelaufene historische Ansichtskarte von Regensburg mit Blick von den Winserer Höhen über die Donau auf die Stadt</t>
  </si>
  <si>
    <t>AK-2026-0391</t>
  </si>
  <si>
    <t>München – Total mit Frauenkirche</t>
  </si>
  <si>
    <t>D. R. G. M. 202197 (Verlag unbekannt)</t>
  </si>
  <si>
    <t>München / Frauenkirche / Stadtansicht / Totalansicht / Architektur</t>
  </si>
  <si>
    <t>Gelaufene historische Ansichtskarte mit Gesamtansicht von München und der Frauenkirche, Stempel von 1903</t>
  </si>
  <si>
    <t>AK-2026-0392</t>
  </si>
  <si>
    <t>München – Chinesischer Turm im Englischen Garten</t>
  </si>
  <si>
    <t>Verlag Fritz Witzig, München (Nr. 119) / Echt Foto</t>
  </si>
  <si>
    <t>München / Englischer Garten / Chinesischer Turm / Park / Architektur / Echtfoto</t>
  </si>
  <si>
    <t>Ungelaufene historische Echtfoto-Ansichtskarte vom Chinesischen Turm im Englischen Garten in München</t>
  </si>
  <si>
    <t>AK-2026-0393</t>
  </si>
  <si>
    <t>Ulm a. D. – Stadtansicht im Winter mit Ulmer Münster</t>
  </si>
  <si>
    <t>Erwin Hitzler, Ansichts- u. Glückwunschkartenverlag, Eßlingen - Mettingen</t>
  </si>
  <si>
    <t>Ulm / Baden-Württemberg / Deutschland</t>
  </si>
  <si>
    <t>Ulm / Donau / Ulmer Münster / Winter / Stadtansicht / Fluss</t>
  </si>
  <si>
    <t>Gelaufene historische Ansichtskarte von Ulm an der Donau im Winter mit dem Ulmer Münster, Stempel von 1976</t>
  </si>
  <si>
    <t>An Frau Maricshl Beer, Seubersdorf</t>
  </si>
  <si>
    <t>AK-2026-0394</t>
  </si>
  <si>
    <t>Nürnberg – Heidenturm &amp; Brunnenhäuschen</t>
  </si>
  <si>
    <t>Hermann Starke, Kunstverlag, Nürnberg (Helio-Extradruckkarte No. 1962)</t>
  </si>
  <si>
    <t>Nürnberg / Heidenturm / Brunnenhäuschen / Architektur / Historische Motive</t>
  </si>
  <si>
    <t>AK-2026-0395</t>
  </si>
  <si>
    <t>Hannover – Maschsee-Promenade</t>
  </si>
  <si>
    <t>Verlag: Schöning &amp; Co., Lübeck (Hann 94) / Echte Fotografie</t>
  </si>
  <si>
    <t>Hannover / Niedersachsen / Deutschland</t>
  </si>
  <si>
    <t>Hannover / Maschsee / Promenade / Stadtansicht / Echtfoto</t>
  </si>
  <si>
    <t>AK-2026-0396</t>
  </si>
  <si>
    <t>Gruß aus Ensdorf bei Amberg Opf.</t>
  </si>
  <si>
    <t>Foto-Fröhlich, 85 Nürnberg, Höfleser Hauptstr. 67a (Anna Hammer - Gemischtwaren) / Echt Foto</t>
  </si>
  <si>
    <t>Ensdorf / Oberpfalz / Bayern</t>
  </si>
  <si>
    <t>Ensdorf / Amberg / Oberpfalz / Gruß aus / Mehrbildkarte / Echtfoto</t>
  </si>
  <si>
    <t>AK-2026-0397</t>
  </si>
  <si>
    <t>Ansbach – Krankenhaus</t>
  </si>
  <si>
    <t>Verlag unbekannt / Foto-Ansichtskarte</t>
  </si>
  <si>
    <t>Ansbach / Krankenhaus / Architektur / Stadtansicht / Gesundheit</t>
  </si>
  <si>
    <t>Ungelaufene historische Ansichtskarte vom Krankenhaus in Ansbach</t>
  </si>
  <si>
    <t>Historische Ansicht des Krankenhauses in Ansbach</t>
  </si>
  <si>
    <t>Guter Zustand, ungelaufen</t>
  </si>
  <si>
    <t>AK-2026-0398</t>
  </si>
  <si>
    <t>München – Marienplatz mit Fischbrunnen</t>
  </si>
  <si>
    <t>Verlag unbekannt (Farbkarte)</t>
  </si>
  <si>
    <t>München / Marienplatz / Fischbrunnen / Neues Rathaus / Stadtansicht</t>
  </si>
  <si>
    <t>Gelaufene historische Ansichtskarte des Marienplatzes in München mit Fischbrunnen, handschriftlich datiert auf 1900</t>
  </si>
  <si>
    <t>An einen guten Freund (Unterschrift: Schreinermeister Berger)</t>
  </si>
  <si>
    <t>Historische Farbansicht des Marienplatzes in München, gelaufen 1900 mit handschriftlicher Nachricht</t>
  </si>
  <si>
    <t>Guter Zustand, gelaufen, altersbedingte Patina</t>
  </si>
  <si>
    <t>AK-2026-0399</t>
  </si>
  <si>
    <t>Richard-Wagner-Kopf am gr. Arber</t>
  </si>
  <si>
    <t>Bayerischer Wald / Verlag Kunstanstalt (Beschriftung unten links)</t>
  </si>
  <si>
    <t>Großer Arber / Bayerischer Wald / Niederbayern / Bayern</t>
  </si>
  <si>
    <t>Großer Arber / Bayerischer Wald / Richard-Wagner-Kopf / Felsformation / Natur</t>
  </si>
  <si>
    <t>Ungelaufene historische Ansichtskarte vom Richard-Wagner-Kopf am Großen Arber im Bayerischen Wald</t>
  </si>
  <si>
    <t>Geologische Felsformation "Richard-Wagner-Kopf" am Großen Arber im Bayerischen Wald</t>
  </si>
  <si>
    <t>Guter Zustand, ungelaufen, mit Zierstanzung (Büttenrand)</t>
  </si>
  <si>
    <t>Oberstdorf, 28.08.1936</t>
  </si>
  <si>
    <t>Historische Ansicht des Freibergsees bei Oberstdorf, verlegt bei Ottmar Zieher, gelaufen 1936</t>
  </si>
  <si>
    <t>Guter Zustand, gelaufen, mit Marken und Stempel versehen</t>
  </si>
  <si>
    <t>ca. 1920–1940</t>
  </si>
  <si>
    <t>Panoramablick auf Regensburg von den Winserer Höhen, ungelaufen</t>
  </si>
  <si>
    <t>München, 20.11.1903</t>
  </si>
  <si>
    <t>Historische Gesamtansicht von München mit der Frauenkirche, gelaufen 1903</t>
  </si>
  <si>
    <t>Guter Zustand, gelaufen, mit Stempel und Poststempel aus München</t>
  </si>
  <si>
    <t>Historische Echtfoto-Ansichtskarte des Chinesischen Turms in München, verlegt bei Fritz Witzig</t>
  </si>
  <si>
    <t>Sehr guter Zustand, ungelaufen, echtes Fotopapier</t>
  </si>
  <si>
    <t>Ulm, 12.01.1976</t>
  </si>
  <si>
    <t>Winterliche Ansicht von Ulm an der Donau mit Münster, verlegt bei Erwin Hitzler, gelaufen 1976</t>
  </si>
  <si>
    <t>Guter Zustand, gelaufen, mit Briefmarke und Poststempel versehen</t>
  </si>
  <si>
    <t>Ungelaufene historische Helio-Extradruckkarte von Nürnberg mit Heidenturm und Brunnenhäuschen</t>
  </si>
  <si>
    <t>Historische Ansicht von Nürnberg mit Heidenturm und Brunnenhäuschen, verlegt bei Hermann Starke</t>
  </si>
  <si>
    <t>Leichte Altersspuren, ungelaufen</t>
  </si>
  <si>
    <t>Ungelaufene echte Foto-Ansichtskarte der Maschsee-Promenade in Hannover mit Palmenkübeln und Booten</t>
  </si>
  <si>
    <t>ca. 1935–1955</t>
  </si>
  <si>
    <t>Echtfoto-Ansichtskarte der Maschsee-Promenade in Hannover, verlegt bei Schöning &amp; Co.</t>
  </si>
  <si>
    <t>Guter Zustand, ungelaufen, echtes Fotopapier</t>
  </si>
  <si>
    <t>Ungelaufene historische Mehrbild-Echtfoto-Ansichtskarte "Gruß aus Ensdorf bei Amberg Opf." mit verschiedenen Ortsansichten</t>
  </si>
  <si>
    <t>Regionale Mehrbildkarte von Ensdorf in der Oberpfalz, verlegt über Anna Hammer und Foto-Fröhlich</t>
  </si>
  <si>
    <t>Sehr guter Zustand, ungelaufen, mit Schmuckrand</t>
  </si>
  <si>
    <t>München, 1900</t>
  </si>
  <si>
    <t>1900</t>
  </si>
  <si>
    <t>AK-2026-0387</t>
  </si>
  <si>
    <t>Hammerschmiede (Hornberg)</t>
  </si>
  <si>
    <t>Nr. 806/903. Kunstanstalt Kakolyot, München 23. / Alleinverkauf von Carl Fr. Höller, Kirchberg a. L.</t>
  </si>
  <si>
    <t>Hornberg / Schwarzwald-Baar-Kreis / Baden-Württemberg</t>
  </si>
  <si>
    <t>Hornberg / Hammerschmiede / Schwarzwald / Architektur / Landschaft</t>
  </si>
  <si>
    <t>AK-2026-0388</t>
  </si>
  <si>
    <t>Schönburgwarte auf dem großen Kornberg, 820 m Höhe, Fichtelgebirge</t>
  </si>
  <si>
    <t>Photo-Lochschmidt, Schönwald-Oberfr. (2008)</t>
  </si>
  <si>
    <t>Kornberg / Fichtelgebirge / Bayern</t>
  </si>
  <si>
    <t>Kornberg / Fichtelgebirge / Schönburgwarte / Aussichtsturm / Natur</t>
  </si>
  <si>
    <t>Ungelaufene historische Ansichtskarte der Hammerschmiede in Hornberg im Schwarzwald</t>
  </si>
  <si>
    <t>Historische Ansichtskarte der Hammerschmiede in Hornberg, verlegt bei Kakolyot / Carl Fr. Höller</t>
  </si>
  <si>
    <t>Gelaufene historische Ansichtskarte der Schönburgwarte auf dem Großen Kornberg im Fichtelgebirge mit Stempel von 1929</t>
  </si>
  <si>
    <t>An Herrn Lehrer Lorenz Müller, Marktredwitz</t>
  </si>
  <si>
    <t>Historische Ansicht der Schönburgwarte im Fichtelgebirge, verlegt bei Photo-Lochschmidt, gelaufen 1929</t>
  </si>
  <si>
    <t>Guter Zustand, gelaufen, mit Stempel und handgeschriebener Nachricht</t>
  </si>
  <si>
    <t>AK-2026-0400</t>
  </si>
  <si>
    <t>Historische Burgkarte aus der Serie von Prof. Hans Rud. Schulze mit ausführlichem Beschreibungstext auf der Rückseite</t>
  </si>
  <si>
    <t>AK-2026-0233</t>
  </si>
  <si>
    <t>Talpartie mit Burg Gößweinstein, Fränkische Schweiz</t>
  </si>
  <si>
    <t>J. H. pe. Staffelstein (Nr. 799 3/4)</t>
  </si>
  <si>
    <t>Gößweinstein / Fränkische Schweiz / Bayern</t>
  </si>
  <si>
    <t>Gößweinstein / Burg Gößweinstein / Fränkische Schweiz / Talpartie / Landschaft</t>
  </si>
  <si>
    <t>Gelaufene historische Ansichtskarte mit Talpartie und Burg Gößweinstein, mit Stempel und Briefmarke</t>
  </si>
  <si>
    <t>An Fräulein Hannah Kollm, Kümmersbruck</t>
  </si>
  <si>
    <t>Historische Ansicht der Fränkischen Schweiz mit Burg Gößweinstein, verlegt bei J. H. pe., Staffelstein</t>
  </si>
  <si>
    <t>AK-2026-0234</t>
  </si>
  <si>
    <t>Einsiedeln, Kloster</t>
  </si>
  <si>
    <t>O. Nussbaum, Basel (Nr. 35791)</t>
  </si>
  <si>
    <t>Einsiedeln / Kanton Schwyz / Schweiz</t>
  </si>
  <si>
    <t>Einsiedeln / Kloster Einsiedeln / Schweiz / Architektur / Klosteranlage</t>
  </si>
  <si>
    <t>Gelaufene historische Ansichtskarte des Klosters Einsiedeln in der Schweiz, Stempel von 1939</t>
  </si>
  <si>
    <t>Nach Hersbruck bei Bamberg, Bayern</t>
  </si>
  <si>
    <t>Ansicht des berühmten Klosters Einsiedeln in der Schweiz, verlegt bei O. Nussbaum, Basel, gelaufen 1939</t>
  </si>
  <si>
    <t>Guter Zustand, gelaufen, mit Schweizer Briefmarke und Stempel</t>
  </si>
  <si>
    <t>AK-2026-0235</t>
  </si>
  <si>
    <t>Regensburg a. D. – Domplatz</t>
  </si>
  <si>
    <t>Dr. Trenkler-Verlag Stuttgart (Nr. 1081-865)</t>
  </si>
  <si>
    <t>Regensburg / Domplatz / Dom / Architektur / Stadtansicht</t>
  </si>
  <si>
    <t>Gelaufene historische Ansichtskarte des Domplatzes in Regensburg mit Domportal, Stempel von 1911</t>
  </si>
  <si>
    <t>An Herrn Theo Sauerer, Regensburg</t>
  </si>
  <si>
    <t>Historische Ansicht des Regensburger Domplatzes, verlegt beim Dr. Trenkler-Verlag Stuttgart, gelaufen 1911</t>
  </si>
  <si>
    <t>Guter Zustand, gelaufen, mit Briefmarke und Regensburger Stempel</t>
  </si>
  <si>
    <t>04.08.1910</t>
  </si>
  <si>
    <t>10.08.1939</t>
  </si>
  <si>
    <t>10.10.1911</t>
  </si>
  <si>
    <t>1929</t>
  </si>
  <si>
    <t>14.04.1929</t>
  </si>
  <si>
    <t>AK-2026-0236</t>
  </si>
  <si>
    <t>Schwarzenkopfhütte über Neuhaus b. Schliersee</t>
  </si>
  <si>
    <t>Verlag unleserlich / Ansichtskarte</t>
  </si>
  <si>
    <t>Schwarzenkopfhütte / Neuhaus / Schliersee / Alpen / Hütte / Landschaft</t>
  </si>
  <si>
    <t>Gelaufene historische Ansichtskarte der Schwarzenkopfhütte über Neuhaus bei Schliersee mit Briefmarke und Stempel</t>
  </si>
  <si>
    <t>An Familie Josef Sauerer, Regensburg</t>
  </si>
  <si>
    <t>Historische Bergansicht der Schwarzenkopfhütte über Neuhaus bei Schliersee, gelaufen 1948[cite: 16]</t>
  </si>
  <si>
    <t>Guter Zustand, gelaufen, mit Marken und Stempel versehen[cite: 16]</t>
  </si>
  <si>
    <t>AK-2026-0401</t>
  </si>
  <si>
    <t>Berchtesgaden – Gesamtansicht mit Watzmann und Funtenseeauern</t>
  </si>
  <si>
    <t>Ansichtskartenfabrik Schöning &amp; Co., Lübeck (Bgd 61a-d) / Echte Fotografie</t>
  </si>
  <si>
    <t>Berchtesgaden / Oberbayern / Bayern</t>
  </si>
  <si>
    <t>Berchtesgaden / Watzmann / Funtenseeauern / Alpen / Panorama / Echtfoto</t>
  </si>
  <si>
    <t>AK-2026-0402</t>
  </si>
  <si>
    <t>Fraueninsel im Chiemsee</t>
  </si>
  <si>
    <t>Aufnahme und Verlag F. Dorner, Prien (Nr. 935) / Echt Foto</t>
  </si>
  <si>
    <t>Chiemsee / Fraueninsel / Kloster / See / Landschaft / Echtfoto</t>
  </si>
  <si>
    <t>Gelaufene historische Echtfoto-Ansichtskarte der Fraueninsel im Chiemsee, Stempel von 1939</t>
  </si>
  <si>
    <t>AK-2026-0403</t>
  </si>
  <si>
    <t>Ulm a. D. – Münster, höchste Kirche der Welt, 161 m hoch</t>
  </si>
  <si>
    <t>Original-Eigentum Gebr. Metz, Tübingen (Nr. 460/129 DOB)</t>
  </si>
  <si>
    <t>Ulm / Ulmer Münster / Kirche / Architektur / Stadtansicht</t>
  </si>
  <si>
    <t>Gelaufene historische Ansichtskarte vom Ulmer Münster, Stempel von 1925</t>
  </si>
  <si>
    <t>An Herrn Lorenz Müller, Frankfurt-Niederrad</t>
  </si>
  <si>
    <t>Historische Ansicht des Ulmer Münster, verlegt bei Gebr. Metz, Tübingen, gelaufen 1925</t>
  </si>
  <si>
    <t>Guter Zustand, gelaufen, mit Stempel und Briefmarke</t>
  </si>
  <si>
    <t>AK-2026-0404</t>
  </si>
  <si>
    <t>Aus deutschen Gauen – [Motive/Tor]</t>
  </si>
  <si>
    <t>Drachen Verlag Berlin W 50 (Nr. B 0021) / Echte Fotografie</t>
  </si>
  <si>
    <t>Deutschland / Regionen</t>
  </si>
  <si>
    <t>Deutschland / Aus deutschen Gauen / Architektur / Echtfoto</t>
  </si>
  <si>
    <t>Gelaufene historische Echtfoto-Ansichtskarte aus der Serie "Aus deutschen Gauen", Feldpost-Stempel von 1942</t>
  </si>
  <si>
    <t>An Herr P. Trömmel, Liegburg bei Parsberg (Opf.)</t>
  </si>
  <si>
    <t>Historische Echtfoto-Ansichtskarte aus der Reihe "Aus deutschen Gauen", gelaufen 1942 mit Feldpost-Stempel</t>
  </si>
  <si>
    <t>Guter Zustand, gelaufen, mit Feldpoststempel und Marken</t>
  </si>
  <si>
    <t>AK-2026-0405</t>
  </si>
  <si>
    <t>G. Bernona, phot. / Ansichtskarte</t>
  </si>
  <si>
    <t>Wurzhütte / Neuhaus / Schliersee / Alpen / Hütte / Landschaft</t>
  </si>
  <si>
    <t>Ungelaufene historische Ansichtskarte der Wurzhütte über Neuhaus bei Schliersee</t>
  </si>
  <si>
    <t>Historische Ansicht der Wurzhütte im Gebiet um Schliersee, verlegt bei G. Bernona</t>
  </si>
  <si>
    <t>Guter Zustand, ungelaufen, rückseitig unbeschrieben</t>
  </si>
  <si>
    <t>AK-2026-0406</t>
  </si>
  <si>
    <t>Taubenstein am Spitzingsee geg. Brecherspitz</t>
  </si>
  <si>
    <t>Verlag Georg Eitzenberger, Photograph, Schliersee (Nr. 1750) / Echte Fotografie</t>
  </si>
  <si>
    <t>Taubenstein / Spitzingsee / Brecherspitz / Alpen / Hütte / Echtfoto</t>
  </si>
  <si>
    <t>Ungelaufene echte Foto-Ansichtskarte vom Taubenstein am Spitzingsee gegen den Brecherspitz</t>
  </si>
  <si>
    <t>Echtfoto-Ansicht vom Taubenstein am Spitzingsee mit Blick zum Brecherspitz, verlegt bei Georg Eitzenberger</t>
  </si>
  <si>
    <t>AK-2026-0407</t>
  </si>
  <si>
    <t>Der Edersee mit Sperrmauer u. Schloß Waldeck</t>
  </si>
  <si>
    <t>W. Senzel, Frankfurt a. M. (Sefra Karte Nr. 343)</t>
  </si>
  <si>
    <t>Edersee / Waldeck / Hessen</t>
  </si>
  <si>
    <t>Edersee / Sperrmauer / Schloss Waldeck / See / Talsperre / Landschaft</t>
  </si>
  <si>
    <t>Gelaufene historische Ansichtskarte vom Edersee mit Sperrmauer und Schloss Waldeck, mit handschriftlicher Nachricht</t>
  </si>
  <si>
    <t>An Frau Heise, Nürnberg, Enderstr. 15</t>
  </si>
  <si>
    <t>Historische Ansicht des Edersees mit Staumauer und Schloss Waldeck, Sefra-Karte verlegt bei W. Senzel</t>
  </si>
  <si>
    <t>Guter Zustand, gelaufen, beschriftet</t>
  </si>
  <si>
    <t>AK-2026-0408</t>
  </si>
  <si>
    <t>Bayer. Wald. Kaitersberg. Kötztinger-Hütte am Mittagstein (1026 m)</t>
  </si>
  <si>
    <t>Riba-Karte Nr. 2805 / Echt Kupfer-Tiefdruck</t>
  </si>
  <si>
    <t>Kaitersberg / Bayerischer Wald / Niederbayern / Bayern</t>
  </si>
  <si>
    <t>Kaitersberg / Kötztinger Hütte / Mittagstein / Bayerischer Wald / Hütte / Natur</t>
  </si>
  <si>
    <t>Ungelaufene historische Ansichtskarte der Kötztinger Hütte am Mittagstein im Bayerischen Wald</t>
  </si>
  <si>
    <t>Ansicht der Kötztinger Hütte am Mittagstein im Bayerischen Wald, Riba-Karten Kupfer-Tiefdruck</t>
  </si>
  <si>
    <t>Ungelaufene echte Foto-Ansichtskarte von Berchtesgaden mit Blick auf den Watzmann</t>
  </si>
  <si>
    <t>Echtfoto-Panorama von Berchtesgaden mit Watzmann und beschrifteten Gipfeln, verlegt bei Schöning &amp; Co.</t>
  </si>
  <si>
    <t>31.07.1939</t>
  </si>
  <si>
    <t>An Herr Pfarrer Müller, Michelbach (Mittelfranken)</t>
  </si>
  <si>
    <t>Echtfoto-Ansicht der Fraueninsel im Chiemsee, verlegt bei F. Dorner, Prien, gelaufen 1939</t>
  </si>
  <si>
    <t>Guter Zustand, gelaufen, mit Briefmarke und Chiemsee-Stempel</t>
  </si>
  <si>
    <t>22.08.1925</t>
  </si>
  <si>
    <t>04.12.1942</t>
  </si>
  <si>
    <t>Kleinanzeigen – Top 10 ungelaufene Ansichtskarten</t>
  </si>
  <si>
    <t>Kopierfertige Anzeigen mit Preischeck, Zustandsangaben, Storytelling und Privatverkaufshinweis</t>
  </si>
  <si>
    <t>Angebote</t>
  </si>
  <si>
    <t>Gesamt-Angebotspreis</t>
  </si>
  <si>
    <t>Marktwert gesamt</t>
  </si>
  <si>
    <t>Verkaufsart</t>
  </si>
  <si>
    <t>Privatverkauf · Verhandlungsbasis</t>
  </si>
  <si>
    <t>Anzeigentitel</t>
  </si>
  <si>
    <t>Preis (VB)</t>
  </si>
  <si>
    <t>Preischeck</t>
  </si>
  <si>
    <t>Zustand</t>
  </si>
  <si>
    <t>München – Klapp-Werbebriefkarte Drei Masken Verlag (1926)</t>
  </si>
  <si>
    <t>marktgerecht</t>
  </si>
  <si>
    <t>Ungelaufen / Gut (Z1–Z2)</t>
  </si>
  <si>
    <t>Schloss Herrenchiemsee – Ochsenaugensaal, historische Ansichtskarte</t>
  </si>
  <si>
    <t>Ungelaufen / Sehr gut (Z1–Z2)</t>
  </si>
  <si>
    <t>Herrenchiemsee / Chiemsee</t>
  </si>
  <si>
    <t>Walhalla bei Regensburg – historische Innenansicht, ungelaufen</t>
  </si>
  <si>
    <t>Donaustauf / Regensburg</t>
  </si>
  <si>
    <t>Nürnberg 1906 – XXIII. Bundestag des D.R.B., Kaiserburg</t>
  </si>
  <si>
    <t>Prinzregent Luitpold – Jubiläums-Wertstempelkarte 1821–1911</t>
  </si>
  <si>
    <t>über Markt</t>
  </si>
  <si>
    <t>Ungelaufen / Sehr gut (Z1-)</t>
  </si>
  <si>
    <t>Prinzregent Luitpold 1911 – Künstlerkarte mit Mädchen</t>
  </si>
  <si>
    <t>Seubersdorf Opf. – Luftbildkarte mit Bäckerei Anton Liedl</t>
  </si>
  <si>
    <t>Seubersdorf / Oberpfalz</t>
  </si>
  <si>
    <t>Seubersdorf Oberpfalz – historisches Schulhaus, koloriert</t>
  </si>
  <si>
    <t>Berlin – Kaiser-Alexander-Garde-Grenadiere kommen, historische Karte</t>
  </si>
  <si>
    <t>Schloss Parsberg – Deutsche Burgen, historische Farbkarte</t>
  </si>
  <si>
    <t>Preis</t>
  </si>
  <si>
    <t>22,00 € VB</t>
  </si>
  <si>
    <t>Marktwert</t>
  </si>
  <si>
    <t>22,00 €</t>
  </si>
  <si>
    <t>Kategorie</t>
  </si>
  <si>
    <t>Sammeln &gt; Ansichtskarten &gt; Werbung / München</t>
  </si>
  <si>
    <t>Datierung</t>
  </si>
  <si>
    <t>Versand</t>
  </si>
  <si>
    <t>Abholung oder Versand nach Vereinbarung</t>
  </si>
  <si>
    <t>Drei Masken Verlag A.G., München</t>
  </si>
  <si>
    <t>Besonderheiten</t>
  </si>
  <si>
    <t>Kompletter klappbarer Verlags-Werbefolder; ungewöhnliches Format; Verlagsgeschichte</t>
  </si>
  <si>
    <t>Bekannte Mängel</t>
  </si>
  <si>
    <t>Storytelling</t>
  </si>
  <si>
    <t>Ein kleines Stück Münchner Theater- und Verlagsgeschichte: Diese aufklappbare Werbekarte des Drei Masken Verlags stammt aus dem Jahr 1926. Anders als eine gewöhnliche Ansichtskarte entfaltet sie sich zu einem historischen Werbefolder und vermittelt einen unmittelbaren Eindruck der damaligen Kultur- und Verlagswelt.</t>
  </si>
  <si>
    <t>Kopierfertiger Anzeigentext</t>
  </si>
  <si>
    <t>Privatverkauf-Hinweis</t>
  </si>
  <si>
    <t>Privatverkauf aus meiner privaten Sammlung. Der Verkauf erfolgt unter Ausschluss jeglicher Sachmängelhaftung. Keine Rücknahme. Die Haftung wegen arglistig verschwiegener Mängel und aus einer ausdrücklich übernommenen Garantie bleibt unberührt.</t>
  </si>
  <si>
    <t>Fotoreihenfolge</t>
  </si>
  <si>
    <t>1 Vorderseite · 2 Rückseite · 3 Details von Ecken/Kanten · 4 besondere Merkmale</t>
  </si>
  <si>
    <t>Sammeln &gt; Ansichtskarten &gt; Bayern / Schlösser</t>
  </si>
  <si>
    <t>ca. frühes 20. Jahrhundert</t>
  </si>
  <si>
    <t>Jos. Albert, Hofkunstanstalt München, Nr. 310</t>
  </si>
  <si>
    <t>Historische Interieuraufnahme des Salle de l'oeil de boeuf</t>
  </si>
  <si>
    <t>Der Ochsenaugensaal gehört zu den eindrucksvollen Innenräumen von Schloss Herrenchiemsee. Die historische Aufnahme der Münchner Hofkunstanstalt Jos. Albert zeigt die höfische Inszenierung, mit der König Ludwig II. sein bayerisches Versailles verwirklichte.</t>
  </si>
  <si>
    <t>20,00 € VB</t>
  </si>
  <si>
    <t>20,00 €</t>
  </si>
  <si>
    <t>Sammeln &gt; Ansichtskarten &gt; Bayern / Regensburg</t>
  </si>
  <si>
    <t>Josef Huber's Postkartenverlag, München, Nr. 16500</t>
  </si>
  <si>
    <t>Innenansicht der Ruhmeshalle mit Büstenaufstellung</t>
  </si>
  <si>
    <t>Die Walhalla über der Donau ist eines der markantesten Bauwerke König Ludwigs I. Diese Karte führt nicht nur zur berühmten Außenkulisse, sondern direkt in die Ruhmeshalle mit ihrer historischen Büstenaufstellung – ein reizvoller Blick für Regional- und Architekturfreunde.</t>
  </si>
  <si>
    <t>19,00 € VB</t>
  </si>
  <si>
    <t>19,00 €</t>
  </si>
  <si>
    <t>Sammeln &gt; Ansichtskarten &gt; Nürnberg / Radsport</t>
  </si>
  <si>
    <t>Verlag der RAD-WELT, Berlin SW.68</t>
  </si>
  <si>
    <t>Veranstaltungskarte zum XXIII. Bundestag des Deutschen Radfahrer-Bundes</t>
  </si>
  <si>
    <t>Nürnberg trifft frühe Fahrradkultur: Die Karte erinnert an den XXIII. Bundestag des Deutschen Radfahrer-Bundes im Jahr 1906. Kaiserburg, Vereinsgeschichte und die aufkommende Begeisterung für das Radfahren verbinden sich zu einem besonderen Zeitdokument.</t>
  </si>
  <si>
    <t>18,00 € VB</t>
  </si>
  <si>
    <t>12,00 €</t>
  </si>
  <si>
    <t>Sammeln &gt; Ansichtskarten &gt; Bayern / Monarchie</t>
  </si>
  <si>
    <t>Oscar Consée, München; Entwurf W. Diez</t>
  </si>
  <si>
    <t>Farbige Künstler-Wertstempelkarte mit eingedruckter 5-Pfennig-Marke</t>
  </si>
  <si>
    <t>Zum 90. Geburtstag des Prinzregenten Luitpold entstand diese farbige Künstlerkarte nach einem Entwurf von Wilhelm von Diez. Die eingedruckte bayerische Wertmarke macht sie zugleich zu einem dekorativen Zeugnis der Monarchie- und Postgeschichte.</t>
  </si>
  <si>
    <t>Farbige Künstler-Wertstempelkarte mit Mädchenmotiv und eingedruckter Marke</t>
  </si>
  <si>
    <t>Diese Jubiläumskarte verbindet das Porträt Prinzregent Luitpolds mit einem fein gestalteten Mädchenmotiv. Als ungelaufene Wertstempelkarte von 1911 bewahrt sie Farben, Zeitgefühl und die repräsentative Bildsprache des damaligen Bayern.</t>
  </si>
  <si>
    <t>15,00 € VB</t>
  </si>
  <si>
    <t>Sammeln &gt; Ansichtskarten &gt; Oberpfalz / Heimatgeschichte</t>
  </si>
  <si>
    <t>ca. 1960–1970</t>
  </si>
  <si>
    <t>Flugbild GmbH, Bonn</t>
  </si>
  <si>
    <t>Mehrfach-Luftbildkarte mit Bäckerei und Kolonialwaren Anton Liedl</t>
  </si>
  <si>
    <t>Aus der Vogelperspektive wird Seubersdorf zum regionalgeschichtlichen Panorama. Besonders spannend ist die Einbindung der Bäckerei und Kolonialwarenhandlung Anton Liedl – ein konkretes Stück lokaler Wirtschafts- und Alltagsgeschichte.</t>
  </si>
  <si>
    <t>14,00 € VB</t>
  </si>
  <si>
    <t>14,00 €</t>
  </si>
  <si>
    <t>Sammeln &gt; Ansichtskarten &gt; Oberpfalz / Seubersdorf</t>
  </si>
  <si>
    <t>ca. 1910–1920</t>
  </si>
  <si>
    <t>Unbekannter Verlag, Nr. 7518</t>
  </si>
  <si>
    <t>Kolorierte Ortskarte mit historischem Schulgebäude</t>
  </si>
  <si>
    <t>Das Schulhaus war einst ein Mittelpunkt des Dorflebens. Diese kolorierte, ungelaufene Karte bewahrt eine frühe Ansicht von Seubersdorf und erzählt damit von Bildung, Architektur und Alltag in der Oberpfalz vor über hundert Jahren.</t>
  </si>
  <si>
    <t>Sammeln &gt; Ansichtskarten &gt; Berlin / Militärgeschichte</t>
  </si>
  <si>
    <t>Georg Stülke, Berlin NW.7, Nr. 29</t>
  </si>
  <si>
    <t>Historische Groß-Berlin-Karte mit Kaiser-Alexander-Garde-Grenadieren</t>
  </si>
  <si>
    <t>Ein Moment aus dem kaiserzeitlichen Berlin: Die anrückenden Kaiser-Alexander-Garde-Grenadiere spiegeln Parade, Stadtbild und militärische Repräsentation der Epoche. Die ungelaufene Karte ist ein anschauliches Stück Berliner Zeitgeschichte.</t>
  </si>
  <si>
    <t>Sammeln &gt; Ansichtskarten &gt; Oberpfalz / Burgen</t>
  </si>
  <si>
    <t>Deutsche Burgen von Prof. Hans Rud. Schulze, Nr. 173</t>
  </si>
  <si>
    <t>Farbige Burgendarstellung aus der Reihe Deutsche Burgen</t>
  </si>
  <si>
    <t>Hoch über Parsberg prägt das Schloss seit Jahrhunderten das Ortsbild. Die farbige Karte aus der Reihe Deutsche Burgen verbindet regionale Heimatgeschichte mit der romantischen Burgenrezeption des frühen 20. Jahrhunderts.</t>
  </si>
  <si>
    <t>Hinweis: Der Privatverkaufstext ist eine Formulierungshilfe und keine individuelle Rechtsberatung. Bekannte Mängel bitte vollständig und wahrheitsgemäß angeben.</t>
  </si>
  <si>
    <t>1. München – Klapp-Werbebriefkarte Drei Masken Verlag (1926)</t>
  </si>
  <si>
    <t>Interne Sammlungsnummer</t>
  </si>
  <si>
    <t>AK-2026-0268 – nicht mitkopieren</t>
  </si>
  <si>
    <t>Ich verkaufe diese historische Ansichtskarte aus meiner privaten Sammlung.
Ein kleines Stück Münchner Theater- und Verlagsgeschichte: Diese aufklappbare Werbekarte des Drei Masken Verlags stammt aus dem Jahr 1926. Anders als eine gewöhnliche Ansichtskarte entfaltet sie sich zu einem historischen Werbefolder und vermittelt einen unmittelbaren Eindruck der damaligen Kultur- und Verlagswelt.
Details:
• Verlag: Drei Masken Verlag A.G., München
• Datierung: 1926
• Zustand: Ungelaufen / Gut (Z1–Z2)
• Besonderheiten: Kompletter klappbarer Verlags-Werbefolder; ungewöhnliches Format; Verlagsgeschichte
• Bekannte Mängel: Produktionsbedingte Mittelfalte, minimale Altersspuren
Preis: 22,00 € VB. Abholung oder Versand nach Vereinbarung.
Privatverkauf aus meiner privaten Sammlung. Der Verkauf erfolgt unter Ausschluss jeglicher Sachmängelhaftung. Keine Rücknahme. Die Haftung wegen arglistig verschwiegener Mängel und aus einer ausdrücklich übernommenen Garantie bleibt unberührt.</t>
  </si>
  <si>
    <t>2. Schloss Herrenchiemsee – Ochsenaugensaal, historische Ansichtskarte</t>
  </si>
  <si>
    <t>AK-2026-0370 – nicht mitkopieren</t>
  </si>
  <si>
    <t>Ich verkaufe diese historische Ansichtskarte aus meiner privaten Sammlung.
Der Ochsenaugensaal gehört zu den eindrucksvollen Innenräumen von Schloss Herrenchiemsee. Die historische Aufnahme der Münchner Hofkunstanstalt Jos. Albert zeigt die höfische Inszenierung, mit der König Ludwig II. sein bayerisches Versailles verwirklichte.
Details:
• Verlag: Jos. Albert, Hofkunstanstalt München, Nr. 310
• Datierung: ca. frühes 20. Jahrhundert
• Zustand: Ungelaufen / Sehr gut (Z1–Z2)
• Besonderheiten: Historische Interieuraufnahme des Salle de l'oeil de boeuf
• Bekannte Mängel: Sehr guter Zustand, unbeschrieben
Preis: 22,00 € VB. Abholung oder Versand nach Vereinbarung.
Privatverkauf aus meiner privaten Sammlung. Der Verkauf erfolgt unter Ausschluss jeglicher Sachmängelhaftung. Keine Rücknahme. Die Haftung wegen arglistig verschwiegener Mängel und aus einer ausdrücklich übernommenen Garantie bleibt unberührt.</t>
  </si>
  <si>
    <t>3. Walhalla bei Regensburg – historische Innenansicht, ungelaufen</t>
  </si>
  <si>
    <t>AK-2026-0344 – nicht mitkopieren</t>
  </si>
  <si>
    <t>Ich verkaufe diese historische Ansichtskarte aus meiner privaten Sammlung.
Die Walhalla über der Donau ist eines der markantesten Bauwerke König Ludwigs I. Diese Karte führt nicht nur zur berühmten Außenkulisse, sondern direkt in die Ruhmeshalle mit ihrer historischen Büstenaufstellung – ein reizvoller Blick für Regional- und Architekturfreunde.
Details:
• Verlag: Josef Huber's Postkartenverlag, München, Nr. 16500
• Datierung: ca. frühes 20. Jahrhundert
• Zustand: Ungelaufen / Sehr gut (Z1–Z2)
• Besonderheiten: Innenansicht der Ruhmeshalle mit Büstenaufstellung
• Bekannte Mängel: Minimale Lagerungsspuren an den Kanten, unbeschrieben
Preis: 20,00 € VB. Abholung oder Versand nach Vereinbarung.
Privatverkauf aus meiner privaten Sammlung. Der Verkauf erfolgt unter Ausschluss jeglicher Sachmängelhaftung. Keine Rücknahme. Die Haftung wegen arglistig verschwiegener Mängel und aus einer ausdrücklich übernommenen Garantie bleibt unberührt.</t>
  </si>
  <si>
    <t>4. Nürnberg 1906 – XXIII. Bundestag des D.R.B., Kaiserburg</t>
  </si>
  <si>
    <t>AK-2026-0133 – nicht mitkopieren</t>
  </si>
  <si>
    <t>Keine bekannten Mängel dokumentiert; Zustand bitte anhand der Fotos prüfen.</t>
  </si>
  <si>
    <t>Ich verkaufe diese historische Ansichtskarte aus meiner privaten Sammlung.
Nürnberg trifft frühe Fahrradkultur: Die Karte erinnert an den XXIII. Bundestag des Deutschen Radfahrer-Bundes im Jahr 1906. Kaiserburg, Vereinsgeschichte und die aufkommende Begeisterung für das Radfahren verbinden sich zu einem besonderen Zeitdokument.
Details:
• Verlag: Verlag der RAD-WELT, Berlin SW.68
• Datierung: 1906
• Zustand: Ungelaufen / Sehr gut (Z1)
• Besonderheiten: Veranstaltungskarte zum XXIII. Bundestag des Deutschen Radfahrer-Bundes
• Bekannte Mängel: Keine wesentlichen Mängel dokumentiert
Preis: 19,00 € VB. Abholung oder Versand nach Vereinbarung.
Privatverkauf aus meiner privaten Sammlung. Der Verkauf erfolgt unter Ausschluss jeglicher Sachmängelhaftung. Keine Rücknahme. Die Haftung wegen arglistig verschwiegener Mängel und aus einer ausdrücklich übernommenen Garantie bleibt unberührt.</t>
  </si>
  <si>
    <t>5. Prinzregent Luitpold – Jubiläums-Wertstempelkarte 1821–1911</t>
  </si>
  <si>
    <t>AK-2026-0084 – nicht mitkopieren</t>
  </si>
  <si>
    <t>Ich verkaufe diese historische Ansichtskarte aus meiner privaten Sammlung.
Zum 90. Geburtstag des Prinzregenten Luitpold entstand diese farbige Künstlerkarte nach einem Entwurf von Wilhelm von Diez. Die eingedruckte bayerische Wertmarke macht sie zugleich zu einem dekorativen Zeugnis der Monarchie- und Postgeschichte.
Details:
• Verlag: Oscar Consée, München; Entwurf W. Diez
• Datierung: 1911
• Zustand: Ungelaufen / Sehr gut (Z1-)
• Besonderheiten: Farbige Künstler-Wertstempelkarte mit eingedruckter 5-Pfennig-Marke
• Bekannte Mängel: Keine wesentlichen Mängel dokumentiert
Preis: 18,00 € VB. Abholung oder Versand nach Vereinbarung.
Privatverkauf aus meiner privaten Sammlung. Der Verkauf erfolgt unter Ausschluss jeglicher Sachmängelhaftung. Keine Rücknahme. Die Haftung wegen arglistig verschwiegener Mängel und aus einer ausdrücklich übernommenen Garantie bleibt unberührt.</t>
  </si>
  <si>
    <t>6. Prinzregent Luitpold 1911 – Künstlerkarte mit Mädchen</t>
  </si>
  <si>
    <t>AK-2026-0085 – nicht mitkopieren</t>
  </si>
  <si>
    <t>Ich verkaufe diese historische Ansichtskarte aus meiner privaten Sammlung.
Diese Jubiläumskarte verbindet das Porträt Prinzregent Luitpolds mit einem fein gestalteten Mädchenmotiv. Als ungelaufene Wertstempelkarte von 1911 bewahrt sie Farben, Zeitgefühl und die repräsentative Bildsprache des damaligen Bayern.
Details:
• Verlag: Oscar Consée, München; Entwurf W. Diez
• Datierung: 1911
• Zustand: Ungelaufen / Sehr gut (Z1-)
• Besonderheiten: Farbige Künstler-Wertstempelkarte mit Mädchenmotiv und eingedruckter Marke
• Bekannte Mängel: Keine wesentlichen Mängel dokumentiert
Preis: 18,00 € VB. Abholung oder Versand nach Vereinbarung.
Privatverkauf aus meiner privaten Sammlung. Der Verkauf erfolgt unter Ausschluss jeglicher Sachmängelhaftung. Keine Rücknahme. Die Haftung wegen arglistig verschwiegener Mängel und aus einer ausdrücklich übernommenen Garantie bleibt unberührt.</t>
  </si>
  <si>
    <t>7. Seubersdorf Opf. – Luftbildkarte mit Bäckerei Anton Liedl</t>
  </si>
  <si>
    <t>AK-2026-0314 – nicht mitkopieren</t>
  </si>
  <si>
    <t>Ich verkaufe diese historische Ansichtskarte aus meiner privaten Sammlung.
Aus der Vogelperspektive wird Seubersdorf zum regionalgeschichtlichen Panorama. Besonders spannend ist die Einbindung der Bäckerei und Kolonialwarenhandlung Anton Liedl – ein konkretes Stück lokaler Wirtschafts- und Alltagsgeschichte.
Details:
• Verlag: Flugbild GmbH, Bonn
• Datierung: ca. 1960–1970
• Zustand: Ungelaufen / Sehr gut (Z1–Z2)
• Besonderheiten: Mehrfach-Luftbildkarte mit Bäckerei und Kolonialwaren Anton Liedl
• Bekannte Mängel: Sehr guter Zustand, unbeschrieben
Preis: 15,00 € VB. Abholung oder Versand nach Vereinbarung.
Privatverkauf aus meiner privaten Sammlung. Der Verkauf erfolgt unter Ausschluss jeglicher Sachmängelhaftung. Keine Rücknahme. Die Haftung wegen arglistig verschwiegener Mängel und aus einer ausdrücklich übernommenen Garantie bleibt unberührt.</t>
  </si>
  <si>
    <t>8. Seubersdorf Oberpfalz – historisches Schulhaus, koloriert</t>
  </si>
  <si>
    <t>AK-2026-0051 – nicht mitkopieren</t>
  </si>
  <si>
    <t>Ich verkaufe diese historische Ansichtskarte aus meiner privaten Sammlung.
Das Schulhaus war einst ein Mittelpunkt des Dorflebens. Diese kolorierte, ungelaufene Karte bewahrt eine frühe Ansicht von Seubersdorf und erzählt damit von Bildung, Architektur und Alltag in der Oberpfalz vor über hundert Jahren.
Details:
• Verlag: Unbekannter Verlag, Nr. 7518
• Datierung: ca. 1910–1920
• Zustand: Ungelaufen / Sehr gut (Z1–Z2)
• Besonderheiten: Kolorierte Ortskarte mit historischem Schulgebäude
• Bekannte Mängel: Keine wesentlichen Mängel dokumentiert
Preis: 14,00 € VB. Abholung oder Versand nach Vereinbarung.
Privatverkauf aus meiner privaten Sammlung. Der Verkauf erfolgt unter Ausschluss jeglicher Sachmängelhaftung. Keine Rücknahme. Die Haftung wegen arglistig verschwiegener Mängel und aus einer ausdrücklich übernommenen Garantie bleibt unberührt.</t>
  </si>
  <si>
    <t>9. Berlin – Kaiser-Alexander-Garde-Grenadiere kommen, historische Karte</t>
  </si>
  <si>
    <t>AK-2026-0143 – nicht mitkopieren</t>
  </si>
  <si>
    <t>Ich verkaufe diese historische Ansichtskarte aus meiner privaten Sammlung.
Ein Moment aus dem kaiserzeitlichen Berlin: Die anrückenden Kaiser-Alexander-Garde-Grenadiere spiegeln Parade, Stadtbild und militärische Repräsentation der Epoche. Die ungelaufene Karte ist ein anschauliches Stück Berliner Zeitgeschichte.
Details:
• Verlag: Georg Stülke, Berlin NW.7, Nr. 29
• Datierung: ca. 1910
• Zustand: Ungelaufen / Sehr gut (Z1)
• Besonderheiten: Historische Groß-Berlin-Karte mit Kaiser-Alexander-Garde-Grenadieren
• Bekannte Mängel: Keine wesentlichen Mängel dokumentiert
Preis: 14,00 € VB. Abholung oder Versand nach Vereinbarung.
Privatverkauf aus meiner privaten Sammlung. Der Verkauf erfolgt unter Ausschluss jeglicher Sachmängelhaftung. Keine Rücknahme. Die Haftung wegen arglistig verschwiegener Mängel und aus einer ausdrücklich übernommenen Garantie bleibt unberührt.</t>
  </si>
  <si>
    <t>10. Schloss Parsberg – Deutsche Burgen, historische Farbkarte</t>
  </si>
  <si>
    <t>AK-2026-0323 – nicht mitkopieren</t>
  </si>
  <si>
    <t>Ich verkaufe diese historische Ansichtskarte aus meiner privaten Sammlung.
Hoch über Parsberg prägt das Schloss seit Jahrhunderten das Ortsbild. Die farbige Karte aus der Reihe Deutsche Burgen verbindet regionale Heimatgeschichte mit der romantischen Burgenrezeption des frühen 20. Jahrhunderts.
Details:
• Verlag: Deutsche Burgen von Prof. Hans Rud. Schulze, Nr. 173
• Datierung: ca. 1920
• Zustand: Ungelaufen / Sehr gut (Z1–Z2)
• Besonderheiten: Farbige Burgendarstellung aus der Reihe Deutsche Burgen
• Bekannte Mängel: Sehr guter Zustand, unbeschrieben
Preis: 14,00 € VB. Abholung oder Versand nach Vereinbarung.
Privatverkauf aus meiner privaten Sammlung. Der Verkauf erfolgt unter Ausschluss jeglicher Sachmängelhaftung. Keine Rücknahme. Die Haftung wegen arglistig verschwiegener Mängel und aus einer ausdrücklich übernommenen Garantie bleibt unberührt.</t>
  </si>
  <si>
    <t>Keine bekannten Mängel dokumentiert. Sehr guter Zustand, ungelaufen, unbeschrieben.</t>
  </si>
  <si>
    <t>Keine bekannten Mängel dokumentiert. Sehr guter Zustand, minimale Lagerungsspuren an den Kanten, unbeschrieben</t>
  </si>
  <si>
    <t>Keine bekannten Mängel dokumentiert. Sehr guter Zustand, ungelaufen, unbeschrieben</t>
  </si>
  <si>
    <t>Münzsammlung – Deutsches Kaiserreich</t>
  </si>
  <si>
    <t>Bestand, Erhaltungsgrade und eingegebene Verkaufspreise</t>
  </si>
  <si>
    <t>Bezeichnung</t>
  </si>
  <si>
    <t>Staat / Münzstätte</t>
  </si>
  <si>
    <t>Gebiet</t>
  </si>
  <si>
    <t>Nominal / Motiv</t>
  </si>
  <si>
    <t>Erhaltungsgrad</t>
  </si>
  <si>
    <t>Beschreibung</t>
  </si>
  <si>
    <t>Ungelaufen (J/N)</t>
  </si>
  <si>
    <t>Prägejahr</t>
  </si>
  <si>
    <t>Prägezeichen / Zusatzinfo</t>
  </si>
  <si>
    <t>Sammlung / Herkunft</t>
  </si>
  <si>
    <t>MN-2026-0001</t>
  </si>
  <si>
    <t>2 Mark Wilhelm II. Deutscher Kaiser König v. Preußen 1913</t>
  </si>
  <si>
    <t>Deutsches Kaiserreich / Münzstätte Berlin (A)</t>
  </si>
  <si>
    <t>Preußen / Deutsches Kaiserreich</t>
  </si>
  <si>
    <t>2 Mark / Wilhelm II. / Silber / 1913 / Deutsches Kaiserreich</t>
  </si>
  <si>
    <t>Sehr gut (SS)</t>
  </si>
  <si>
    <t>Historische 2-Mark-Silbermünze von Kaiser Wilhelm II. aus Preußen, Prägejahr 1913</t>
  </si>
  <si>
    <t>Preußen / Sammler</t>
  </si>
  <si>
    <t>Historische Kursmünze (Silber 900/1000), 2 Mark Kaiser Wilhelm II. Preußen 1913</t>
  </si>
  <si>
    <t>Guter bis sehr schöner Zustand mit leichten Umlaufspuren</t>
  </si>
  <si>
    <t>MN-2026-0002</t>
  </si>
  <si>
    <t>3 Mark Friedrich II. Großherzog von Baden 1906</t>
  </si>
  <si>
    <t>Deutsches Kaiserreich / Münzstätte Karlsruhe (G)</t>
  </si>
  <si>
    <t>Großherzogtum Baden / Deutsches Kaiserreich</t>
  </si>
  <si>
    <t>3 Mark / Friedrich II. / Silber / 1906 / Baden / Gedenkmünze</t>
  </si>
  <si>
    <t>Historische 3-Mark-Gedenkmünze Großherzog Friedrich II. von Baden zum 50. Regierungsjubiläum 1906</t>
  </si>
  <si>
    <t>Baden / Sammler</t>
  </si>
  <si>
    <t>Silber-Gedenkmünze 3 Mark Baden 1906 (Friedrich II. Regierungsjubiläum)</t>
  </si>
  <si>
    <t>Schöner Zustand, prägefrische Ansätze, minimale Patina</t>
  </si>
  <si>
    <t>MN-2026-0003</t>
  </si>
  <si>
    <t>2 Mark Deutsches Reich 1888 (Wilhelm II. / Reichsadler)</t>
  </si>
  <si>
    <t>Deutsches Kaiserreich</t>
  </si>
  <si>
    <t>2 Mark / Deutsches Reich / Silber / 1888 / Reichsadler</t>
  </si>
  <si>
    <t>Schön (S)</t>
  </si>
  <si>
    <t>Historische 2-Mark-Silbermünze des Deutschen Kaiserreichs mit großem Reichsadler, Jahrgang 1888</t>
  </si>
  <si>
    <t>Deutsches Reich / Sammler</t>
  </si>
  <si>
    <t>Deutsches Kaiserreich 2 Mark 1888, Standard-Prägung mit Reichsadler-Adlerseite</t>
  </si>
  <si>
    <t>Mittlere Umlaufspuren, typische Patina für das Gründungsjahr 1888</t>
  </si>
  <si>
    <t>MN-2026-0004</t>
  </si>
  <si>
    <t>3 Mark Deutsches Reich 1909 (Reichsadler)</t>
  </si>
  <si>
    <t>3 Mark / Deutsches Reich / Silber / 1909 / Reichsadler</t>
  </si>
  <si>
    <t>Historische 3-Mark-Silbermünze des Deutschen Kaiserreichs mit detailliertem Reichsadler, Jahrgang 1909</t>
  </si>
  <si>
    <t>Silbermünze 3 Mark Deutsches Reich 1909 mit großem Reichsadler</t>
  </si>
  <si>
    <t>Sehr schöner Erhaltungszustand, feine Details erkennbar</t>
  </si>
  <si>
    <t>MN-2026-0005</t>
  </si>
  <si>
    <t>3 Mark Friedrich III. 9. März - 15. Juni 1888 (Gedächtnismünze)</t>
  </si>
  <si>
    <t>3 Mark / Friedrich III. / Silber / 1888 / 90. Geburtstag / Dreikaiserjahr</t>
  </si>
  <si>
    <t>Historische 3-Mark-Gedenkmünze zum Dreikaiserjahr 1888 zu Ehren von Kaiser Friedrich III.</t>
  </si>
  <si>
    <t>Beliebte Gedenkmünze 3 Mark Friedrich III. (Der 99-Tage-Kaiser) aus dem Jahr 1888</t>
  </si>
  <si>
    <t>Guter bis sehr schöner Zustand, glänzende Silberoberfläche</t>
  </si>
  <si>
    <t>MN-2026-0006</t>
  </si>
  <si>
    <t>2 Mark Wilhelm II. Deutscher Kaiser König v. Preußen (Kopf nach rechts)</t>
  </si>
  <si>
    <t>2 Mark / Wilhelm II. / Silber / Preußen</t>
  </si>
  <si>
    <t>Schön bis sehr gut (S-SS)</t>
  </si>
  <si>
    <t>Historische 2-Mark-Silbermünze Kaiser Wilhelm II. von Preußen</t>
  </si>
  <si>
    <t>Silbermünze 2 Mark Preußen mit Porträt von Kaiser Wilhelm II.</t>
  </si>
  <si>
    <t>Altersübliche Umlaufspuren, solide Erhaltung</t>
  </si>
  <si>
    <t>MN-2026-0007</t>
  </si>
  <si>
    <t>5 Mark Deutsches Reich 1903 (Großer Reichsadler)</t>
  </si>
  <si>
    <t>5 Mark / Deutsches Reich / Silber / 1903 / Reichsadler / Krone</t>
  </si>
  <si>
    <t>Große historische 5-Mark-Silbermünze des Deutschen Kaiserreichs mit gekröntem Reichsadler, Jahrgang 1903</t>
  </si>
  <si>
    <t>Großes Silberstück 5 Mark Kaiserreich 1903 mit hohem Edelmetallwert (27g Silber 900/1000)</t>
  </si>
  <si>
    <t>Schöner Zustand mit kräftiger Prägung und schöner Patina</t>
  </si>
  <si>
    <t>MN-2026-0008</t>
  </si>
  <si>
    <t>3 Mark Wilhelm II. König v. Württemberg 1912</t>
  </si>
  <si>
    <t>Deutsches Kaiserreich / Münzstätte Stuttgart (F)</t>
  </si>
  <si>
    <t>Württemberg / Deutsches Kaiserreich</t>
  </si>
  <si>
    <t>3 Mark / Wilhelm II. / Silber / 1912 / Württemberg / König</t>
  </si>
  <si>
    <t>Historische 3-Mark-Silbermünze König Wilhelm II. von Württemberg, Prägejahr 1912</t>
  </si>
  <si>
    <t>Württemberg / Sammler</t>
  </si>
  <si>
    <t>Landesprägung Königreich Württemberg, 3 Mark 1912 mit Porträt von König Wilhelm II.</t>
  </si>
  <si>
    <t>Sehr schöner Zustand, präzise Details im Haar- und Bartbereich</t>
  </si>
  <si>
    <t>MN-2026-0009</t>
  </si>
  <si>
    <t>2 Mark Deutsches Reich 1911 (Reichsadler)</t>
  </si>
  <si>
    <t>2 Mark / Deutsches Reich / Silber / 1911 / Reichsadler</t>
  </si>
  <si>
    <t>Historische 2-Mark-Silbermünze des Deutschen Kaiserreichs mit Reichsadler, Jahrgang 1911</t>
  </si>
  <si>
    <t>2 Mark Kaiserreich aus Silber (Prägejahr 1911)</t>
  </si>
  <si>
    <t>Guter und sauberer Erhaltungszustand</t>
  </si>
  <si>
    <t>Anzahl Münzen</t>
  </si>
  <si>
    <t>Identifikation prüfen</t>
  </si>
  <si>
    <t>Münzen</t>
  </si>
  <si>
    <t>Preisabweichungen</t>
  </si>
  <si>
    <t>Artikel gesamt</t>
  </si>
  <si>
    <t>Münzvergleich – Deutsches Kaiserreich</t>
  </si>
  <si>
    <t>Aktuelle Preisansätze vs. recherchierte Marktwerte – vorläufig bis zur Prüfung beider Münzseiten</t>
  </si>
  <si>
    <t>Münzen geprüft</t>
  </si>
  <si>
    <t>Prüfhinweis: Das Foto erlaubt keine sichere Zuordnung aller neun Münzen zu den bisherigen IDs. Besonders MN-2026-0002 und MN-2026-0005 sind widersprüchlich bezeichnet: 3-Mark-Stücke wurden erst ab 1908 geprägt. Vor Verkauf bitte Vorderseite, Rückseite, Jahr und Münzzeichen je Münze einzeln bestätigen.</t>
  </si>
  <si>
    <t>Aktuelle Postkartenwerte vs. recherchierte Marktwerte – Differenz = ermittelt minus aktuell</t>
  </si>
  <si>
    <t>Sammlung – Gesamtübersicht</t>
  </si>
  <si>
    <t>Postkarten und Münzen getrennt bewertet, gemeinsam im Blick</t>
  </si>
  <si>
    <t>Differenz zum Markt</t>
  </si>
  <si>
    <t>Münzen prüfen</t>
  </si>
  <si>
    <t>Sammlungsbereich</t>
  </si>
  <si>
    <t>Artikel</t>
  </si>
  <si>
    <t>Postkarten</t>
  </si>
  <si>
    <t>Bereich</t>
  </si>
  <si>
    <t>Empfohlene Reihenfolge</t>
  </si>
  <si>
    <t>Postkarten Dashboard</t>
  </si>
  <si>
    <t>Verkaufssteuerung, Orte, Preisbereiche und Top-Angebote</t>
  </si>
  <si>
    <t>Postkarten Vergleich</t>
  </si>
  <si>
    <t>Marktwerte und Preisabweichungen aller Postkarten</t>
  </si>
  <si>
    <t>Bestand, Erhaltungsgrade und eigene Preisansätze</t>
  </si>
  <si>
    <t>Münzen Vergleich</t>
  </si>
  <si>
    <t>Marktwerte und Identifikationshinweise der Münzen</t>
  </si>
  <si>
    <t>Hinweis zum Münzfoto: Die neun Münzen sind sichtbar, aber Jahrgänge, Nominale und Münzzeichen sind nicht bei allen Stücken sicher lesbar. Die mit „Identifikation prüfen“ markierten Bewertungen bleiben vorläufig, bis Vorder- und Rückseite jeder Münze einzeln fotografiert wurden.</t>
  </si>
  <si>
    <t>AK-2026-0409</t>
  </si>
  <si>
    <t>Berchtesgaden mit dem Watzmann (2714 m)</t>
  </si>
  <si>
    <t>Aufnahme und Verlag O. Beer, Berchtesgaden (Nr. 134)</t>
  </si>
  <si>
    <t>Berchtesgaden / Watzmann / Alpen / Bergpanorama / Architektur</t>
  </si>
  <si>
    <t>Ungelaufene historische Ansichtskarte von Berchtesgaden mit dem Watzmann, verlegt bei O. Beer</t>
  </si>
  <si>
    <t>Historische Ansicht von Berchtesgaden mit Watzmann im Hintergrund, verlegt bei O. Beer</t>
  </si>
  <si>
    <t>AK-2026-0410</t>
  </si>
  <si>
    <t>Regensburg – Befreiungshalle, gestiftet von König Ludwig I.</t>
  </si>
  <si>
    <t>Regensburg / Kelheim / Niederbayern / Bayern</t>
  </si>
  <si>
    <t>Regensburg / Kelheim / Befreiungshalle / König Ludwig I. / Architektur / Denkmäler</t>
  </si>
  <si>
    <t>Gelaufene historische Ansichtskarte der Befreiungshalle bei Regensburg/Kelheim, mit Feldpost- und Zurück-Stempel</t>
  </si>
  <si>
    <t>An Soldat Richard Sauerer (Feldpost / Lw. Spätz. Son. B. A. K.)</t>
  </si>
  <si>
    <t>Historische Ansicht der Befreiungshalle Kelheim bei Regensburg, gelaufen 1944 mit Feldpost- und Retourenstempel</t>
  </si>
  <si>
    <t>Altersbedingte Gebrauchsspuren, gelaufen, mit Feldpoststempel</t>
  </si>
  <si>
    <t>AK-2026-0411</t>
  </si>
  <si>
    <t>Gruß vom Nebelhorn (2224 m)</t>
  </si>
  <si>
    <t>Trrutlopf / Humoristische Ansichtskarte</t>
  </si>
  <si>
    <t>Nebelhorn / Oberstdorf / Allgäu / Bayern</t>
  </si>
  <si>
    <t>Nebelhorn / Allgäu / Alpen / Humor / Karikatur / Wanderer</t>
  </si>
  <si>
    <t>Gelaufene humoristische Ansichtskarte "Gruß vom Nebelhorn", Stempel von 1948</t>
  </si>
  <si>
    <t>An Familie Josef Sauerer, Liegburg / Parsberg</t>
  </si>
  <si>
    <t>Humoristische Alpen-Ansichtskarte vom Nebelhorn mit Kletterern, verlegt bei Trrutlopf, gelaufen 1948</t>
  </si>
  <si>
    <t>Guter Zustand, gelaufen, mit Nachkriegs-Briefmarke und Stempel</t>
  </si>
  <si>
    <t>AK-2026-0412</t>
  </si>
  <si>
    <t>Nürnberg – Dürer-Haus, Neutormauer, Tiergärtnertor u. Lebkuchen-Häuschen</t>
  </si>
  <si>
    <t>E. Otto Schmidt Lebkuchenfabrik Nürnberg / Postkarte aus der Alt-Nürnberg-Serie</t>
  </si>
  <si>
    <t>Nürnberg / Dürer-Haus / Altstadt / Tiergärtnertor / Lebkuchen-Häuschen / Historische Ansicht</t>
  </si>
  <si>
    <t>Ungelaufene historische Ansichtskarte aus der Alt-Nürnberg-Serie der Firma E. Otto Schmidt</t>
  </si>
  <si>
    <t>Historische Ansichtskarte aus der Alt-Nürnberg-Serie mit detaillierter Darstellung am Dürer-Haus</t>
  </si>
  <si>
    <t>AK-2026-0413</t>
  </si>
  <si>
    <t>Bayer. Wald. Kaitersberg. Der Riegelstein (1134 m)</t>
  </si>
  <si>
    <t>Riba-Karte Nr. 2804 / Echt Kupfer-Tiefdruck</t>
  </si>
  <si>
    <t>Kaitersberg / Riegelstein / Bayerischer Wald / Felsen / Natur</t>
  </si>
  <si>
    <t>Ungelaufene historische Ansichtskarte vom Riegelstein am Kaitersberg im Bayerischen Wald</t>
  </si>
  <si>
    <t>Ansicht des Riegelsteins am Kaitersberg im Bayerischen Wald, Riba-Karten Kupfer-Tiefdruck Nr. 2804</t>
  </si>
  <si>
    <t>AK-2026-0414</t>
  </si>
  <si>
    <t>Stift Melk, Hochaltar</t>
  </si>
  <si>
    <t>Alleinverlag Stift Melk / Echte Fotografie</t>
  </si>
  <si>
    <t>Melk / Wachau / Niederösterreich / Österreich</t>
  </si>
  <si>
    <t>Stift Melk / Hochaltar / Österreich / Kirche / Barock / Echtfoto</t>
  </si>
  <si>
    <t>Gelaufene historische Echtfoto-Ansichtskarte vom Hochaltar des Stiftes Melk, Stempel von 1945</t>
  </si>
  <si>
    <t>An Frau Josef Sauerer, Liegburg bei Parsberg (Opf.)</t>
  </si>
  <si>
    <t>Echtfoto-Ansicht des prunkvollen Hochaltars im Stift Melk in Österreich, gelaufen May 1945</t>
  </si>
  <si>
    <t>Guter Zustand, gelaufen, mit Stift-Melk-Stempel und Marken</t>
  </si>
  <si>
    <t>AK-2026-0415</t>
  </si>
  <si>
    <t>Oberammergau und seine Bergbeschriftung</t>
  </si>
  <si>
    <t>Photo-Verlag H. Kronburger, Oberammergau / Echt Foto</t>
  </si>
  <si>
    <t>Oberammergau / Ammergauer Alpen / Oberbayern / Bayern</t>
  </si>
  <si>
    <t>Oberammergau / Alpen / Berge / Gipfel / Panorama / Echtfoto</t>
  </si>
  <si>
    <t>Ungelaufene echte Foto-Ansichtskarte von Oberammergau mit beschrifteten Bergen und Gipfeln</t>
  </si>
  <si>
    <t>Echtfoto-Panorama von Oberammergau mit umfassender Gipfel-Legende (Kofel, Laber, Zugspitze etc.)</t>
  </si>
  <si>
    <t>AK-2026-0416</t>
  </si>
  <si>
    <t>Bad Reichenhall, Kretzschmarstraße mit Mühlbach</t>
  </si>
  <si>
    <t>Karl Herzich, Kunst- u. Verlagsanstalt, München, Photobromdruckserie Nr. 223</t>
  </si>
  <si>
    <t>Bad Reichenhall / Berchtesgadener Land / Oberbayern / Bayern</t>
  </si>
  <si>
    <t>Bad Reichenhall / Kretzschmarstraße / Mühlbach / Alpen / Stadtansicht / Bromdruck</t>
  </si>
  <si>
    <t>Ungelaufene historische Bromdruck-Ansichtskarte von Bad Reichenhall, leichter Lichtrand oben</t>
  </si>
  <si>
    <t>Historischer Photobromdruck von Bad Reichenhall (Kretzschmarstraße mit Mühlbach), verlegt bei Karl Herzich, München</t>
  </si>
  <si>
    <t>Guter Zustand, ungelaufen, leichte altersbedingte Randvergilbung</t>
  </si>
  <si>
    <t>AK-2026-0417</t>
  </si>
  <si>
    <t>Nürnberg – Der Schöne Brunnen und die Frauenkirche (Stadt der Reichsparteitage)</t>
  </si>
  <si>
    <t>Stoja-Verlag Janke &amp; Dr. Maiwald (Nr. 21/422) / Nach einem Originalgemälde von Rudolf Schacht</t>
  </si>
  <si>
    <t>Nürnberg / Schöner Brunnen / Frauenkirche / Hauptmarkt / Reichsparteitage / Kunstkarte</t>
  </si>
  <si>
    <t>Gelaufene historische Kunstkarte nach einem Gemälde von Rudolf Schacht, Werbestempel "Spart Strom u. Gas - alle Energie für den Sieg!" von 1943</t>
  </si>
  <si>
    <t>An Fräulein Ursula Gabon, Hamburg II, Jenischstraße 16</t>
  </si>
  <si>
    <t>Historische Nürnberg-Karte nach Gemälde von Rudolf Schacht, gelaufen 1943 mit historischem Propaganda-Stempel</t>
  </si>
  <si>
    <t>Altersbedingte papierbedingte Randtönung, Ecken minimal bestoßen, gelaufen</t>
  </si>
  <si>
    <t>AK-2026-0418</t>
  </si>
  <si>
    <t>Schliersee</t>
  </si>
  <si>
    <t>Ottmar Zieher, München, Farbtonraster-Serie 191</t>
  </si>
  <si>
    <t>Schliersee / See / Alpen / Bayern / Landschaft / Farbtonraster</t>
  </si>
  <si>
    <t>Ungelaufen / Befriedigend bis Gut (Z3-2)</t>
  </si>
  <si>
    <t>Ungelaufene historische Farbtonraster-Ansichtskarte des Schliersees von Ottmar Zieher, Ecken stärker bestoßen, Randläsuren</t>
  </si>
  <si>
    <t>Klassische Schliersee-Ansicht im Farbtonrasterverfahren, verlegt bei Ottmar Zieher München</t>
  </si>
  <si>
    <t>Stärkere Stoßspuren an den Ecken, Kantenabrieb, ungelaufen</t>
  </si>
  <si>
    <t>AK-2026-0421</t>
  </si>
  <si>
    <t>Klosterkirche Ettal (H. Katharina, H. Korbinian, Erschauung Christi)</t>
  </si>
  <si>
    <t>Verlag von Josef Mayer, Ettal (Nr. J. 15428)</t>
  </si>
  <si>
    <t>Ettal / Oberammergau / Oberbayern / Bayern</t>
  </si>
  <si>
    <t>Ettal / Klosterkirche / Kirche / Barock / Architektur / Inneneinrichtung</t>
  </si>
  <si>
    <t>Ungelaufene historische Ansichtskarte der Klosterkirche Ettal, Ecken leicht bestoßen</t>
  </si>
  <si>
    <t>Historische Innenansicht der Klosterkirche Ettal mit Altar und Altargemälden, verlegt bei Josef Mayer</t>
  </si>
  <si>
    <t>Leichte Stoßspuren an den Ecken, ungelaufen, rückseitig unbeschrieben</t>
  </si>
  <si>
    <t>AK-2026-0422</t>
  </si>
  <si>
    <t>Garmisch mit Waxenstein und Zugspitze</t>
  </si>
  <si>
    <t>Martin Rompel, Kunst- u. Verlagsanstalt, München, Photobromdruckserie Nr. 334</t>
  </si>
  <si>
    <t>Garmisch-Partenkirchen / Werdenfelser Land / Oberbayern / Bayern</t>
  </si>
  <si>
    <t>Garmisch / Waxenstein / Zugspitze / Alpen / Bergpanorama / Kirche</t>
  </si>
  <si>
    <t>Gelaufene historische Ansichtskarte von Garmisch mit Waxenstein und Zugspitze, Stempel von 1912, leichte Flecken auf der Rückseite</t>
  </si>
  <si>
    <t>An Fräulein Paula Raitorius, Leipzig, Johannisplatz 5 I.</t>
  </si>
  <si>
    <t>Historischer Photobromdruck von Garmisch mit Alpenpanorama (Waxenstein und Zugspitze), gelaufen 1912</t>
  </si>
  <si>
    <t>Altersübliche Patina, Stempelabdruck leicht auf Vorderseite durchscheinend, gelaufen</t>
  </si>
  <si>
    <t>AK-2026-0423</t>
  </si>
  <si>
    <t>Veste Coburg aus einem Flugzeug gesehen</t>
  </si>
  <si>
    <t>Aufnahme der Bodensee-Lichtbildverkohlungsgesellsch. Konstanz / Verlag der E. Riemann'schen Hofbuchhandlung, Coburg</t>
  </si>
  <si>
    <t>Veste Coburg / Luftaufnahme / Flugzeug / Burg / Architektur / Franken</t>
  </si>
  <si>
    <t>Ungelaufene historische Luftbild-Ansichtskarte der Veste Coburg aus der frühen Luftfahrt</t>
  </si>
  <si>
    <t>Frühe historische Luftaufnahme der Veste Coburg, verlegt bei Riemann'sche Hofbuchhandlung Coburg</t>
  </si>
  <si>
    <t>Sehr guter Zustand, ungelaufen, saubere Kanten und Ecken</t>
  </si>
  <si>
    <t>AK-2026-0419</t>
  </si>
  <si>
    <t>Wallfahrtsort Altötting - Gnadenaltar in der Gnadenkapelle[cite: 21]</t>
  </si>
  <si>
    <t>Hermann Sonntag &amp; Co., Lübeck (Äb 22 V)[cite: 22]</t>
  </si>
  <si>
    <t>Altötting / Gnadenkapelle / Gnadenaltar / Wallfahrt / Kirche / Barock</t>
  </si>
  <si>
    <t>Gelaufen / Gut (Z2)[cite: 22]</t>
  </si>
  <si>
    <t>Gelaufene historische Ansichtskarte vom Gnadenaltar in Altötting, mit Notopfer-Berlin-Briefmarke und Stempel</t>
  </si>
  <si>
    <t>An Familie Joseph Sauerer, Gend.-Kommissar a.D., Lüpburg / Opf.[cite: 22]</t>
  </si>
  <si>
    <t>Historische Ansicht des Gnadenaltars in der Gnadenkapelle Altötting, gelaufen 1954 mit Bundespost-Marke</t>
  </si>
  <si>
    <t>Altersbedingte Gilbflecken, Stempelabdruck, gelaufen</t>
  </si>
  <si>
    <t>AK-2026-0420</t>
  </si>
  <si>
    <t>Bad Brückenau - Kurhaus und Kursaal[cite: 21]</t>
  </si>
  <si>
    <t>Verlag von M. Dürrberger, Bad Brückenau[cite: 22]</t>
  </si>
  <si>
    <t>Bad Brückenau / Unterfranken / Bayern</t>
  </si>
  <si>
    <t>Bad Brückenau / Kurhaus / Kursaal / Kurpark / Architektur</t>
  </si>
  <si>
    <t>Gelaufene historische Ansichtskarte von Bad Brückenau (Kurhaus und Kursaal), Stempel vom 21.05.1908[cite: 22]</t>
  </si>
  <si>
    <t>An Herrn Joseph Sauerer, Forstwart, Parsberg, Oberpfalz[cite: 22]</t>
  </si>
  <si>
    <t>Historische Ansicht von Bad Brückenau mit Kurhaus und Kursaal, gelaufen 1908</t>
  </si>
  <si>
    <t>Altersübliche Patina, Ecken leicht bestoßen, Stempelabdruck vorderseitig leicht sichtbar</t>
  </si>
  <si>
    <t>AK-2026-0425</t>
  </si>
  <si>
    <t>Andenken! (Haus mit Vorgarten und Personen, handschriftlich beschriftet)</t>
  </si>
  <si>
    <t>Unbekannter Verlag (Privatmotiv / Hausfotografie)</t>
  </si>
  <si>
    <t>Bayern / Oberpfalz (Heimatmotiv)</t>
  </si>
  <si>
    <t>Andenken / Wohnhaus / Familie / Ortsansicht / Historische Fotografie / Kurrentschrift</t>
  </si>
  <si>
    <t>Historische Foto-Ansichtskarte / Andenkenkarte mit handschriftlicher Widmung von Joseph u. Marie Sauerer geb. Vogl[cite: 22]</t>
  </si>
  <si>
    <t>Historische Foto-Ansichtskarte als Andenken mit Darstellung eines Wohnhauses und Personen, beschriftet von Familie Sauerer/Vogl</t>
  </si>
  <si>
    <t>Stärkere Abriebspuren an den Kanten, Ecken bestoßen, ungelaufen (Echtfoto-Charakter)</t>
  </si>
  <si>
    <t>AK-2026-0424</t>
  </si>
  <si>
    <t>Schloss Parsberg, Bayrische Oberpfalz</t>
  </si>
  <si>
    <t>Deutsche Burgen lit. von Prof. Hans Rud. Schulze (Nr. 173)</t>
  </si>
  <si>
    <t>Parsberg / Schloss / Oberpfalz / Burgen / Architektur / Historische Ansicht</t>
  </si>
  <si>
    <t>Ungelaufene historische Ansichtskarte von Schloss Parsberg nach einer lithografischen Vorlage von Prof. Hans Rudolf Schulze</t>
  </si>
  <si>
    <t>Historische Ansicht von Schloss Parsberg in der Oberpfalz aus der Serie deutscher Burgen</t>
  </si>
  <si>
    <t>Guter Zustand, ungelaufen, Ecken leicht bestoßen</t>
  </si>
  <si>
    <t>AK-2026-0426</t>
  </si>
  <si>
    <t>Feldkirchen bei Westerham mit Wendelstein (1839 m)</t>
  </si>
  <si>
    <t>R. Zerle, München (Nr. 14225)</t>
  </si>
  <si>
    <t>Feldkirchen-Westerham / Landkreis Rosenheim / Oberbayern / Bayern</t>
  </si>
  <si>
    <t>Feldkirchen / Westerham / Wendelstein / Alpen / Bergpanorama / Kirche</t>
  </si>
  <si>
    <t>Ungelaufene historische Ansichtskarte von Feldkirchen bei Westerham mit Blick auf den Wendelstein</t>
  </si>
  <si>
    <t>Ortsansicht von Feldkirchen bei Westerham mit Alpenpanorama des Wendelsteins, verlegt bei R. Zerle München</t>
  </si>
  <si>
    <t>Leichte altersbedingte Vergilbung, ungelaufen, Ecken minimal bestoßen</t>
  </si>
  <si>
    <t>AK-2026-0427</t>
  </si>
  <si>
    <t>Bayer. Wald. Kreuzfelsen (1001 m) mit weithin sichtbarem Kreuz auf dem Kaitersberge</t>
  </si>
  <si>
    <t>Riba Karte Nr. 2481 / Echt Kupfer-Tiefdruck</t>
  </si>
  <si>
    <t>Kaitersberg / Kreuzfelsen / Bayerischer Wald / Gipfelkreuz / Felsen / Kupfer-Tiefdruck</t>
  </si>
  <si>
    <t>Ungelaufene historische Ansichtskarte vom Kreuzfelsen am Kaitersberg im Bayerischen Wald, echter Kupfer-Tiefdruck mit historischem Stempel-Aufdruck</t>
  </si>
  <si>
    <t>Ansicht des Kreuzfelsens (1001 m) auf dem Kaitersberg im Bayerischen Wald, Riba-Karten Kupfer-Tiefdruck Nr. 2481</t>
  </si>
  <si>
    <t>Guter Zustand, ungelaufen, rückseitig mit Werbe-Stempelabdruck der Kötztinger Hütte</t>
  </si>
  <si>
    <t>AK-2026-0428</t>
  </si>
  <si>
    <t>Spitzingsee gegen Taubenberg im Winter[cite: 22]</t>
  </si>
  <si>
    <t>Photogr. u. Verlag A. Fitzenberger, Schliersee / Obb. (Nr. 3916)[cite: 22]</t>
  </si>
  <si>
    <t>Spitzingsee / Taubenberg / Oberbayern / Bayern</t>
  </si>
  <si>
    <t>Spitzingsee / Taubenberg / Winter / Alpen / Schneelandschaft / Hotel Postillion</t>
  </si>
  <si>
    <t>Gelaufene historische Winter-Ansichtskarte vom Spitzingsee gegen den Taubenberg, mit Deutsches-Reich-Briefmarke und Stempel vom 13.06.1944[cite: 22]</t>
  </si>
  <si>
    <t>An Familie Joseph Sauerer, Gend.-Oberkommissar a.D., Lüpburg / Opf.[cite: 22]</t>
  </si>
  <si>
    <t>Historische Winteransicht des Postillion am Spitzingsee mit Blick zum Taubenberg, gelaufen 1944</t>
  </si>
  <si>
    <t>Altersbedingte Patina, Stempelabdruck vorderseitig leicht sichtbar, Ecken minimal bestoßen</t>
  </si>
  <si>
    <t>AK-2026-0429</t>
  </si>
  <si>
    <t>Maximiliansgrotte (3 km vom Bahnhof Neuhaus / Pegnitz entfernt) - Eisberg (größter Tropfstein Deutschlands)[cite: 22]</t>
  </si>
  <si>
    <t>Oberfränkischer Ansichtskartenverlag Bayreuth (Nr. 230/22)[cite: 22]</t>
  </si>
  <si>
    <t>Neuhaus an der Pegnitz / Oberfranken / Bayern</t>
  </si>
  <si>
    <t>Maximiliansgrotte / Eisberg / Tropfstein / Höhle / Fränkische Schweiz / Geologie</t>
  </si>
  <si>
    <t>Ungelaufene historische Ansichtskarte vom Inneren der Maximiliansgrotte (Eisberg / Tropfstein) bei Neuhaus an der Pegnitz</t>
  </si>
  <si>
    <t>Ansicht des Tropfsteins "Eisberg" in der Maximiliansgrotte bei Neuhaus an der Pegnitz, Oberfranken</t>
  </si>
  <si>
    <t>Guter Zustand, ungelaufen, Ecken und Kanten sauber</t>
  </si>
  <si>
    <t>AK-2026-0430</t>
  </si>
  <si>
    <t>Kloster Scheyern (Oberbayern) - Gesamtansicht mit Klosterkirche[cite: 22]</t>
  </si>
  <si>
    <t>Photogr. Verlag Gg. Reischl, Moosburg / Obb.[cite: 22]</t>
  </si>
  <si>
    <t>Scheyern / Landkreis Pfaffenhofen an der Ilm / Oberbayern / Bayern</t>
  </si>
  <si>
    <t>Kloster Scheyern / Kloster / Kirche / Architektur / Oberbayern</t>
  </si>
  <si>
    <t>Gelaufene historische Ansichtskarte von Kloster Scheyern in Oberbayern, mit Hindenburg-Briefmarke und Stempel</t>
  </si>
  <si>
    <t>An Fräulein Gabriele Sauerer, Lüpburg b. Parsberg / Opf.[cite: 22]</t>
  </si>
  <si>
    <t>Historische Gesamtansicht des Klosters Scheyern in Oberbayern, gelaufen mit handschriftlicher Grußbotschaft an Gabriele Sauerer</t>
  </si>
  <si>
    <t>Altersübliche Vergilbung, Stempelabdruck, Kanten leicht bestoßen</t>
  </si>
  <si>
    <t>AK-2026-0431</t>
  </si>
  <si>
    <t>Ypern, La Gendarmerie (Salles des Échevins)</t>
  </si>
  <si>
    <t>Unbekannter Verlag (Französischer Text auf Rückseite)</t>
  </si>
  <si>
    <t>Ypern / Westflandern / Belgien</t>
  </si>
  <si>
    <t>Ypern / Gendarmerie / Salles des Échevins / Historische Architektur / Belgien</t>
  </si>
  <si>
    <t>Gelaufene historische Ansichtskarte von Ypern (La Gendarmerie / Salles des Échevins) mit Militär-Feldpoststempel des 1. bayerischen Fußartillerie-Regiments von 1916</t>
  </si>
  <si>
    <t>An Fräulein Babet Harrer in Hirschaid bei Bamberg, Oberfranken</t>
  </si>
  <si>
    <t>Historische Ansicht aus Ypern in Belgien mit militärischem Feldpoststempel aus dem Ersten Weltkrieg (1916)</t>
  </si>
  <si>
    <t>Altersbedingte Patina, Kanten minimal bestoßen, gelaufen</t>
  </si>
  <si>
    <t>AK-2026-0432</t>
  </si>
  <si>
    <t>Nürnberg, Frauenkirche Inneres</t>
  </si>
  <si>
    <t>Verlag und Foto von Karl Herzich, München, Photobromdruckserie</t>
  </si>
  <si>
    <t>Nürnberg / Frauenkirche / Inneres / Hauptmarkt / Kirche / Gotik</t>
  </si>
  <si>
    <t>Gelaufene historische Bromdruck-Ansichtskarte vom Inneren der Nürnberger Frauenkirche, mit Deutsches-Reich-Briefmarke und Stempel</t>
  </si>
  <si>
    <t>An Frau Oberkommissar Sauerer in Parsberg, Oberpfalz</t>
  </si>
  <si>
    <t>Historischer Photobromdruck des Innenraums der Frauenkirche in Nürnberg mit gotischem Gewölbe</t>
  </si>
  <si>
    <t>Altersbedingte Vergilbung, Kanten und Ecken leicht bestoßen, gelaufen</t>
  </si>
  <si>
    <t>AK-2026-0433</t>
  </si>
  <si>
    <t>Gasthof Felsburg Hohenstein (Burg Hohenstein, modernes Fremdenzimmer)</t>
  </si>
  <si>
    <t>Aufnahme und Verlag: Foto-Willy Müller, Hersbruck (Proger Straße 15)</t>
  </si>
  <si>
    <t>Hohenstein / Altdorf bei Nürnberg / Landkreis Nürnberger Land / Bayern</t>
  </si>
  <si>
    <t>Hohenstein / Burg Hohenstein / Gasthof Felsburg / Fränkische Schweiz / Gastronomie / Mehrbildkarte</t>
  </si>
  <si>
    <t>Ungelaufene historische Mehrbild-Ansichtskarte vom Gasthof Felsburg und der Burg Hohenstein (Fränkische Schweiz)</t>
  </si>
  <si>
    <t>Mehrbild-Ansichtskarte vom Gasthof Felsburg und Burg Hohenstein in der Fränkischen Schweiz, verlegt bei Willy Müller Hersbruck</t>
  </si>
  <si>
    <t>Sehr guter Zustand, ungelaufen, scharfe Kanten und Ecken</t>
  </si>
  <si>
    <t>AK-2026-0434</t>
  </si>
  <si>
    <t>Oberammergau - Total m. Kofel u. Notin (Nr. 1180)</t>
  </si>
  <si>
    <t>Phot. W. Pflingstl, Ansichtskartenverlag, Oberammergau (Nr. 4133)[cite: 22]</t>
  </si>
  <si>
    <t>Oberammergau / Ammergauer Alpen / Oberbayern / Bayern[cite: 22]</t>
  </si>
  <si>
    <t>Oberammergau / Kofel / Notin / Alpen / Panorama / Talansicht[cite: 22]</t>
  </si>
  <si>
    <t>Gelaufene historische Ansichtskarte von Oberammergau mit Blick auf Kofel und Notin, Stempel von 1913[cite: 22]</t>
  </si>
  <si>
    <t>Ja[cite: 22]</t>
  </si>
  <si>
    <t>An Frl. Genzi Hofmann in Erbensberg b. Regensburg[cite: 22]</t>
  </si>
  <si>
    <t>Historische Panorama-Ansicht von Oberammergau mit Kofel, verlegt bei W. Pflingstl[cite: 22]</t>
  </si>
  <si>
    <t>Altersbedingte Patina, Kanten leicht bestoßen, gelaufen[cite: 22]</t>
  </si>
  <si>
    <t>AK-2026-0435</t>
  </si>
  <si>
    <t>Gruss aus Schnofenhofen (Ortsschirmen mit Bergl's Gasthaus)</t>
  </si>
  <si>
    <t>Verlag von J. Vogl, Neumarkt OOpf.</t>
  </si>
  <si>
    <t>Schnufenhofen / Parsberg / Oberpfalz / Bayern</t>
  </si>
  <si>
    <t>Schnufenhofen / Bergl's Gasthaus / Kirche / Lithografie / Gruss aus / Mehrbildkarte</t>
  </si>
  <si>
    <t>Gelaufene lithografische Gruss-aus-Ansichtskarte von Schnofenhofen mit Kirche und Gasthaus, mit Briefmarke und Stempel von 1909</t>
  </si>
  <si>
    <t>An Frl. Marie Vogl, Pofling bei Lupburg f. Parsberg, Oberpfalz</t>
  </si>
  <si>
    <t>Historische Lithografie-Mehrbildkarte "Gruss aus Schnofenhofen" in der Oberpfalz, verlegt bei J. Vogl Neumarkt</t>
  </si>
  <si>
    <t>Altersübliche Vergilbung, Kanten berieben, Stempelabdruck, gelaufen</t>
  </si>
  <si>
    <t>AK-2026-0436</t>
  </si>
  <si>
    <t>Kirchberg a. J. (Kirchberg an der Jagst)</t>
  </si>
  <si>
    <t>Fotovariante, H. Burg, Tuttlingen (Nr. 01025)</t>
  </si>
  <si>
    <t>Kirchberg an der Jagst / Landkreis Schwäbisch Hall / Baden-Württemberg</t>
  </si>
  <si>
    <t>Kirchberg an der Jagst / Schloss / Brücke / Architektur / Flusslandschaft</t>
  </si>
  <si>
    <t>Ungelaufene historische Ansichtskarte von Kirchberg an der Jagst mit Schloss und Brücke über den Fluss</t>
  </si>
  <si>
    <t>Historische Ansicht von Kirchberg an der Jagst mit dem markanten Schloss auf dem Felsen und der Brücke</t>
  </si>
  <si>
    <t>Guter Zustand, ungelaufen, Ecken minimal bestoßen</t>
  </si>
  <si>
    <t>AK-2026-0437</t>
  </si>
  <si>
    <t>Herz. Gruß vom Kgl. bay. 2. Infanterie-Regt. Kronprinz, 1. Komp. (1912-1914) - Gruß sendet: Ludwig Pföß, Parol 201, Tägerls.</t>
  </si>
  <si>
    <t>Unbekannter Verlag (Militärischer Glückwunsch)</t>
  </si>
  <si>
    <t>München / 2. Infanterie-Regt. Kronprinz / Militär / Stickmuster-Optik / Kasernenansicht / 1912</t>
  </si>
  <si>
    <t>Gelaufene militärische Glückwunschkarte des Kgl. bay. 2. Infanterie-Regiments Kronprinz, gestempelt München 1914</t>
  </si>
  <si>
    <t>An Fräulein Marie Vogler in Lupburg b. Parsberg, Oberpfalz</t>
  </si>
  <si>
    <t>Historische militärische Ansichtskarte mit Crown-Emblem und Aufdruck des 2. bayerischen Infanterie-Regiments aus München</t>
  </si>
  <si>
    <t>Altersbedingte Patina, Kanten leicht bestoßen, gelaufen</t>
  </si>
  <si>
    <t>AK-2026-0438</t>
  </si>
  <si>
    <t>Maria Eck mit Hochfelln (Nr. 1007)</t>
  </si>
  <si>
    <t>Aufn. u. Verlag: G. Grafiner, Traunstein Obb. (Echte Fotografie)</t>
  </si>
  <si>
    <t>Maria Eck / Bergen / Landkreis Traunstein / Oberbayern / Bayern</t>
  </si>
  <si>
    <t>Maria Eck / Kloster Maria Eck / Hochfelln / Chiemgau / Alpen / Kirche / Echte Photographie</t>
  </si>
  <si>
    <t>Ungelaufene echte Foto-Ansichtskarte vom Kloster Maria Eck mit dem Hochfelln im Chiemgau</t>
  </si>
  <si>
    <t>Echte Foto-Ansichtskarte von Maria Eck und dem Hochfelln in den Chiemgauer Alpen, verlegt bei G. Grafiner Traunstein</t>
  </si>
  <si>
    <t>Sehr guter Zustand, ungelaufen, scharfe Kanten</t>
  </si>
  <si>
    <t>AK-2026-0439</t>
  </si>
  <si>
    <t>Historische Marktszenerie mit Marktständen und historischem Gebäude (Echt Photo ESB 3)</t>
  </si>
  <si>
    <t>Hersteller: Bromsilberdruckanstalt H. Lippert, München 25; Aufnahme: Harold Tschernich</t>
  </si>
  <si>
    <t>Unbekannt (Bayern / Süddeutschland)</t>
  </si>
  <si>
    <t>Ortsansicht / Marktplatz / Marktstände / Historische Gebäude / Fachwerkhäuser / Echte Photographie</t>
  </si>
  <si>
    <t>Ungelaufene echte Foto-Ansichtskarte einer historischen Marktszenerie mit Marktständen und Fachwerkhäusern</t>
  </si>
  <si>
    <t>Echter Bromsilberdruck einer historischen Marktszenerie mit Marktständen vor alten Giebelhäusern, Aufnahme von Harold Tschernich</t>
  </si>
  <si>
    <t>Sehr guter Zustand, ungelaufen, makellos</t>
  </si>
  <si>
    <t>AK-2026-0440</t>
  </si>
  <si>
    <t>AK-2026-0441</t>
  </si>
  <si>
    <t>AK-2026-0442</t>
  </si>
  <si>
    <t>Karl Münpol, Bäckerei, Zenting</t>
  </si>
  <si>
    <t>Zenting / Bayerischer Wald / Ortsansicht / Kirche / Natur / Niederbayern</t>
  </si>
  <si>
    <t>Ungelaufene historische Ansichtskarte von Zenting im Bayerischen Wald, verlegt bei Karl Münpol Bäckerei</t>
  </si>
  <si>
    <t>Ortsansicht von Zenting im Bayerischen Wald mit Kirche und umgebender Mittelgebirgslandschaft</t>
  </si>
  <si>
    <t>Gruß aus Hofheim Ufr. (Mehrbildkarte: Hofheim-Siedlung, Am Kapellentor, Apotheke, Lendershäuser Tor, Großmannsdorfer Tor)</t>
  </si>
  <si>
    <t>Josef Holl, Hofheim Ufr. (Best.-Nr. U 716)</t>
  </si>
  <si>
    <t>Hofheim in Unterfranken / Unterfranken / Tore / Ansichten / Mehrbildkarte / Gruß aus</t>
  </si>
  <si>
    <t>Gelaufene historische Mehrbild-Ansichtskarte "Gruß aus Hofheim Ufr." mit Briefmarke der Bundespost und Stempel</t>
  </si>
  <si>
    <t>1958-09-00</t>
  </si>
  <si>
    <t>An Maria Beer in Seubersdorf 143 über Parsberg (Oberpfalz)</t>
  </si>
  <si>
    <t>Historische Mehrbildkarte von Hofheim in Unterfranken mit verschiedenen Toren und Ortsansichten, gelaufen in die Oberpfalz</t>
  </si>
  <si>
    <t>Gruß aus Regensburg a. d. Donau (Mehrbildkarte: Steinerne Brücke, Dom St. Peter, Salzstadel, Universität, Walhalla, Befreiungshalle)</t>
  </si>
  <si>
    <t>Kunstverlag Donnerlein-Liedl, 84 Regensburg, Claudiusstr. 12 (Best.-Nr. RO 58)</t>
  </si>
  <si>
    <t>Regensburg / Donau / Dom / Steinerne Brücke / Walhalla / Befreiungshalle / Mehrbildkarte</t>
  </si>
  <si>
    <t>Ungelaufene historische Mehrbild-Ansichtskarte von Regensburg und Umgebung (Donau-Städte Deutschlands)</t>
  </si>
  <si>
    <t>Farbige Mehrbild-Ansichtskarte von Regensburg mit den wichtigsten Sehenswürdigkeiten wie Dom, Steinerner Brücke und Walhalla</t>
  </si>
  <si>
    <t>Zenting / Bayerischer Wald / Niederbayern / Bayern</t>
  </si>
  <si>
    <t>Hofheim in Unterfranken / Unterfranken / Bayern</t>
  </si>
  <si>
    <t>AK-2026-0443</t>
  </si>
  <si>
    <t>AK-2026-0444</t>
  </si>
  <si>
    <t>Miltenberg a. M. - Häuser am Wochenmarkt</t>
  </si>
  <si>
    <t>M. Masson, Miltenberg a. M. (Best.-Nr. B 38)</t>
  </si>
  <si>
    <t>Miltenberg / Landkreis Miltenberg / Unterfranken / Bayern</t>
  </si>
  <si>
    <t>Miltenberg / Main / Häuser am Wochenmarkt / Architektur / Fachwerkhäuser</t>
  </si>
  <si>
    <t>Ungelaufene historische Ansichtskarte von Miltenberg am Main mit den charakteristischen Häusern am Wochenmarkt</t>
  </si>
  <si>
    <t>Historische Ansicht der historischen Fachwerkhäuser am Wochenmarkt in Miltenberg am Main, verlegt bei M. Masson</t>
  </si>
  <si>
    <t>AK-2026-0445</t>
  </si>
  <si>
    <t>München - Karlsplatz-Rondell</t>
  </si>
  <si>
    <t>P. &amp; C., München, Phototypiekarte Nr. 2077</t>
  </si>
  <si>
    <t>München / Karlsplatz / Stachus / Rondell / Stadtansicht / Historischer Verkehr</t>
  </si>
  <si>
    <t>Gelaufene historische Ansichtskarte vom Karlsplatz-Rondell in München (Stachus) mit historischem Straßenverkehr und Trams, Stempel von Stadtamhof 1909</t>
  </si>
  <si>
    <t>[Anschrift unvollständig bzw. undeutlich]</t>
  </si>
  <si>
    <t>Historische Ansicht des Karlsplatz-Rondells (Stachus) in München mit regem Verkehr, gelaufen 1909 mit Stempel Stadtamhof</t>
  </si>
  <si>
    <t>AK-2026-0446</t>
  </si>
  <si>
    <t>Rosenheim (mit Blick auf Alpen)</t>
  </si>
  <si>
    <t>Gebr. Metz, Kunstanstalt, Tübingen (Nr. 382/139 RA)</t>
  </si>
  <si>
    <t>Rosenheim / Oberbayern / Bayern</t>
  </si>
  <si>
    <t>Rosenheim / Inn-Salzach / Alpen / Stadtansicht / Panorama</t>
  </si>
  <si>
    <t>Ungelaufene historische Ansichtskarte von Rosenheim mit Blick auf die Alpenkette, verlegt bei Gebr. Metz Tübingen</t>
  </si>
  <si>
    <t>Historische Panorama-Ansicht von Rosenheim vor alpiner Kulisse, verlegt bei Gebr. Metz Tübingen</t>
  </si>
  <si>
    <t>AK-2026-0447</t>
  </si>
  <si>
    <t>Schloß Parsberg (Bayerische Oberpfalz, erbaut im 13. Jahrh., seit 1730 dem gleichnamigen Adelsgeschlecht gehörig, jetzt Stadteigentum) (Nr. 173)</t>
  </si>
  <si>
    <t>Deutsche Burgen II.6 von Prof. Hans Rud. Schulze</t>
  </si>
  <si>
    <t>Parsberg / Landkreis Neumarkt in der Oberpfalz / Oberpfalz / Bayern</t>
  </si>
  <si>
    <t>Parsberg / Schloss Parsberg / Oberpfalz / Deutsche Burgen / Architektur / Historische Gebäude</t>
  </si>
  <si>
    <t>Ungelaufene historische Architektur- und Burgen-Ansichtskarte von Schloss Parsberg in der Oberpfalz aus der Serie von Prof. Hans Rud. Schulze</t>
  </si>
  <si>
    <t>Historische Karte von Schloss Parsberg in der Oberpfalz aus der renommierten Reihe „Deutsche Burgen“</t>
  </si>
  <si>
    <t>AK-2026-0448</t>
  </si>
  <si>
    <t>Kloster Ettal (Kupfertiefdruck-Karte Nr. 81. 233. 29)</t>
  </si>
  <si>
    <t>Orig. H. Sting, Tübingen</t>
  </si>
  <si>
    <t>Ettal / Landkreis Garmisch-Partenkirchen / Oberbayern / Bayern</t>
  </si>
  <si>
    <t>Ettal / Kloster Ettal / Alpen / Ammergau / Kupfertiefdruck / Klosteranlage</t>
  </si>
  <si>
    <t>Ungelaufene historische Kupfertiefdruck-Ansichtskarte von Kloster Ettal in den oberbayerischen Alpen, verlegt bei H. Sting Tübingen</t>
  </si>
  <si>
    <t>Hochwertiger Kupfertiefdruck mit einer Ansicht von Kloster Ettal vor der alpinen Kulisse der Ammergauer Alpen</t>
  </si>
  <si>
    <t>AK-2026-0449</t>
  </si>
  <si>
    <t>AK-2026-0450</t>
  </si>
  <si>
    <t>AK-2026-0451</t>
  </si>
  <si>
    <t>An Herr Otto Raithel c/o H. Karfen &amp; Co. in London E.C., 35-37 Noble Street</t>
  </si>
  <si>
    <t>An Hochwürden Herrn A. Windhager, dgl. Pfarrer in Wiesenfelden p. Straubing</t>
  </si>
  <si>
    <t>An Fräulein Martha Mayer in Nürnberg</t>
  </si>
  <si>
    <t>Königreich Bayern Postkarte (Luitpold-Porträt im Medaillon mit Kindern und Jahreszahl 1911, Verlag Oscar Köhler, München)</t>
  </si>
  <si>
    <t>Oscar Köhler, München (Verlag)</t>
  </si>
  <si>
    <t>München / Luitpold von Bayern / Monarchie / Jubiläumskarte / Postkarte Königreich Bayern</t>
  </si>
  <si>
    <t>Gelaufene historische Postkarte aus dem Königreich Bayern mit Luitpold-Porträt und Auslands-Postlauf nach London, England</t>
  </si>
  <si>
    <t>Historische Regenten-Postkarte von Prinzregent Luitpold mit reizvollem Auslandsstempel nach London, England</t>
  </si>
  <si>
    <t>Altersbedingte Patina, Ecken leicht bestoßen, gelaufen</t>
  </si>
  <si>
    <t>Burghausen (Verlag G. Barbarino, Oberaudorf, Best.-Nr. 1361)</t>
  </si>
  <si>
    <t>Verlag von G. Barbarino, Oberaudorf</t>
  </si>
  <si>
    <t>Burghausen / Landkreis Burghausen / Oberbayern / Bayern</t>
  </si>
  <si>
    <t>Burghausen / Salzach / Burg / Stadtansicht / Oberbayern</t>
  </si>
  <si>
    <t>Gelaufene historische Ansichtskarte von Burghausen mit Blick auf die Burganlage und den Fluss, mit Stempel von Wiesenfelden 1901</t>
  </si>
  <si>
    <t>Historische Ansichtskarte von Burghausen an der Salzach mit der längsten Burg der Welt, gelaufen 1901</t>
  </si>
  <si>
    <t>München - Kgl. Kriegsschule (Historische Ansicht mit verziertem Jugendstil-Rahmen und bayerischem Wappen)</t>
  </si>
  <si>
    <t>München / Kgl. Kriegsschule / Militär / Jugendstil / Wappen / Architektur</t>
  </si>
  <si>
    <t>Gelaufene historische Militär-Ansichtskarte der Königlichen Kriegsschule in München mit prächtiger Jugendstil-Rahmung und Stempel von 1905</t>
  </si>
  <si>
    <t>Historische Ansichtskarte der Königlichen Kriegsschule München in dekorativer Jugendstil-Umrandung, gelaufen 1905</t>
  </si>
  <si>
    <t>AK-2026-0452</t>
  </si>
  <si>
    <t>Neumarkt i. Opf. - Karmelitenkloster Mariahilfberg (Entwurf Karl Frank, Architekt, Regensburg)</t>
  </si>
  <si>
    <t>Verlag des Klosters Mariahilfberg / A/s, Regensburg, Weissenburgstr. 20 (F. Vogt, Neumarkt)</t>
  </si>
  <si>
    <t>Neumarkt in der Oberpfalz / Landkreis Neumarkt in der Oberpfalz / Oberpfalz / Bayern</t>
  </si>
  <si>
    <t>Neumarkt i. Opf. / Mariahilfberg / Karmelitenkloster / Architektur / Kirche / Oberpfalz</t>
  </si>
  <si>
    <t>Gelaufene historische Ansichtskarte vom Karmelitenkloster Mariahilfberg in Neumarkt i. Opf., gelaufen 1907 nach Lupburg mit Bayern-Briefmarke und klarem Stempel</t>
  </si>
  <si>
    <t>An Frl. Mary Vogt Wohlgeboren in Lupburg / Oberpfalz</t>
  </si>
  <si>
    <t>Historische Ansichtskarte des Karmelitenklosters Mariahilfberg in Neumarkt in der Oberpfalz, gelaufen 1907 nach Lupburg</t>
  </si>
  <si>
    <t>Altersübliche Patina, Ecken leicht bestoßen, Stempelabdruck, gelaufen</t>
  </si>
  <si>
    <t>AK-2026-0453</t>
  </si>
  <si>
    <t>Hirschau / Opf. - Sommerskiparadies Monte Kaolino (Mehrbildkarte: Freibad mit Monte Kaolino, Talstation am Monte Kaolino, Campingplatz, Parkplatz)</t>
  </si>
  <si>
    <t>Oberpfälzer Ansichtskartenverlag Bayreuth (Kiosk am Monte Kaolino H. Dobmeyer, Hirschau / Opf.)</t>
  </si>
  <si>
    <t>Hirschau / Landkreis Amberg-Sulzbach / Oberpfalz / Bayern</t>
  </si>
  <si>
    <t>Hirschau / Monte Kaolino / Sommerskiparadies / Mehrbildkarte / Quarzsand / Oberpfalz</t>
  </si>
  <si>
    <t>Ungelaufene historische Mehrbild-Ansichtskarte vom Sommerskiparadies Monte Kaolino in Hirschau (Oberpfalz) mit seltenem Sonderstempel-Logo im Bild</t>
  </si>
  <si>
    <t>Attraktive Mehrbild-Ansichtskarte vom bekannten Quarzsand-Berg Monte Kaolino in Hirschau mit Freizeit- und Sportmotiven</t>
  </si>
  <si>
    <t>Guter Zustand, ungelaufen, Kanten minimal bestoßen</t>
  </si>
  <si>
    <t>AK-2026-0454</t>
  </si>
  <si>
    <t>Ensdorf / Oberpfalz (Mehrbildkarte mit Kapelle, Kirche, Brücke mit Wasservögeln, Straßenansicht und Wegekreuz)</t>
  </si>
  <si>
    <t>kelly-druck GmbH, 93326 Abensberg</t>
  </si>
  <si>
    <t>Ensdorf / Landkreis Amberg-Sulzbach / Oberpfalz / Bayern</t>
  </si>
  <si>
    <t>Ensdorf / Vilstal / Oberpfalz / Mehrbildkarte / Kirche / Ortsansicht</t>
  </si>
  <si>
    <t>Ungelaufene moderne, hochwertige Mehrbild-Farbansichtskarte aus Ensdorf in der Oberpfalz (Vilstal)</t>
  </si>
  <si>
    <t>Farbige Mehrbild-Ansichtskarte von Ensdorf im Vilstal mit typischen Ortsmotiven, Brücke und sakralen Bauten</t>
  </si>
  <si>
    <t>Sehr guter Zustand, ungelaufen, scharfe Ecken</t>
  </si>
  <si>
    <t>AK-2026-0455</t>
  </si>
  <si>
    <t>Burglengenfeld (Echte Photographie, Ansicht der Burg)</t>
  </si>
  <si>
    <t>Verlag G. Nussstein, Burglengenfeld</t>
  </si>
  <si>
    <t>Burglengenfeld / Landkreis Schwandorf / Oberpfalz / Bayern</t>
  </si>
  <si>
    <t>Burglengenfeld / Burg / Oberpfalz / Echte Photographie / Ortsansicht</t>
  </si>
  <si>
    <t>Gelaufene historische Echtfotokarte von Burglengenfeld mit Blick auf die Burg, mit Deutsches-Reich-Briefmarke und klarem Stempel von Burglengenfeld 1941</t>
  </si>
  <si>
    <t>An Maria Bauer in Lupburg bei Parsberg</t>
  </si>
  <si>
    <t>Historische Echtfotokarte von Burglengenfeld in der Oberpfalz mit Burgansicht, gelaufen im November 1941</t>
  </si>
  <si>
    <t>Altersbedingte Patina, Kanten leicht bestoßen, Stempelabdruck, gelaufen</t>
  </si>
  <si>
    <t>AK-2026-0456</t>
  </si>
  <si>
    <t>Gruß aus Regensburg (Mehrbildkarte: Steinerne Brücke, Dom St. Peter, Altes Rathaus, Salzstadel mit Wellenschnitt-Büttenrand)</t>
  </si>
  <si>
    <t>Regensburg / Dom / Steinerne Brücke / Altes Rathaus / Mehrbildkarte / Büttenrand</t>
  </si>
  <si>
    <t>Ungelaufene historische Mehrbild-Farbansichtskarte von Regensburg mit Schmuck-Wellenschnitt-Rand</t>
  </si>
  <si>
    <t>Dekorative, ungelaufene Mehrbildkarte von Regensburg mit den wichtigsten Sehenswürdigkeiten und historischem Wellenschnitt-Rand</t>
  </si>
  <si>
    <t>Guter Zustand, ungelaufen, Kanten im originalen Wellenschnitt</t>
  </si>
  <si>
    <t>AK-2026-0457</t>
  </si>
  <si>
    <t>Gruß aus München (Mehrbildkarte mit Isarpark, Frauenkirche, Ludwigstraße, Feldherrnhalle, Neues Rathaus, Altes Hofbräuhaus, Ruhmeshalle, Schloss Nymphenburg und Stadtwappen)</t>
  </si>
  <si>
    <t>AK-2026-0458</t>
  </si>
  <si>
    <t>Café - Restaurant M. Grosshauser, 8431 Seubersdorf / Opf. (Werbekarte mit Kirche, Gebäude des Cafés/Restaurants und Innenansicht des Gastraums)</t>
  </si>
  <si>
    <t>Foto-Verlag Manfred Hockauf, München 23 (Ludwigstraße 43)</t>
  </si>
  <si>
    <t>München / Mehrbildkarte / Sehenswürdigkeiten / Frauenkirche / Rathaus / Oberbayern</t>
  </si>
  <si>
    <t>Gelaufene historische Mehrbild-Ansichtskarte von München mit zahlreichen berühmten Stadtmotiven, gelaufen 1955 mit Bundespost-Briefmarke nach Lupburg</t>
  </si>
  <si>
    <t>An Familie Josef Saurer, Gend. Oberk. i. R. (132) Lupburg Opf. b. Parsberg</t>
  </si>
  <si>
    <t>Schöne Mehrbildkarte der bayerischen Landeshauptstadt München aus den 1950er Jahren mit Poststempel nach Lupburg</t>
  </si>
  <si>
    <t>Aufnahme u. Verlag Photo-Braun, 8451 Lupburg/Oberpf.</t>
  </si>
  <si>
    <t>Seubersdorf / Landkreis Neumarkt in der Oberpfalz / Oberpfalz / Bayern</t>
  </si>
  <si>
    <t>Seubersdorf / Oberpfalz / Café Grosshauser / Gastronomie / Reklamekarte / Mehrbildkarte</t>
  </si>
  <si>
    <t>Gelaufene historische Werbe-Mehrbildkarte vom Café-Restaurant M. Grosshauser in Seubersdorf (Oberpfalz), gelaufen mit Bundespost-Briefmarke</t>
  </si>
  <si>
    <t>Nachkriegszeit (ca. 1950er/1960er)</t>
  </si>
  <si>
    <t>An Frau Adelheid Höfner in Hofheim / Karlsbaderstr. 284</t>
  </si>
  <si>
    <t>Heimatgeschichtlich interessante Gastronomie-Werbekarte aus Seubersdorf in der Oberpfalz mit Innen- und Außenansichten</t>
  </si>
  <si>
    <t>Altersübliche Vergilbung, Kanten berieben, gelaufen</t>
  </si>
  <si>
    <t>AK-2026-0459</t>
  </si>
  <si>
    <t>Gruß aus Bad-Tölz! (Leporello-Panorama-Doppelkarte mit weitläufiger Ansicht von Stadt und Isar, Verlag Anton Gattil, Tölz, No. 377)</t>
  </si>
  <si>
    <t>Verlag von Anton Gattil, Tölz</t>
  </si>
  <si>
    <t>Bad-Tölz / Landkreis Bad Tölz-Wolfratshausen / Oberbayern / Bayern</t>
  </si>
  <si>
    <t>Bad-Tölz / Isar / Alpen / Leporello / Panorama / Klappkarte / Oberbayern</t>
  </si>
  <si>
    <t>Gelaufene historische Leporello-Panorama-Ansichtskarte von Bad-Tölz, postalisch gelaufen als Drucksache mit Stempel von Bad-Tölz nach Ottitersdorf</t>
  </si>
  <si>
    <t>1900er Jahre</t>
  </si>
  <si>
    <t>An Herrn Otto Raithel (bei Herrn Rapor W. Haller) in Ottitersdorf p. Fohle(y)z (Bay. Rs.)</t>
  </si>
  <si>
    <t>Spezielle Leporello-Klappkarte als langes Stadt- und Alpenpanorama von Bad-Tölz, gelaufen als Drucksache</t>
  </si>
  <si>
    <t>Altersbedingte Patina, Knickfalte im Leporello-Format naturgemäß vorhanden, Kanten leicht bestoßen, gelaufen</t>
  </si>
  <si>
    <t>AK-2026-0460</t>
  </si>
  <si>
    <t>Iphofen - Mauerpartie (Historischer Wehrturm/Stadtmauer)</t>
  </si>
  <si>
    <t>Verlag Adolf Stöhr, Iphofen</t>
  </si>
  <si>
    <t>Iphofen / Landkreis Kitzingen / Unterfranken / Bayern</t>
  </si>
  <si>
    <t>Iphofen / Stadtmauer / Wehrturm / Unterfranken / Ortsansicht</t>
  </si>
  <si>
    <t>Gelaufene historische Ansichtskarte von Iphofen mit romantischer Mauerpartie und Wehrturm, mit Stempel von 1931</t>
  </si>
  <si>
    <t>An Frau Pfarrer Müller in Wilhelmsdorf / Post Großbieberau / Bez. Darmstadt</t>
  </si>
  <si>
    <t>Historische Ansichtskarte aus Iphofen in Unterfranken mit historischer Stadtmauer und Wehrturm, gelaufen 1931</t>
  </si>
  <si>
    <t>AK-2026-0461</t>
  </si>
  <si>
    <t>Hans Heiling bei Karlsbad und Elbogen (Romantische Flusslandschaft mit Boot und Felsformationen)</t>
  </si>
  <si>
    <t>Brück &amp; Sohn, Meißen (Best.-Nr. 1100h)</t>
  </si>
  <si>
    <t>Karlsbad / Region Karlsbad / Böhmen / Tschechien (historisch Sudetenland)</t>
  </si>
  <si>
    <t>Hans Heiling / Eger / Karlsbad / Elbogen / Böhmen / Flusslandschaft</t>
  </si>
  <si>
    <t>Ungelaufene historische Farb-Ansichtskarte von Hans Heiling im Egerland / Böhmen mit malerischer Fluss-Bootsfahrt</t>
  </si>
  <si>
    <t>Beliebte historische Ansichtskarte des legendären Ausflugsziels Hans Heiling an der Eger bei Karlsbad und Elbogen</t>
  </si>
  <si>
    <t>AK-2026-0462</t>
  </si>
  <si>
    <t>Saalequelle am Waldstein im Fichtelgebirge (Romantische Waldszene mit Quarzeinfassung, Schild und eingearbeitetem Reh)</t>
  </si>
  <si>
    <t>Kunstanstalt Ottmar Zieher &amp; Co., München (No. 2226)</t>
  </si>
  <si>
    <t>Grünbach / Landkreis Hof / Oberfranken / Bayern</t>
  </si>
  <si>
    <t>Saalequelle / Waldstein / Fichtelgebirge / Oberfranken / Quelle / Natur / Reh</t>
  </si>
  <si>
    <t>Gelaufene historische Natur-Ansichtskarte der Saalequelle am Großen Waldstein im Fichtelgebirge mit bayrischer Briefmarke und Stempel von Weissenstadt 1905</t>
  </si>
  <si>
    <t>An Frau Regina Thomann in Markt Redwitz / evang. Pfarrhaus / Oberfranken</t>
  </si>
  <si>
    <t>Historische Fichtelgebirgs-Ansichtskarte der Saalequelle am Waldstein mit idyllischer Wald- und Tierdarstellung, gelaufen 1905</t>
  </si>
  <si>
    <t>AK-2026-0463</t>
  </si>
  <si>
    <t>Historisches Rathaus mit Mariensäule / Brunnen</t>
  </si>
  <si>
    <t>Foto-Atelier P. Reiß, Wunsiedel i. Fichtelgeb.</t>
  </si>
  <si>
    <t>Wunsiedel / Landkreis Wunsiedel im Fichtelgebirge / Oberfranken / Bayern</t>
  </si>
  <si>
    <t>Wunsiedel / Marktplatz / Rathaus / Mariensäule / Fichtelgebirge</t>
  </si>
  <si>
    <t>Gelaufene historische Ansichtskarte vom Marktplatz in Wunsiedel mit Rathaus und Brunnen, gelaufen 1949</t>
  </si>
  <si>
    <t>An Empfänger in Weiden / Opf.</t>
  </si>
  <si>
    <t>Historische Ortsansicht von Wunsiedel mit Rathaus und Marktbrunnen aus der Nachkriegszeit, gelaufen 1949</t>
  </si>
  <si>
    <t>AK-2026-0464</t>
  </si>
  <si>
    <t>Luisenburg im Fichtelgebirge - Regenschirmfelsen mit Jean-Paul-Platz (Verlag O. Köhler, Wunsiedel)</t>
  </si>
  <si>
    <t>Verlag O. Köhler, Wunsiedel (Best.-Nr. 68202)</t>
  </si>
  <si>
    <t>Luisenburg / Fichtelgebirge / Regenschirmfelsen / Jean-Paul-Platz / Felsenlabyrinth</t>
  </si>
  <si>
    <t>Gelaufene historische Fichtelgebirgs-Ansichtskarte vom Luisenburg-Felsenlabyrinth mit Auslands-Postlauf nach London, England</t>
  </si>
  <si>
    <t>An Herrn Otto Raithel c/o H. Karfen &amp; Co. in London E.C., 35-37 Noble Street</t>
  </si>
  <si>
    <t>Sammelwürdige Luisenburg-Ansichtskarte aus dem Fichtelgebirge mit historischem Auslandsstempel nach London, England</t>
  </si>
  <si>
    <t>Altersübliche Vergilbung, Ecken leicht bestoßen, gelaufen</t>
  </si>
  <si>
    <t>AK-2026-0465</t>
  </si>
  <si>
    <t>Frauenau, Bayr. Wald (Panoramablick über den Ort mit bewaldeten Bergen im Hintergrund)</t>
  </si>
  <si>
    <t>Karl Kopp's Buchhandlung, Schwandorf / Opf. (Best.-Nr. 4983)</t>
  </si>
  <si>
    <t>Frauenau / Landkreis Regen / Niederbayern / Bayern</t>
  </si>
  <si>
    <t>Frauenau / Bayerischer Wald / Ortsansicht / Panorama / Niederbayern</t>
  </si>
  <si>
    <t>Gelaufene historische Ansichtskarte von Frauenau im Bayerischen Wald, gelaufen 1969 mit Bundespost-Briefmarke nach Hofheim</t>
  </si>
  <si>
    <t>An Frau Sophie Ullrich in Hofheim / Ufr. (Eicheldorfersiedl. 284)</t>
  </si>
  <si>
    <t>Schöne historische Ortsansicht von Frauenau im Bayerischen Wald mit Stempel von Seubersdorf vom April 1969</t>
  </si>
  <si>
    <t>AK-2026-0466</t>
  </si>
  <si>
    <t>Bad Oberdorf mit Notländen, Nebelhorn und Entschenkopf (Bayr. Allgäu)</t>
  </si>
  <si>
    <t>Unbekannter Verlag (Echte Kupfer-Tiefdruckkarte)</t>
  </si>
  <si>
    <t>Bad Oberdorf / Bad Hindelang / Landkreis Oberallgäu / Schwaben / Bayern</t>
  </si>
  <si>
    <t>Bad Oberdorf / Notländen / Nebelhorn / Entschenkopf / Allgäu / Alpen</t>
  </si>
  <si>
    <t>Ungelaufene historische Alpen-Ansichtskarte von Bad Oberdorf im Allgäu mit Blick auf Nebelhorn und Entschenkopf</t>
  </si>
  <si>
    <t>Reizvolle alpine Ansichtskarte im Kupfer-Tiefdruckverfahren mit klassischem Allgäuer Bergpanorama</t>
  </si>
  <si>
    <t>AK-2026-0467</t>
  </si>
  <si>
    <t>Rotwandhaus 1765 m am Spitzingsee (Alpenlandschaft mit Berghütte)</t>
  </si>
  <si>
    <t>Aufnahme u. Verlag H. Heckmair, Bayrischzell</t>
  </si>
  <si>
    <t>Spitzingsee / Miesbach / Oberbayern / Bayern</t>
  </si>
  <si>
    <t>Rotwandhaus / Spitzingsee / Bayrischzell / Oberbayern / Bayerische Alpen</t>
  </si>
  <si>
    <t>Ungelaufene historische Berg-Ansichtskarte vom Rotwandhaus (1765 m) am Spitzingsee mit violettem Stempelaufdruck der Wurzhütte</t>
  </si>
  <si>
    <t>Klassische bayerische Alpenkarte des Rotwandhauses mit charmantem Stempelaufdruck der Wurzhütte am Spitzingsee</t>
  </si>
  <si>
    <t>Guter Zustand, ungelaufen, leichte altersbedingte Vergilbung</t>
  </si>
  <si>
    <t>AK-2026-0468</t>
  </si>
  <si>
    <t>Taubensteinsattel und Schönfeldalm am Spitzingsee (Winterliche Berglandschaft mit Beschriftung der Gipfel Bodenschneid und Brecherspitz)</t>
  </si>
  <si>
    <t>Unbekannter Verlag (Aufdruck: Kaffeegarten am Spitzingsee, Inh. Toni u. Annemirl Simon)</t>
  </si>
  <si>
    <t>Taubensteinsattel / Schönfeldalm / Bodenschneid / Brecherspitz / Spitzingsee</t>
  </si>
  <si>
    <t>Ungelaufene historische Winter-Ansichtskarte vom Taubensteinsattel und der Schönfeldalm mit Gaststätten-Werbestempel</t>
  </si>
  <si>
    <t>Schöne winterliche Alpen-Ansichtskarte aus der Region Spitzingsee mit Stempelprägung des Kaffeegartens Simon</t>
  </si>
  <si>
    <t>Guter Zustand, ungelaufen, Randeck minimal bestoßen</t>
  </si>
  <si>
    <t>AK-2026-0469</t>
  </si>
  <si>
    <t>Sonderpostkarte zum Kriegsopfertreffen des Bezirkes Oberpfalz in Neusorg 1970</t>
  </si>
  <si>
    <t>Bundespost / VdK Deutschland (Sonderpostkarte)</t>
  </si>
  <si>
    <t>Neusorg / Landkreis Tirschenreuth / Oberpfalz / Bayern</t>
  </si>
  <si>
    <t>Neusorg / VdK / Kriegsopfertreffen / Oberpfalz / 1970 / Sonderstempel</t>
  </si>
  <si>
    <t>Gelaufene Sonderpostkarte zum VdK-Kriegsopfertreffen in Neusorg (Oberpfalz) vom 25.7.1970 mit Sonderstempel und Bundespost-Briefmarke</t>
  </si>
  <si>
    <t>An Frau Adelheid Höfner in Hofheim / Ufr. (Karlsbaderstr. 284)</t>
  </si>
  <si>
    <t>Heimatgeschichtlich interessante VdK-Sonderpostkarte aus Neusorg in der Oberpfalz mit seltenem Sonderstempel von 1970</t>
  </si>
  <si>
    <t>AK-2026-0470</t>
  </si>
  <si>
    <t>Kloster Weltenburg (Donaudurchbruch / Niederbayern)</t>
  </si>
  <si>
    <t>Kunstverlag Hanns Oefele, Neuburg (Donau) (Best.-Nr. 805/62 A)</t>
  </si>
  <si>
    <t>Weltenburg / Kelheim / Niederbayern / Bayern</t>
  </si>
  <si>
    <t>Kloster Weltenburg / Donau / Donaudurchbruch / Niederbayern / Kirche</t>
  </si>
  <si>
    <t>Ungelaufene historische Ansichtskarte vom Kloster Weltenburg an der Donau mit Blick auf den Donaudurchbruch</t>
  </si>
  <si>
    <t>Klassische Farbansichtskarte des berühmten Klosters Weltenburg an der Donau im Ausflugsziel-Format</t>
  </si>
  <si>
    <t>AK-2026-0471</t>
  </si>
  <si>
    <t>AK-2026-0472</t>
  </si>
  <si>
    <t>Happurg / Hersbruck / Landkreis Nürnberg-Land / Mittelfranken / Bayern</t>
  </si>
  <si>
    <t>Stausee Happurg / Fränkische Alb / Hersbrucker Schweiz / Frühling / Stausee</t>
  </si>
  <si>
    <t>AK-2026-0473</t>
  </si>
  <si>
    <t>Motiv am Spitzingsee (Alpenlandschaft mit See und Wald, Aufnahme G. Berthold)</t>
  </si>
  <si>
    <t>G. Berthold, phot.</t>
  </si>
  <si>
    <t>Spitzingsee / Wurzhütte / Neuhaus b. Schliersee / Bayerische Alpen / Oberbayern</t>
  </si>
  <si>
    <t>Ungelaufene historische Ansichtskarte vom Spitzingsee mit Stempelaufdruck "Wurzhütte über Neuhaus b. Schliersee"</t>
  </si>
  <si>
    <t>Schöne Fotokarte vom Spitzingsee mit dem klassischen Stempelaufdruck der Wurzhütte bei Neuhaus</t>
  </si>
  <si>
    <t>Frühling am Stausee bei Happurg (Fränkische Alb)</t>
  </si>
  <si>
    <t>Foto und Verlag: F. H. Dennlein, Kunstverlag, Nürnberg (Best.-Nr. 663)</t>
  </si>
  <si>
    <t>Ungelaufene historische Ansichtskarte vom Frühlingserwachen am Stausee bei Happurg in der Fränkischen Alb, Verlag Dennlein Nürnberg</t>
  </si>
  <si>
    <t>Reizvolle Frühlingslandschaft am Stausee Happurg in der Fränkischen Alb, herausgegeben vom Nürnberger Kunstverlag Dennlein</t>
  </si>
  <si>
    <t>Guter Zustand, ungelaufen, leichte altersbedingte Patina</t>
  </si>
  <si>
    <t>Rothenburg o.T. – Der historische Schäfertanz, Aufmarsch</t>
  </si>
  <si>
    <t>Verlag u. Aufnahme: Ernst Geissendörfer, Kunsthandlung, Rothenburg o.T. (Nr. 12)</t>
  </si>
  <si>
    <t>Rothenburg ob der Tauber / Landkreis Ansbach / Mittelfranken / Bayern</t>
  </si>
  <si>
    <t>Rothenburg ob der Tauber / Schäfertanz / Historisches Festspiel / Geissendörfer / Mittelfranken</t>
  </si>
  <si>
    <t>Ungelaufene historische Ansichtskarte aus Rothenburg ob der Tauber mit dem Aufmarsch des historischen Schäfertanzes, Verlag Geissendörfer</t>
  </si>
  <si>
    <t>Beliebte historische Motivkarte des Schäfertanzes vom bekannten Rothenburger Verleger Ernst Geissendörfer</t>
  </si>
  <si>
    <t>Guter Zustand, ungelaufen, Kanten leicht bestoßen</t>
  </si>
  <si>
    <t>AK-2026-0474</t>
  </si>
  <si>
    <t>AK-2026-0475</t>
  </si>
  <si>
    <t>AK-2026-0476</t>
  </si>
  <si>
    <t>Pfarrkirche v. d. Rott, Gartlberg mit Kreuzweg</t>
  </si>
  <si>
    <t>Verlag: Katholische Buchhandlung, Pfarrkirchen (D. B. B.)</t>
  </si>
  <si>
    <t>Pfarrkirchen / Landkreis Rottal-Inn / Niederbayern / Bayern</t>
  </si>
  <si>
    <t>Pfarrkirchen / Gartlberg / Kreuzweg / Pfarrkirche / Niederbayern</t>
  </si>
  <si>
    <t>Gelaufene historische Ansichtskarte von Pfarrkirchen (Gartlberg mit Kreuzweg) mit Stempel und Briefmarke (Volksstaat Bayern) nach Hirschaid b. Bamberg</t>
  </si>
  <si>
    <t>An Familie Karrer, Vermalter in Hirschhaid b. Bamberg</t>
  </si>
  <si>
    <t>Heimatgeschichtliche Ansichtskarte aus Pfarrkirchen mit schöner Frankatur und Stempel vom Februar 1919</t>
  </si>
  <si>
    <t>Gruss vom Walchensee (Blick auf See und Alpen)</t>
  </si>
  <si>
    <t>Verlags-Druck u. Kunstanst. v. Schöller &amp; Maison, Jg. Veilach, G. m. b. H., München</t>
  </si>
  <si>
    <t>Walchensee / Kochel am See / Bad Tölz-Wolfratshausen / Oberbayern / Bayern</t>
  </si>
  <si>
    <t>Walchensee / Bayerische Alpen / See / Oberbayern</t>
  </si>
  <si>
    <t>Gelaufene historische Ansichtskarte mit Blick auf den Walchensee, gestempelt Mittenwald 17.06.1901, gelaufen nach Vettersdorf</t>
  </si>
  <si>
    <t>An Herrn Otto Reichel bei Herrn Pastor u. Haller in Vettersdorf in Schleiz (Reuß)</t>
  </si>
  <si>
    <t>Klassische Jugendstil-Grusskarte vom Walchensee mit historischem Einkreis-Stempel von Mittenwald aus dem Jahr 1901</t>
  </si>
  <si>
    <t>Guter Zustand, gelaufen, altersübliche Stempel- und Adressspuren</t>
  </si>
  <si>
    <t>Siegenburg in der Hallertau (Mehrbildkarte mit Marktplatz, Drogerie und Gasthof)</t>
  </si>
  <si>
    <t>Photo-Brandl, Neustadt / Donau (Best.-Nr. 777a)</t>
  </si>
  <si>
    <t>Siegenburg / Landkreis Kelheim / Niederbayern / Bayern</t>
  </si>
  <si>
    <t>Siegenburg / Hallertau / Oberer Marktplatz / Drogerie Anton Schmid / Gasthof Peter Prueslmayer / Niederbayern</t>
  </si>
  <si>
    <t>Ungelaufene historische Mehrbild-Ansichtskarte aus Siegenburg in der Hallertau mit Ortsansichten und Geschäften vom Verlag Photo-Brandl</t>
  </si>
  <si>
    <t>Schöne ortsgeschichtliche Mehrbildkarte der Hopfenmetropole Siegenburg in der Hallertau im ungelaufenen Zustand</t>
  </si>
  <si>
    <t>BUCH-2026-0001</t>
  </si>
  <si>
    <t>Die Befreiungskriege 1813–1815 (Historisches Jugend- und Sachbuch mit Deckelbild)</t>
  </si>
  <si>
    <t>Historisches Jugendbuch / Sachbuch</t>
  </si>
  <si>
    <t>Deutschland / Europa</t>
  </si>
  <si>
    <t>Befreiungskriege 1813–1815 / Napoleonische Kriege / Preußen / Geschichte / Militaria</t>
  </si>
  <si>
    <t>Gebraucht / Altersentsprechend gut (Z2-3)</t>
  </si>
  <si>
    <t>Historisches Sach- und Jugendbuch "Die Befreiungskriege 1813–1815" mit farbigem Deckelbild (Trommler), Halbleinen-Einband</t>
  </si>
  <si>
    <t>Schönes, nostalgisches Lesebuch zur deutschen Geschichte mit klassischer Deckelillustration, ideal für Sammler historischer Jugendschriften</t>
  </si>
  <si>
    <t>Einband mit altersbedingten Abriebspuren und Randläsuren, roter Leinenrücken intakt, Seiten altersentsprechend gebräunt, insgesamt ordentlicher Zustand</t>
  </si>
  <si>
    <t>BUCH-2026-0002</t>
  </si>
  <si>
    <t>Hans Schäfer – Tausend Spiele Tausend Tore (Biografie / Fußball)</t>
  </si>
  <si>
    <t>Sportbiografie / Fußball-Sachbuch</t>
  </si>
  <si>
    <t>Deutschland / Köln</t>
  </si>
  <si>
    <t>Hans Schäfer / 1. FC Köln / Fußball-Weltmeister 1954 / DFB / Meisterschale</t>
  </si>
  <si>
    <t>Gebraucht / Altersentsprechend gut (Z2)</t>
  </si>
  <si>
    <t>Historische Fußball-Biografie über Hans Schäfer, mit zahlreichen Abbildungen und ikonischem Einband (Meisterschale auf der Rückseite)</t>
  </si>
  <si>
    <t>Klassisches Sammlerstück zur deutschen Fußballgeschichte und Vereinslegende des 1. FC Köln</t>
  </si>
  <si>
    <t>Einband mit leichten Lager- und Randspuren, Seiten altersbedingt gebräunt, insgesamt gut erhaltenes Sammlerexemplar</t>
  </si>
  <si>
    <t>BUCH-2026-0003</t>
  </si>
  <si>
    <t>Schau mer mal – "Der" Bayern München-Comic</t>
  </si>
  <si>
    <t>Fußball-Humor / Karikaturen / Comic</t>
  </si>
  <si>
    <t>Deutschland / München</t>
  </si>
  <si>
    <t>FC Bayern München / Franz Beckenbauer / Oliver Kahn / Uli Hoeneß / Karl-Heinz Rummenigge / Lothar Matthäus</t>
  </si>
  <si>
    <t>Humorvolles Comic- und Karikaturenbuch über den FC Bayern München mit bekannten Legenden und kultigen Sprüchen</t>
  </si>
  <si>
    <t>Kultiges Fan-Buch mit Karikaturen der Bayern-Größen aus den 90ern</t>
  </si>
  <si>
    <t>Einband mit leichten Lager- und Randspuren, Ecken minimal bestoßen, innen sauber und gut erhalten</t>
  </si>
  <si>
    <t>Sulzbürg / Markt Mühlhausen / Landkreis Neumarkt i.d.OPf. / Oberpfalz / Bayern</t>
  </si>
  <si>
    <t>Gruß aus Sülzbürg / Opf. (Gesamtansicht mit Kirche auf dem Berg)</t>
  </si>
  <si>
    <t>Unbekannter Verlag (Kennung B 52)</t>
  </si>
  <si>
    <t>Sülzbürg / Oberpfalz / Ortsansicht / Bayerischer Jura / Kirche</t>
  </si>
  <si>
    <t>Gelaufen / Gut (Z2-3)</t>
  </si>
  <si>
    <t>Historische, gelaufene Ansichtskarte von Sülzbürg in der Oberpfalz mit Blick auf den Ort und die Bergkirche, frankiert mit Notopfer-Marke</t>
  </si>
  <si>
    <t>Schöne, gelaufene ortsgeschichtliche Ansichtskarte von Sülzbürg in der Oberpfalz mit historischem Postkartenstempel und Notopfermarke</t>
  </si>
  <si>
    <t>Altersentsprechender Zustand, fleckig/gebräunt, Ecken leicht bestoßen, gelaufen</t>
  </si>
  <si>
    <t>AK-2026-0477</t>
  </si>
  <si>
    <t>Blick vom Wendelstein gegen die Hohen Tauern (Panorama-Echtfoto)</t>
  </si>
  <si>
    <t>H. Heckmair, Bayrischzell (Aufg. mit Perutz-Platte)</t>
  </si>
  <si>
    <t>Wendelstein / Bayrischzell / Bayerische Alpen / Bayern</t>
  </si>
  <si>
    <t>Wendelsteinhaus / Alpen / Bergbahn / Hohe Tauern / Gipfelpanorama</t>
  </si>
  <si>
    <t>Hochwertige Foto-Panorama-Ansichtskarte vom Wendelstein mit Ortsstempel des Wendelsteinhauses und detaillierter Bergbeschriftung</t>
  </si>
  <si>
    <t>Schöne alpine Foto-Ansichtskarte mit speziellem Hüttenstempel und Perutz-Platten-Abzug</t>
  </si>
  <si>
    <t>Sehr guter Zustand, ungelaufen, mit originalem violettem Wendelsteinhaus-Stempel</t>
  </si>
  <si>
    <t>BUCH-2026-0004</t>
  </si>
  <si>
    <t>Handbuch für Unteroffiziere, Obergefreite und Gefreite der Fußartillerie (Band I)</t>
  </si>
  <si>
    <t>Fachliteratur / Militärgeschichte</t>
  </si>
  <si>
    <t>Berlin / Deutschland</t>
  </si>
  <si>
    <t>Pulfowski / Fußartillerie / Deutsches Kaiserreich / Militaria / Eisenschmidt Verlag / 1914</t>
  </si>
  <si>
    <t>Historisches Militär-Handbuch für die Fußartillerie aus dem Jahr 1914 (12. neubearbeitete Auflage) mit Abbildungen und Steindrucktafeln</t>
  </si>
  <si>
    <t>Wissenschaftliches Fach- und Diensthandbuch der preußischen Fußartillerie kurz vor Ausbruch des Ersten Weltkriegs</t>
  </si>
  <si>
    <t>Einband leicht berührt und altersbedingt gebräunt, fester Block, ordentlicher Gesamtzustand</t>
  </si>
  <si>
    <t>BUCH-2026-0005</t>
  </si>
  <si>
    <t>Beiheft zum Nautischen Funkdienst 1939 (Funkwetterschlüssel)</t>
  </si>
  <si>
    <t>Fachliteratur / Maritime Geschichte</t>
  </si>
  <si>
    <t>Deutschland / Berlin</t>
  </si>
  <si>
    <t>Kriegsmarine / Nautischer Funkdienst / Wetterdienst / Militaria / 1939</t>
  </si>
  <si>
    <t>Historisches amtliches Beiheft zum nautischen Funkdienst von 1939 mit Wetter-Schlüsseln und Anweisungen, mit Reichsadler-Prägung</t>
  </si>
  <si>
    <t>Originales historisches Dokument zur Seefahrt- und Wettertechnik aus dem Jahr 1939 für maritime Sammler</t>
  </si>
  <si>
    <t>Einband mit leichten Lager- und Gebrauchsspuren, handschriftlicher Vermerk oben ("Henninger"), altersbedingt gebräunt</t>
  </si>
  <si>
    <t>BUCH-2026-0006</t>
  </si>
  <si>
    <t>Dienstunterricht des bayerischen Pioniers (Kaiserreich)</t>
  </si>
  <si>
    <t>Militärgeschichte / Fachliteratur</t>
  </si>
  <si>
    <t>Berlin / München</t>
  </si>
  <si>
    <t>v. Rabenau / Bayerische Pioniere / Deutsches Kaiserreich / Militaria / Eisenschmidt Verlag</t>
  </si>
  <si>
    <t>Gebraucht / Altersentsprechend mäßig (Z3)</t>
  </si>
  <si>
    <t>Historischer Dienstunterricht für bayerische Pioniere mit zahlreichen Abbildungen, Tafeln und Karte von Deutschland</t>
  </si>
  <si>
    <t>Spezifische militärische Ausbildungsschrift für bayerische Truppenteile vor dem Ersten Weltkrieg mit regionalem Sammlerwert</t>
  </si>
  <si>
    <t>Buchrücken beschädigt und berieben, Einband mit Randläsuren, Block altersbedingt gebräunt aber vollständig</t>
  </si>
  <si>
    <t>BUCH-2026-0007</t>
  </si>
  <si>
    <t>Sammlung bayer. Abituraufgaben (Schulheft / Prüfungsaufgaben)</t>
  </si>
  <si>
    <t>Historische Schul- und Fachliteratur</t>
  </si>
  <si>
    <t>Bayern</t>
  </si>
  <si>
    <t>Bayerisches Abitur / Reifeprüfung / Schulgeschichte / Mathematik</t>
  </si>
  <si>
    <t>Historisches bayerisches Prüfungssammlungsheft für Reifeprüfungsaufgaben mit Hinweisen zu Mathematiklösungen</t>
  </si>
  <si>
    <t>Interessantes historisches Dokument zur bayerischen Schul- und Bildungsgeschichte</t>
  </si>
  <si>
    <t>Heftumfang vollständig, Einband altersbedingt leicht verblasst und berührt, Papier gebräunt</t>
  </si>
  <si>
    <t>AK-2026-0479</t>
  </si>
  <si>
    <t>Rothenburg ob der Tauber (Blick vom Burgtor)</t>
  </si>
  <si>
    <t>Kunsthandlung E. Geissendörfer, Rothenburg ob der Tauber</t>
  </si>
  <si>
    <t>Rothenburg / Burgtor / Franken / Altstadt</t>
  </si>
  <si>
    <t>Historische Ansichtskarte von Rothenburg ob der Tauber mit Blick vom Burgtor im ungelaufenen Zustand</t>
  </si>
  <si>
    <t>Schöne historische Ansichtskarte aus Rothenburg ob der Tauber</t>
  </si>
  <si>
    <t>AK-2026-0480</t>
  </si>
  <si>
    <t>Greding, das altertümliche Städtchen an der Autobahn Nürnberg-München</t>
  </si>
  <si>
    <t>Fritz Lauterbach, Fürth (Soldnerstr. 3)</t>
  </si>
  <si>
    <t>Greding / Landkreis Roth / Mittelfranken / Bayern</t>
  </si>
  <si>
    <t>Greding / Autobahn / Altmühltal / Mittelfranken</t>
  </si>
  <si>
    <t>Historische, gelaufene Ansichtskarte von Greding an der Autobahn Nürnberg-München mit Poststempel Schwabach von 1961</t>
  </si>
  <si>
    <t>Altersentsprechender Zustand, Ecken leicht bestoßen, gelaufen</t>
  </si>
  <si>
    <t>AK-2026-0481</t>
  </si>
  <si>
    <t>Berchtesgaden (Mehrbildkarte mit Ortsansichten und Haus)</t>
  </si>
  <si>
    <t>Berchtesgaden / Berchtesgadener Land / Oberbayern / Bayern</t>
  </si>
  <si>
    <t>Berchtesgaden / Alpen / Bayern / Hausansicht</t>
  </si>
  <si>
    <t>Historische Mehrbild-Ansichtskarte aus Berchtesgaden mit verschiedenen Ortsansichten und Gebäude-Darstellung</t>
  </si>
  <si>
    <t>Schöne alpine Mehrbild-Ansichtskarte von Berchtesgaden im ungelaufenen Zustand</t>
  </si>
  <si>
    <t>AK-2026-0478</t>
  </si>
  <si>
    <t>Schöne, gelaufene ortsgeschichtliche Ansichtskarte von Greding mit Stempel und handgeschriebener Nachricht</t>
  </si>
  <si>
    <t>Darsberg (Fliegeraufnahme mit Ortschaft und Schloss/Kirche)</t>
  </si>
  <si>
    <t>Ludw. Bermüller, Papier und Bürobedarf, Parsberg, Oberpfalz[cite: 14]</t>
  </si>
  <si>
    <t>Darsberg / Parsberg / Landkreis Neumarkt in der Oberpfalz / Bayern[cite: 14]</t>
  </si>
  <si>
    <t>Darsberg / Parsberg / Oberpfalz / Fliegeraufnahme</t>
  </si>
  <si>
    <t>Historische, gelaufene Ansichtskarte von Darsberg bei Parsberg als Fliegeraufnahme aus der Oberpfalz</t>
  </si>
  <si>
    <t>Schöne, ortsgeschichtliche Ansichtskarte aus der Oberpfalz mit handschriftlicher Grußbotschaft</t>
  </si>
  <si>
    <t>AK-2026-0482</t>
  </si>
  <si>
    <t>Wallfahrtsort Altötting (Kapellplatz mit Brunnen und Basilika)</t>
  </si>
  <si>
    <t>A. Altmann, Kunstverlag, Altötting[cite: 14]</t>
  </si>
  <si>
    <t>Altötting / Oberbayern / Bayern[cite: 14]</t>
  </si>
  <si>
    <t>Altötting / Wallfahrtsort / Kapellplatz / Oberbayern</t>
  </si>
  <si>
    <t>Historische, gelaufene Ansichtskarte vom Wallfahrtsort Altötting mit Kapellplatz und Stempel von 1961</t>
  </si>
  <si>
    <t>Beliebte bayerische Wallfahrts-Ansichtskarte von Altötting mit Poststempel und Nachricht</t>
  </si>
  <si>
    <t>Guter Zustand, gelaufen, leichte altersbedingte Spuren</t>
  </si>
  <si>
    <t>AK-2026-0483</t>
  </si>
  <si>
    <t>Klingenbrunn / Bayr. Wald (Sommerfrische, 820 m, Orig. Fliegeraufnahme)</t>
  </si>
  <si>
    <t>Aero-Bild-Verlag, Fulda-Bronnzell[cite: 14]</t>
  </si>
  <si>
    <t>Klingenbrunn / Bayerischer Wald / Landkreis Freyung-Grafenau / Niederbayern / Bayern[cite: 14]</t>
  </si>
  <si>
    <t>Klingenbrunn / Bayerischer Wald / Sommerfrische / Fliegeraufnahme</t>
  </si>
  <si>
    <t>Historische, gelaufene Ansichtskarte als originale Fliegeraufnahme der Sommerfrische Klingenbrunn im Bayerischen Wald mit Stempel von 1961[cite: 14]</t>
  </si>
  <si>
    <t>Schöne natur- und ortsgeschichtliche Ansichtskarte aus dem Bayerischen Wald mit Stempel von 1961[cite: 14]</t>
  </si>
  <si>
    <t>Altersentsprechender Zustand, gelaufen, Ecken leicht bestoßen</t>
  </si>
  <si>
    <t>AK-2026-0484</t>
  </si>
  <si>
    <t>Zwiesel / Bayer. Wald (Landschaftsansicht mit Wald und Bergen)</t>
  </si>
  <si>
    <t>Unbekannter Verlag (Zustand: Gelaufen mit Stempel Zwiesel 1967)</t>
  </si>
  <si>
    <t>Zwiesel / Bayerischer Wald / Niederbayern / Bayern</t>
  </si>
  <si>
    <t>Zwiesel / Bayerischer Wald / Landschaft / Natur</t>
  </si>
  <si>
    <t>Historische, gelaufene Ansichtskarte von Zwiesel im Bayerischen Wald mit Poststempel von 1967</t>
  </si>
  <si>
    <t>Schöne naturkundliche Ansichtskarte aus Zwiesel mit Stempel und handschriftlicher Grußbotschaft</t>
  </si>
  <si>
    <t>AK-2026-0485</t>
  </si>
  <si>
    <t>Links und rechts der Autobahn: Nürnberg – Regensburg (Mehrbildkarte mit Streckenstationen und Karte)</t>
  </si>
  <si>
    <t>Bahnhofsbuchhandlung R. Förderer, Neumarkt (Opf.)</t>
  </si>
  <si>
    <t>Nürnberg / Regensburg / Neumarkt in der Oberpfalz / Bayern</t>
  </si>
  <si>
    <t>Autobahn Nürnberg-Regensburg / Mehrbildkarte / Franken / Oberpfalz</t>
  </si>
  <si>
    <t>Historische Mehrbild-Ansichtskarte "Links und rechts der Autobahn Nürnberg – Regensburg" mit vielen Ortsansichten und Streckenkarte</t>
  </si>
  <si>
    <t>Sehr beliebte und sammelwürdige Strecken-Mehrbildkarte der Autobahn Nürnberg-Regensburg mit Stempel</t>
  </si>
  <si>
    <t>AK-2026-0486</t>
  </si>
  <si>
    <t>Universitätsstadt Erlangen, Siemens-Schuckert-Werke, Verwaltung</t>
  </si>
  <si>
    <t>Johs. Cramer, Kunstanstalt K. G., Dortmund</t>
  </si>
  <si>
    <t>Erlangen / Mittelfranken / Bayern</t>
  </si>
  <si>
    <t>Erlangen / Siemens-Schuckert-Werke / Verwaltung / Wirtschaft / 1962</t>
  </si>
  <si>
    <t>Historische, gelaufene Ansichtskarte der Siemens-Schuckert-Werke Verwaltung in Erlangen mit Stempel von 1962</t>
  </si>
  <si>
    <t>Interessante Industrie- und Wirtschaftsgeschichte-Ansichtskarte von Erlangen mit VW Käfern vor dem Verwaltungsgebäude</t>
  </si>
  <si>
    <t>AK-2026-0487</t>
  </si>
  <si>
    <t>Motiv am Spitzingsee, Blick auf Bodenschneid</t>
  </si>
  <si>
    <t>Wurzhütte / Neuhaus b. Schliersee (Verlag bzw. Absenderbezug)</t>
  </si>
  <si>
    <t>Spitzingsee / Bodenschneid / Schliersee / Oberbayern / Bayern</t>
  </si>
  <si>
    <t>Spitzingsee / Bodenschneid / Alpen / Oberbayern / Seeansicht</t>
  </si>
  <si>
    <t>Historische, gelaufene Ansichtskarte vom Spitzingsee mit Blick auf die Bodenschneid und Stempel von 1961</t>
  </si>
  <si>
    <t>Schöne alpine Landschafts-Ansichtskarte vom Spitzingsee mit Stempel und handgeschriebener Nachricht</t>
  </si>
  <si>
    <t>AK-2026-0488</t>
  </si>
  <si>
    <t>Rothenburg ob der Tauber, Alter Keller</t>
  </si>
  <si>
    <t>Verlag J. Geissendörfer, Kunsthandlung, Rothenburg o. Tauber</t>
  </si>
  <si>
    <t>Rothenburg ob der Tauber / Alter Keller / Altstadt / Franken</t>
  </si>
  <si>
    <t>Historische Ansichtskarte aus Rothenburg ob der Tauber mit Motiv "Alter Keller" im ungelaufenen Zustand</t>
  </si>
  <si>
    <t>Klassische historische Ansichtskarte aus Rothenburg ob der Tauber im guten Zustand</t>
  </si>
  <si>
    <t>AK-2026-0489</t>
  </si>
  <si>
    <t>Regensburg: Donautal gegen die auf dem Michelsberg bei Kelheim errichtete Befreiungshalle</t>
  </si>
  <si>
    <t>Regensburg / Donautal / Kelheim / Niederbayern / Bayern</t>
  </si>
  <si>
    <t>Donautal / Kelheim / Befreiungshalle / Michelsberg / Donau</t>
  </si>
  <si>
    <t>Historische Ansichtskarte vom Donautal bei Regensburg mit Blick auf die Befreiungshalle bei Kelheim im ungelaufenen Zustand[cite: 16]</t>
  </si>
  <si>
    <t>Schöne und bekannte landschaftliche Ansichtskarte aus Niederbayern mit der Befreiungshalle</t>
  </si>
  <si>
    <t>AK-2026-0490</t>
  </si>
  <si>
    <t>Kloster Andechs, Inneres (Wallfahrtskirche)</t>
  </si>
  <si>
    <t>Prächt-Verlag, Stuttgart-O (Nr. 21186)[cite: 16]</t>
  </si>
  <si>
    <t>Andechs / Landkreis Starnberg / Oberbayern / Bayern[cite: 16]</t>
  </si>
  <si>
    <t>Kloster Andechs / Inneres / Wallfahrtskirche / Barock / Oberbayern[cite: 16]</t>
  </si>
  <si>
    <t>Historische, gelaufene Ansichtskarte vom prunkvollen Kircheninneren des Wallfahrtsklosters Andechs in Oberbayern mit Poststempel[cite: 16]</t>
  </si>
  <si>
    <t>Beliebte bayerische Wallfahrts- und Kirchen-Ansichtskarte mit detailliertem Stempel und handgeschriebener Nachricht[cite: 16]</t>
  </si>
  <si>
    <t>Altersentsprechender Zustand, gelaufen, leichte Gebrauchsspuren</t>
  </si>
  <si>
    <t>AK-2026-0491</t>
  </si>
  <si>
    <t>Privat- &amp; Ortsaufnahme: Festlich geschmücktes Gebäude mit Maibaum / Hochzeit (Handschriftlich April 1964)</t>
  </si>
  <si>
    <t>Privatfotografie / Unbekannter Verlag</t>
  </si>
  <si>
    <t>Bayern (Region Oberpfalz / Niederbayern)</t>
  </si>
  <si>
    <t>Privatfoto / Maibaum / Fest / Hochzeit / Ortsaufnahme / 1964</t>
  </si>
  <si>
    <t>Historische Foto-Ansichtskarte bzw. Real-Photo-Karte einer festlichen geschmückten Orts- oder Privatszene mit Maibaum, datiert April 1964[cite: 16]</t>
  </si>
  <si>
    <t>Sehr interessantes, authentisches Zeitdokument als echtes Foto mit handschriftlicher Notiz von April 1964[cite: 16]</t>
  </si>
  <si>
    <t>Guter Zustand, gelaufen, rötliches Fotopapier, Ecken leicht bestoßen</t>
  </si>
  <si>
    <t>AK-2026-0492</t>
  </si>
  <si>
    <t>See-Terrasse Undosa Bad mit Blick auf See u. Gebirge</t>
  </si>
  <si>
    <t>Aufnahme und Verlag: Richard Würsching, Starnberg (Seegaststätte Hans Gruss)[cite: 17, 18]</t>
  </si>
  <si>
    <t>Starnberg / Starnberger See / Oberbayern / Bayern[cite: 17, 18]</t>
  </si>
  <si>
    <t>Starnberg / Undosa Bad / See-Terrasse / Alpen / Oberbayern[cite: 17, 18]</t>
  </si>
  <si>
    <t>Historische, echte Foto-Ansichtskarte von der See-Terrasse des Undosa Bades in Starnberg mit Blick auf den See und die Alpen[cite: 17, 18]</t>
  </si>
  <si>
    <t>Wunderschöne, hochwertige echte Foto-Ansichtskarte vom Starnberger See im ungelaufenen Top-Zustand[cite: 17, 18]</t>
  </si>
  <si>
    <t>Ausgezeichneter Zustand, ungelaufen, Ecken tadellos</t>
  </si>
  <si>
    <t>AK-2026-0493</t>
  </si>
  <si>
    <t>Postautoheim am Spitzingsee geg. Stolzenberg</t>
  </si>
  <si>
    <t>Nr. 3176, Aufnahme u. Verlag: Georg Ritzenberger, Photograph, Schliersee[cite: 17, 18]</t>
  </si>
  <si>
    <t>Spitzingsee / Stolzenberg / Schliersee / Oberbayern / Bayern[cite: 17, 18]</t>
  </si>
  <si>
    <t>Spitzingsee / Postautoheim / Stolzenberg / Alpen / Oberbayern[cite: 17, 18]</t>
  </si>
  <si>
    <t>Historische, echte Foto-Ansichtskarte vom Postautoheim am Spitzingsee gegenüber dem Stolzenberg im Winter[cite: 17, 18]</t>
  </si>
  <si>
    <t>Sehr schönes alpines Fotomotiv aus den bayerischen Alpen im ungelaufenen Zustand[cite: 17, 18]</t>
  </si>
  <si>
    <t>Ausgezeichneter Zustand, ungelaufen, gestochen scharfe Echtfoto-Abzugsadaption</t>
  </si>
  <si>
    <t>AK-2026-0494</t>
  </si>
  <si>
    <t>Künstler-Ansichtskarte (Gemäldemotiv: Idyllisches Haus am See mit Bergpanorama)</t>
  </si>
  <si>
    <t>Unbekannter Verlag (Zustand: Gelaufen mit Stempel Pappenheim / Treuchtlingen 1924)[cite: 17, 18]</t>
  </si>
  <si>
    <t>Bayern (Region Mittelfranken / Altmühltal)[cite: 17, 18]</t>
  </si>
  <si>
    <t>Künstlerkarte / See / Haus / Alpenvorland / Landschaft / 1924[cite: 17, 18]</t>
  </si>
  <si>
    <t>Gelaufen / Gut (Z2)[cite: 17, 18]</t>
  </si>
  <si>
    <t>Historische, gelaufene Künstler-Ansichtskarte mit gemäldeartigem See-Motiv und Stempel von 1924[cite: 17, 18]</t>
  </si>
  <si>
    <t>Charmante, alte Künstler-Ansichtskarte mit historischem Poststempel aus den 1920er Jahren[cite: 17, 18]</t>
  </si>
  <si>
    <t>Altersentsprechender Zustand, gelaufen, Kanten leicht bestoßen</t>
  </si>
  <si>
    <t>AK-2026-0495</t>
  </si>
  <si>
    <t>Ensdorf / Opf. (Mehrbild-Ansichtskarte mit Ortsansichten und Landschaft)</t>
  </si>
  <si>
    <t>Anna Hammer, Gemischtwaren, Ensdorf / Opf.[cite: 17, 18]</t>
  </si>
  <si>
    <t>Ensdorf / Landkreis Amberg-Sulzbach / Oberpfalz / Bayern[cite: 17, 18]</t>
  </si>
  <si>
    <t>Ensdorf / Vilstal / Oberpfalz / Mehrbildkarte / Ortansicht</t>
  </si>
  <si>
    <t>Historische Mehrbild-Ansichtskarte von Ensdorf in der Oberpfalz mit verschiedenen Orts- und Landschaftsansichten im ungelaufenen Top-Zustand[cite: 17, 18]</t>
  </si>
  <si>
    <t>Heimatkarte aus der direkten Region mit schöner Mehrbild-Ansicht im hervorragenden Zustand[cite: 17, 18]</t>
  </si>
  <si>
    <t>Ausgezeichneter Zustand, ungelaufen, Kanten tadellos</t>
  </si>
  <si>
    <t>AK-2026-0496</t>
  </si>
  <si>
    <t>Gruß aus Ensdorf / Opf. i. Vilstal (Mehrbildkarte mit Vilstal-Motiven)</t>
  </si>
  <si>
    <t>Verlag Reinhold Lippert, Behringersmühle / Fränk. Schweiz[cite: 17, 18]</t>
  </si>
  <si>
    <t>Ensdorf / Vilstal / Landkreis Amberg-Sulzbach / Oberpfalz / Bayern[cite: 17, 18]</t>
  </si>
  <si>
    <t>Ensdorf / Vilstal / Oberpfalz / Fränkische Schweiz / Mehrbildkarte</t>
  </si>
  <si>
    <t>Historische Mehrbild-Ansichtskarte "Gruß aus Ensdorf / Opf. i. Vilstal" vom Verlag Reinhold Lippert im ungelaufenen Top-Zustand[cite: 17, 18]</t>
  </si>
  <si>
    <t>Sehr ansprechende und saubere Farb-Ansichtskarte aus dem Vilstal im ungelaufenen Bestzustand[cite: 17, 18]</t>
  </si>
  <si>
    <t>AK-2026-0497</t>
  </si>
  <si>
    <t>St. Barbara-Krankenhaus Schwandorf / Bay. (Luftbild)</t>
  </si>
  <si>
    <t>Luftbild Bayerischer Flugdienst Hans Bertram, München-Riem / Foto-Verlag Foto Schaffer, Schwandorf / Bay.[cite: 17, 18]</t>
  </si>
  <si>
    <t>Schwandorf / Oberpfalz / Bayern[cite: 17, 18]</t>
  </si>
  <si>
    <t>Schwandorf / St. Barbara-Krankenhaus / Luftbild / Krankenhaus / Oberpfalz[cite: 17, 18]</t>
  </si>
  <si>
    <t>Historische, gelaufene Luftbild-Ansichtskarte des St. Barbara-Krankenhauses in Schwandorf mit handschriftlicher Nachricht und Adressierung[cite: 17, 18]</t>
  </si>
  <si>
    <t>Interessantes medizinisches und regionales Ortszeitdokument aus Schwandorf mit persönlicher Nachricht[cite: 17, 18]</t>
  </si>
  <si>
    <t>AK-2026-0498</t>
  </si>
  <si>
    <t>Nürnberg (Mehrbild-Ansichtskarte: Blick auf die Burg, Albrecht-Dürer-Haus, Weinstadel mit Henkersteg, Heilig-Geist-Spital)</t>
  </si>
  <si>
    <t>Hans Andres Verlag, München (AKOO)</t>
  </si>
  <si>
    <t>Nürnberg / Mittelfranken / Bayern[cite: 17, 18]</t>
  </si>
  <si>
    <t>Nürnberg / Burg / Albrecht-Dürer-Haus / Weinstadel / Heilig-Geist-Spital / Mehrbildkarte</t>
  </si>
  <si>
    <t>Historische Mehrbild-Ansichtskarte von Nürnberg mit klassischen Sehenswürdigkeiten im ungelaufenen Top-Zustand[cite: 17, 18]</t>
  </si>
  <si>
    <t>Beliebte fränkische Stadt-Ansichtskarte mit vier bekannten Motiven im hervorragenden Zustand[cite: 17, 18]</t>
  </si>
  <si>
    <t>AK-2026-0499</t>
  </si>
  <si>
    <t>Grafenwöhr / Opf. (Marienplatz mit Rathaus, erb. 1567)</t>
  </si>
  <si>
    <t>Aufn. u. Verlag: Photo Spahn, Grafenwöhr / Opf., Am Lager</t>
  </si>
  <si>
    <t>Grafenwöhr / Landkreis Neustadt an der Waldnaab / Oberpfalz / Bayern</t>
  </si>
  <si>
    <t>Grafenwöhr / Marienplatz / Rathaus / Oberpfalz</t>
  </si>
  <si>
    <t>Historische, gelaufene Ansichtskarte vom Marienplatz mit dem Rathaus in Grafenwöhr, adressiert an Frau Maria Bartmann in Seubersdorf[cite: 17, 18]</t>
  </si>
  <si>
    <t>Wunderschöne regionalgeschichtliche Karte mit historischem Poststempel aus Grafenwöhr[cite: 17, 18]</t>
  </si>
  <si>
    <t>AK-2026-0500</t>
  </si>
  <si>
    <t>Seubersdorf / Opf. (Mehrbild-Ansichtskarte mit Ortsansichten und Kirche)</t>
  </si>
  <si>
    <t>W. Vögl, 92358 Seubersdorf (SD 82)</t>
  </si>
  <si>
    <t>Seubersdorf / Vilstal / Oberpfalz / Mehrbildkarte / Ortsansicht</t>
  </si>
  <si>
    <t>Historische Mehrbild-Ansichtskarte von Seubersdorf in der Oberpfalz mit verschiedenen Orts- und Landschaftsmotiven im ungelaufenen Top-Zustand[cite: 17, 18]</t>
  </si>
  <si>
    <t>Heimatkarte aus der Region im hervorragenden ungelaufenen Zustand[cite: 17, 18]</t>
  </si>
  <si>
    <t>AK-2026-0501</t>
  </si>
  <si>
    <t>Das Passauer Domorgel, 1924–28 erbaut von Steinmeyer in Oettingen...</t>
  </si>
  <si>
    <t>AK-2026-0502</t>
  </si>
  <si>
    <t>AK-2026-0503</t>
  </si>
  <si>
    <t>Kurpark Bad Gögging (mit Skulptur und Parkanlage im Frühling)</t>
  </si>
  <si>
    <t>G. Adolph, Photowerkskunst, Passau</t>
  </si>
  <si>
    <t>Passau / Niederbayern / Bayern</t>
  </si>
  <si>
    <t>Passau / Dom / Domorgel / Steinmeyer / Orgel / Niederbayern</t>
  </si>
  <si>
    <t>Historische, echte Foto-Ansichtskarte von der berühmten Passauer Domorgel</t>
  </si>
  <si>
    <t>Beeindruckende echte Foto-Ansichtskarte der größten Domorgel der Welt im ungelaufenen Top-Zustand</t>
  </si>
  <si>
    <t>Freystadt / Opf. (Wallfahrtskirche Maria Hilf im Winter)</t>
  </si>
  <si>
    <t>Verlag Foto Kohlbauer, R. u. E. Lippert, Pfronten/Allgäu (OLU 598)</t>
  </si>
  <si>
    <t>Freystadt / Landkreis Neumarkt in der Oberpfalz / Oberpfalz / Bayern</t>
  </si>
  <si>
    <t>Freystadt / Maria Hilf / Wallfahrtskirche / Winter / Oberpfalz</t>
  </si>
  <si>
    <t>Historische, echte Foto-Ansichtskarte der Wallfahrtskirche Maria Hilf in Freystadt (Oberpfalz) im Winter im ungelaufenen Top-Zustand</t>
  </si>
  <si>
    <t>Wunderschönes, stimmungsvolles Winter-Echtfotomotiv der barocken Wallfahrtskirche in Freystadt im ungelaufenen Bestzustand</t>
  </si>
  <si>
    <t>Verlag Foto Kohlbauer, R. u. E. Lippert, Pfronten/Allgäu (AKOO / Perutz-Film)</t>
  </si>
  <si>
    <t>Bad Gögging / Landkreis Kelheim / Niederbayern / Bayern</t>
  </si>
  <si>
    <t>Bad Gögging / Kurpark / Bad Abbach / Niederbayern / Kurort</t>
  </si>
  <si>
    <t>Historische, gelaufene Farb-Ansichtskarte aus dem Kurort Bad Gögging mit handgeschriebener Nachricht und Poststempel von Bad Gögging</t>
  </si>
  <si>
    <t>Charmante Kurort-Ansichtskarte mit persönlicher Nachricht an Frau Maria Sauerer</t>
  </si>
  <si>
    <t>AK-2026-0504</t>
  </si>
  <si>
    <t>Gasthof zum Watzmann, Berchtesgaden (mit Bergmassiv im Hintergrund)</t>
  </si>
  <si>
    <t>Aufnahme und Verlag: A. Hiersegger, Berchtesgaden / M. Schwaiger</t>
  </si>
  <si>
    <t>Berchtesgaden / Watzmann / Gasthof / Alpen / Oberbayern</t>
  </si>
  <si>
    <t>Historische, echte Foto-Ansichtskarte vom Gasthof zum Watzmann in Berchtesgaden im ungelaufenen Top-Zustand</t>
  </si>
  <si>
    <t>Wunderschönes, alpines echtes Fotomotiv mit dem markanten Watzmann im ungelaufenen Bestzustand</t>
  </si>
  <si>
    <t>AK-2026-0505</t>
  </si>
  <si>
    <t>Regensburg (Frohe Weihnachten und ein gutes Neues Jahr – Regensburger Dom und Alte Brücke bei Nacht)</t>
  </si>
  <si>
    <t>Regensburger Brückentor und Dom / Kunst-Verlag Paul Janke, Nürnberg</t>
  </si>
  <si>
    <t>Regensburg / Dom / Steinerne Brücke / Weihnachtskarte / Nachtaufnahme / Oberpfalz</t>
  </si>
  <si>
    <t>Historische, gelaufene Nachtaufnahme-Ansichtskarte von Regensburg mit Weihnachts- und Neujahrsgrüßen, gestempelt 1967 an Oberinspektor Theo Sauerer</t>
  </si>
  <si>
    <t>Stimmungsvolle weihnachtliche Nachtaufnahme aus Regensburg mit historischem Poststempel von 1967</t>
  </si>
  <si>
    <t>AK-2026-0506</t>
  </si>
  <si>
    <t>Regensburg (Steinerne Brücke und Dom im Querformat/Ansicht)</t>
  </si>
  <si>
    <t>Verlag Ludwig Simon, München-Pullach (Echt Foto)</t>
  </si>
  <si>
    <t>Regensburg / Steinerne Brücke / Dom / Altstadt / Oberpfalz</t>
  </si>
  <si>
    <t>Historische, echte Foto-Ansichtskarte von Regensburg mit Blick auf Brücke und Dom im ungelaufenen Top-Zustand</t>
  </si>
  <si>
    <t>Klassische, gestochen scharfe Echtfoto-Ansichtskarte aus Regensburg im hervorragenden Zustand</t>
  </si>
  <si>
    <t>AK-2026-0507</t>
  </si>
  <si>
    <t>Würzburg, Festung Marienberg</t>
  </si>
  <si>
    <t>Unbekannt / Ohne Verlagsangabe</t>
  </si>
  <si>
    <t>Würzburg / Unterfranken / Bayern</t>
  </si>
  <si>
    <t>Würzburg / Festung Marienberg / Main / Unterfranken</t>
  </si>
  <si>
    <t>Historische, echte Foto-Ansichtskarte von Würzburg mit Blick auf die Festung Marienberg und den Main im ungelaufenen Top-Zustand</t>
  </si>
  <si>
    <t>Klassische Echtfoto-Ansichtskarte von Würzburg mit Main und Festung Marienberg im hervorragenden Zustand</t>
  </si>
  <si>
    <t>AK-2026-0508</t>
  </si>
  <si>
    <t>Katholische Landvolkshochschule „Dr. Georg Heim“, 8924 Wies bei Steingaden / Oberbayern</t>
  </si>
  <si>
    <t>Hersteller und Verlag Schöning &amp; Co., Lübeck (Echt Schöning-Foto, Best.-Nr. SH 28499, Besteller: Wies Luft 7588)</t>
  </si>
  <si>
    <t>Wies bei Steingaden / Landkreis Schongau / Oberbayern / Bayern</t>
  </si>
  <si>
    <t>Wies bei Steingaden / Landvolkshochschule Dr. Georg Heim / Wieskirche / Oberbayern</t>
  </si>
  <si>
    <t>Historische, echte Foto-Ansichtskarte der Katholischen Landvolkshochschule Dr. Georg Heim in Wies bei Steingaden im ungelaufenen Top-Zustand</t>
  </si>
  <si>
    <t>Interessante Architektur- und Ortsansicht der Landvolkshochschule in Wies bei Steingaden im ungelaufenen Bestzustand</t>
  </si>
  <si>
    <t>AK-2026-0509</t>
  </si>
  <si>
    <t>Schloss Neuschwanstein, Hohenschwangau u. Alpsee[cite: 4, 7]</t>
  </si>
  <si>
    <t>Echter Kupferlichtdruck / Verlag Josef Riesinger, Mering[cite: 7]</t>
  </si>
  <si>
    <t>Schwangau / Landkreis Ostallgäu / Schwaben / Bayern[cite: 4, 7]</t>
  </si>
  <si>
    <t>Schwangau / Schloss Neuschwanstein / Hohenschwangau / Alpsee / Allgäu / Schwaben[cite: 4, 7]</t>
  </si>
  <si>
    <t>Gelaufen / Gut (Z2)[cite: 7]</t>
  </si>
  <si>
    <t>Historische, gelaufene Ansichtskarte von Schloss Neuschwanstein und Hohenschwangau mit handgeschriebener Nachricht und Poststempel[cite: 6, 7]</t>
  </si>
  <si>
    <t>Klassisches und beliebtes Motiv der königlichen Schlösser im Allgäu, gelaufen[cite: 4, 7]</t>
  </si>
  <si>
    <t>Altersentsprechender Zustand, gelaufen, leichte Gebrauchsspuren[cite: 7]</t>
  </si>
  <si>
    <t>AK-2026-0510</t>
  </si>
  <si>
    <t>Gruss aus Metten / Offenberg a.D. (Donaulandschaft mit Kloster/Ortsansicht)[cite: 6]</t>
  </si>
  <si>
    <t>Verlag Josef Riesinger, Mering[cite: 6]</t>
  </si>
  <si>
    <t>Metten / Landkreis Deggendorf / Niederbayern / Bayern[cite: 6]</t>
  </si>
  <si>
    <t>Metten / Offenberg / Donau / Niederbayern / Gruss aus[cite: 6]</t>
  </si>
  <si>
    <t>Gelaufen / Gut (Z2)[cite: 6, 7]</t>
  </si>
  <si>
    <t>Historische, gelaufene Litho-Stil-Ansichtskarte „Gruss aus Metten“ mit Donaulandschaft und Stempel von Metten (Niederbayern) vom 29.11.1894 an Hochwürden Herrn Pfarrer Windhager in Wiesenfelden[cite: 6, 7]</t>
  </si>
  <si>
    <t>Frühe, historische Ansichtskarte aus dem 19. Jahrhundert mit schöner Stempeldatierung von 1894[cite: 6, 7]</t>
  </si>
  <si>
    <t>Altersentsprechender Zustand, gelaufen, altersbedingte Patina[cite: 6, 7]</t>
  </si>
  <si>
    <t>AK-2026-0511</t>
  </si>
  <si>
    <t>Wendelsteinhaus (Bayerische Alpen)[cite: 6, 7]</t>
  </si>
  <si>
    <t>Dilmar Zieger, München „Echt-Fotofotochrom“ / Verlag Georg Fuchs, Wendelsteinbahn (Best.-Nr. Z 3931)[cite: 7]</t>
  </si>
  <si>
    <t>Wendelstein / Bayerische Alpen / Bayern[cite: 6, 7]</t>
  </si>
  <si>
    <t>Wendelstein / Wendelsteinhaus / Alpen / Bergbahn / Oberbayern[cite: 6, 7]</t>
  </si>
  <si>
    <t>Historische, echte Foto-Ansichtskarte vom Wendelsteinhaus mit speziellem Stempel der Wendelsteingruppe / Georg Fuchs, gelaufen 1913 nach Leipzig[cite: 6, 7]</t>
  </si>
  <si>
    <t>Attraktive alpine Echtfoto-Ansichtskarte des Wendelsteinhauses mit historischem Bahn-Stempel von 1913[cite: 6, 7]</t>
  </si>
  <si>
    <t>Altersentsprechender Zustand, gelaufen, leichte Kantenabnutzung[cite: 6, 7]</t>
  </si>
  <si>
    <t>AK-2026-0512</t>
  </si>
  <si>
    <t>Schloss Linderhof (Erbaut 1874–1878 durch König Ludwig II. von Bayern – Park und Kaskade)[cite: 8, 9]</t>
  </si>
  <si>
    <t>Emil Kühn, Kunstverlag, München 8 (Best.-Nr. 2322)[cite: 9]</t>
  </si>
  <si>
    <t>Ettal / Landkreis Garmisch-Partenkirchen / Oberbayern / Bayern[cite: 8, 9]</t>
  </si>
  <si>
    <t>Ettal / Schloss Linderhof / König Ludwig II / Park / Kaskade / Oberbayern[cite: 8, 9]</t>
  </si>
  <si>
    <t>Gelaufen / Gut (Z2)[cite: 9]</t>
  </si>
  <si>
    <t>Historische, gelaufene Ansichtskarte von Schloss Linderhof mit handgeschriebener Nachricht und Poststempel von Oberammergau[cite: 8, 9]</t>
  </si>
  <si>
    <t>Beliebtes königliches Schlossmotiv mit Parkanlage und Wasserspiel im altersentsprechenden, gelaufenen Zustand[cite: 8, 9]</t>
  </si>
  <si>
    <t>Altersentsprechender Zustand, gelaufen, leichte Gebrauchsspuren[cite: 9]</t>
  </si>
  <si>
    <t>AK-2026-0513</t>
  </si>
  <si>
    <t>Ensdorf / Opf. (Ortsansicht / Klosterkirche)[cite: 8, 9]</t>
  </si>
  <si>
    <t>kelly-druck GmbH, 93325 Abensberg (Best.-Nr. 0 94 43/91 40-0, Teletex 5146-20)[cite: 9]</t>
  </si>
  <si>
    <t>Ensdorf / Landkreis Amberg-Sulzbach / Oberpfalz / Bayern[cite: 8, 9]</t>
  </si>
  <si>
    <t>Ensdorf / Oberpfalz / Kloster / Vils / Amberg-Sulzbach[cite: 8, 9]</t>
  </si>
  <si>
    <t>Ungelaufen / Sehr gut (Z1-2)[cite: 9]</t>
  </si>
  <si>
    <t>Moderne, echte Foto-Ansichtskarte von Ensdorf in der Oberpfalz im ungelaufenen Top-Zustand[cite: 8, 9]</t>
  </si>
  <si>
    <t>Lokales Ortsmotiv aus Ensdorf (Oberpfalz) im hervorragenden, ungelaufenen Zustand[cite: 8, 9]</t>
  </si>
  <si>
    <t>Ausgezeichneter Zustand, ungelaufen, Kanten tadellos[cite: 9]</t>
  </si>
  <si>
    <t>AK-2026-0514</t>
  </si>
  <si>
    <t>Freyung, 658 m, mit Kreuzberg und Lusen[cite: 10]</t>
  </si>
  <si>
    <t>Foto-Müller, Freyung (Nr. 65370)[cite: 10, 11]</t>
  </si>
  <si>
    <t>Freyung / Landkreis Freyung-Grafenau / Niederbayern / Bayern[cite: 10, 11]</t>
  </si>
  <si>
    <t>Freyung / Bayerischer Wald / Kreuzberg / Lusen / Niederbayern[cite: 10, 11]</t>
  </si>
  <si>
    <t>Gelaufen / Gut (Z2)[cite: 10, 11]</t>
  </si>
  <si>
    <t>Historische, gelaufene Ansichtskarte von Freyung mit Blick auf den Bayerischen Wald, Kreuzberg und Lusen, handschriftlich an Familie Josef Bartmann in Laubendorf Opf.[cite: 10, 11]</t>
  </si>
  <si>
    <t>Schöne, gelaufene Landschaftsaufnahme aus dem Bayerischen Wald mit direktem regionalem Familienbezug in die Oberpfalz[cite: 10, 11]</t>
  </si>
  <si>
    <t>Altersentsprechender Zustand, gelaufen, leichte Gebrauchsspuren[cite: 10, 11]</t>
  </si>
  <si>
    <t>AK-2026-0515</t>
  </si>
  <si>
    <t>Rothenburg o. Tbr. – Blick vom Wehrgang[cite: 10]</t>
  </si>
  <si>
    <t>Kunstverlagsanstalt Bruno Hermann, Cassel (Nr. 10619)[cite: 11]</t>
  </si>
  <si>
    <t>Rothenburg ob der Tauber / Landkreis Ansbach / Mittelfranken / Bayern[cite: 10, 11]</t>
  </si>
  <si>
    <t>Rothenburg ob der Tauber / Wehrgang / Altstadt / Mittelfranken[cite: 10, 11]</t>
  </si>
  <si>
    <t>Historische, gelaufene Ansichtskarte von Rothenburg ob der Tauber mit Blick vom Wehrgang und historischen Reichspost-Briefmarken (Deutsches Reich)[cite: 10, 11]</t>
  </si>
  <si>
    <t>Klassisches und detailreiches Altstadtmotiv aus Rothenburg mit historischer Frankierung aus der Zeit des Deutschen Reichs[cite: 10, 11]</t>
  </si>
  <si>
    <t>Altersentsprechender Zustand, gelaufen, altersbedingte Patina[cite: 10, 11]</t>
  </si>
  <si>
    <t>AK-2026-0516</t>
  </si>
  <si>
    <t>Wieskirche in Steingaden (Innenansicht / Rokoko-Altar)[cite: 10]</t>
  </si>
  <si>
    <t>Verlag: Julius Boland, Kucklesmühle[cite: 11]</t>
  </si>
  <si>
    <t>Steingaden / Landkreis Weilheim-Schongau / Oberbayern / Bayern[cite: 10, 11]</t>
  </si>
  <si>
    <t>Steingaden / Wieskirche / Rokoko / Innenansicht / Oberbayern[cite: 10, 11]</t>
  </si>
  <si>
    <t>Ungelaufen / Sehr gut (Z1-2)[cite: 10, 11]</t>
  </si>
  <si>
    <t>Historische Echtfoto-Ansichtskarte der weltberühmten Wieskirche in Steingaden mit Blick auf den prachtvollen Rokoko-Hochaltar im ungelaufenen Top-Zustand[cite: 10, 11]</t>
  </si>
  <si>
    <t>Beeindruckende Innenaufnahme der zum UNESCO-Weltkulturerbe gehörenden Wieskirche in hervorragendem, ungelaufenem Zustand[cite: 10, 11]</t>
  </si>
  <si>
    <t>Ausgezeichneter Zustand, ungelaufen, Kanten tadellos[cite: 10, 11]</t>
  </si>
  <si>
    <t>AK-2026-0517</t>
  </si>
  <si>
    <t>Benediktbeuern mit Benediktenwand (Altes Kloster Oberbayerns)[cite: 12, 13]</t>
  </si>
  <si>
    <t>Aufnahme und Verlag Photo-Thoma, Benediktbeuern (Best.-Nr. 730–40)[cite: 13]</t>
  </si>
  <si>
    <t>Benediktbeuern / Landkreis Bad Tölz-Wolfratshausen / Oberbayern / Bayern[cite: 12, 13]</t>
  </si>
  <si>
    <t>Benediktbeuern / Benediktenwand / Kloster / Oberbayern[cite: 12, 13]</t>
  </si>
  <si>
    <t>Gelaufen / Gut (Z2)[cite: 13]</t>
  </si>
  <si>
    <t>Historische, gelaufene Ansichtskarte von Benediktbeuern mit dem Kloster und der Benediktenwand, mit handschriftlicher Nachricht und Poststempel[cite: 12, 13]</t>
  </si>
  <si>
    <t>Schönes, klassisches Kloster- und Bergmotiv aus Oberbayern im altersentsprechenden, gelaufenen Zustand[cite: 12, 13]</t>
  </si>
  <si>
    <t>Altersentsprechender Zustand, gelaufen, leichte Gebrauchsspuren[cite: 13]</t>
  </si>
  <si>
    <t>AK-2026-0518</t>
  </si>
  <si>
    <t>Wurzhütte über Neuhaus b. Schliersee / Spitzingsee[cite: 12, 13]</t>
  </si>
  <si>
    <t>Aufnahme und Verlag H. Heckmair, Bayrischzell (Alle Rechte vorbehalten)[cite: 13]</t>
  </si>
  <si>
    <t>Neuhaus / Spitzingsee / Landkreis Miesbach / Oberbayern / Bayern[cite: 12, 13]</t>
  </si>
  <si>
    <t>Wurzhütte / Spitzingsee / Neuhaus / Schliersee / Oberbayern[cite: 12, 13]</t>
  </si>
  <si>
    <t>Ungelaufen / Sehr gut (Z1-2)[cite: 13]</t>
  </si>
  <si>
    <t>Historische Echtfoto-Ansichtskarte von der Wurzhütte am Spitzingsee / Neuhaus bei Schliersee im ungelaufenen Top-Zustand[cite: 12, 13]</t>
  </si>
  <si>
    <t>Beliebtes Ausflugs- und Hüttenmotiv aus den bayerischen Alpen in hervorragender Erhaltung[cite: 12, 13]</t>
  </si>
  <si>
    <t>Ausgezeichneter Zustand, ungelaufen, Kanten tadellos[cite: 13]</t>
  </si>
  <si>
    <t>AK-2026-0519</t>
  </si>
  <si>
    <t>Nürnberg, Burg von Süden (im Winter mit Schnee)</t>
  </si>
  <si>
    <t>Hermann Martin, Kunstverlag, Nürnberg (Best.-Nr. 398, gelaufen 1901)</t>
  </si>
  <si>
    <t>Nürnberg / Kaiserburg / Winter / Mittelfranken</t>
  </si>
  <si>
    <t>Historische, gelaufene Neujahrs-Ansichtskarte von Nürnberg mit Blick auf die Burg im Schnee, mit Bahnpost-Stempel vom 23. Dez. 1902 an Herrn Josef Laurer in Ensdorf (Oberpfalz)</t>
  </si>
  <si>
    <t>Schöne, stimmungsvolle Wintermotiv-Ansicht aus Nürnberg mit historischem Bezug in die Oberpfalz</t>
  </si>
  <si>
    <t>Altersentsprechender Zustand, gelaufen, leichte Patina</t>
  </si>
  <si>
    <t>AK-2026-0520</t>
  </si>
  <si>
    <t>Zwiesel, bayer. Wald, mit dem Falkenstein</t>
  </si>
  <si>
    <t>Unbekannt / Ohne Verlagsangabe (gelaufen)</t>
  </si>
  <si>
    <t>Zwiesel / Landkreis Regen / Niederbayern / Bayern</t>
  </si>
  <si>
    <t>Zwiesel / Bayerischer Wald / Falkenstein / Niederbayern</t>
  </si>
  <si>
    <t>Historische, gelaufene Ansichtskarte aus dem Bayerischen Wald mit Blick auf Zwiesel und den Falkenstein, mit Stempel von Zwiesel</t>
  </si>
  <si>
    <t>Klassische Landschafts- und Ortsansicht aus dem Bayerischen Wald im altersentsprechenden, gelaufenen Zustand</t>
  </si>
  <si>
    <t>Altersentsprechender Zustand, gelaufen, Gebrauchsspuren</t>
  </si>
  <si>
    <t>AK-2026-0521</t>
  </si>
  <si>
    <t>Schwarzhofen, Landkr. Neunburg v. W.</t>
  </si>
  <si>
    <t>Foto u. Verlag Alfred Schaffer, Schwandorf i. Bay. / Neunburg v. W. (Best.-Nr. Ng 102, Alleinverkauf Th. Stagerl)</t>
  </si>
  <si>
    <t>Schwarzhofen / Landkreis Schwandorf / Oberpfalz / Bayern</t>
  </si>
  <si>
    <t>Schwarzhofen / Neunburg vorm Wald / Oberpfalz</t>
  </si>
  <si>
    <t>Historische Echtfoto-Ansichtskarte von Schwarzhofen im Landkreis Schwandorf (Oberpfalz) im ungelaufenen Top-Zustand</t>
  </si>
  <si>
    <t>Lokales, sehr passendes Oberpfalz-Motiv aus der direkten Heimatregion in hervorragender Erhaltung</t>
  </si>
  <si>
    <t>AK-2026-0522</t>
  </si>
  <si>
    <t>St. Bartholomä am Königsee</t>
  </si>
  <si>
    <t>Verlag C. Dietz sen. Nachf., Berchtesgaden (Best.-Nr. 1913 Nr. 479)</t>
  </si>
  <si>
    <t>Schönau am Königssee / Landkreis Berchtesgadener Land / Oberbayern / Bayern</t>
  </si>
  <si>
    <t>Königssee / St. Bartholomä / Berchtesgaden / Oberbayern</t>
  </si>
  <si>
    <t>Historische Ansichtskarte vom Königssee mit der Wallfahrtskirche St. Bartholomä im ungelaufenen Top-Zustand</t>
  </si>
  <si>
    <t>Klassisches und sehr beliebtes Alpenmotiv vom Königssee in hervorragender Erhaltung</t>
  </si>
  <si>
    <t>AK-2026-0523</t>
  </si>
  <si>
    <t>Altötting (Marktplatz mit Basilika und Gnadenkapelle)</t>
  </si>
  <si>
    <t>Verlag Otto Ernst, Photograph, Altötting</t>
  </si>
  <si>
    <t>Altötting / Landkreis Altötting / Oberbayern / Bayern</t>
  </si>
  <si>
    <t>Altötting / Gnadenkapelle / Basilika / Oberbayern</t>
  </si>
  <si>
    <t>Historische, gelaufene Ansichtskarte von Altötting mit dem Wallfahrtszentrum, mit Poststempel von Altötting an Herrn Josef Vogl in Lupburg i. Opf.</t>
  </si>
  <si>
    <t>Bekanntes bayerisches Wallfahrtsmotiv mit historischem Poststempel und direktem Bezug in die Oberpfalz</t>
  </si>
  <si>
    <t>AK-2026-0524</t>
  </si>
  <si>
    <t>Blick vom Arber-Schutzhaus ins Eisensteiner Tal</t>
  </si>
  <si>
    <t>Orig.-Aufnahme Kunst- und Verlagsanstalt Martin Herpich, München (Best.-Nr. 232)</t>
  </si>
  <si>
    <t>Bayerisch Eisenstein / Landkreis Regen / Niederbayern / Bayern</t>
  </si>
  <si>
    <t>Großer Arber / Arber-Schutzhaus / Eisensteiner Tal / Bayerischer Wald / Niederbayern</t>
  </si>
  <si>
    <t>Historische Echtfoto-Ansichtskarte vom Großen Arber Schutzhaus mit Blick ins Eisensteiner Tal im ungelaufenen Top-Zustand</t>
  </si>
  <si>
    <t>Schönes, stimmungsvolles Wander- und Hüttenmotiv aus dem Bayerischen Wald im tadellosen Zustand</t>
  </si>
  <si>
    <t>Ausgezeichneter Zustand, ungelaufen, Kanten scharf</t>
  </si>
  <si>
    <t>AK-2026-0525</t>
  </si>
  <si>
    <t>Polizeiheim am Spitzingsee geg. Brecherspitz (Nr. 1750)</t>
  </si>
  <si>
    <t>Aufnahme u. Verlag Georg Eitzenberger, Photograph, Schliersee</t>
  </si>
  <si>
    <t>Schliersee / Landkreis Miesbach / Oberbayern / Bayern</t>
  </si>
  <si>
    <t>Spitzingsee / Brecherspitz / Schliersee / Oberbayern</t>
  </si>
  <si>
    <t>Historische Echtfoto-Ansichtskarte vom Polizeiheim am Spitzingsee mit Blick zur Brecherspitz im ungelaufenen Top-Zustand</t>
  </si>
  <si>
    <t>Schönes winterliches Alpenmotiv vom Spitzingsee in hervorragender Erhaltung</t>
  </si>
  <si>
    <t>AK-2026-0526</t>
  </si>
  <si>
    <t>Historische Echtfoto-Ansichtskarte vom Polizeiheim am Spitzingsee mit Blick zur Brecherspitz im ungelaufenen Top-Zustand (Doppelexemplar)</t>
  </si>
  <si>
    <t>Zweites Exemplar des beliebten Wintermotivs vom Spitzingsee im tadellosen Zustand</t>
  </si>
  <si>
    <t>AK-2026-0527</t>
  </si>
  <si>
    <t>Staffelberg, Felsenkrone</t>
  </si>
  <si>
    <t>Verlag H. O. Schulze, Lichtenfels</t>
  </si>
  <si>
    <t>Bad Staffelberg / Landkreis Lichtenfels / Oberfranken / Bayern</t>
  </si>
  <si>
    <t>Staffelberg / Felsenkrone / Oberfranken</t>
  </si>
  <si>
    <t>Historische, gelaufene Ansichtskarte vom Staffelberg mit Felsenkrone, mit Poststempel von Lichtenfels an Herrn Dr. Winkler in Leipzig</t>
  </si>
  <si>
    <t>Klassisches fränkisches Motiv vom fränkischen Hausberg mit historischem Poststempel</t>
  </si>
  <si>
    <t>AK-2026-0528</t>
  </si>
  <si>
    <t>Neue Gasse mit Grübelsbrunnen bei der Hochwasser-Katastrophe Nürnberg, den 5. Februar 1909</t>
  </si>
  <si>
    <t>Verlag von Winkler &amp; Schorn, Nürnberg</t>
  </si>
  <si>
    <t>Neue Gasse / Grübelsbrunnen / Nürnberg</t>
  </si>
  <si>
    <t>Historische Dokumentations-Ansichtskarte vom Nürnberger Hochwasser 1909 (Neue Gasse mit Grübelsbrunnen im Boot) im ungelaufenen Top-Zustand</t>
  </si>
  <si>
    <t>Historisch hochinteressantes Katastrophen-Zeitdokument aus Nürnberg in hervorragender Erhaltung</t>
  </si>
  <si>
    <t>AK-2026-0529</t>
  </si>
  <si>
    <t>Tucherstraße bei der Hochwasser-Katastrophe Nürnberg, den 5. Februar 1909</t>
  </si>
  <si>
    <t>Tucherstraße / Nürnberg</t>
  </si>
  <si>
    <t>Historische Dokumentations-Ansichtskarte vom Nürnberger Hochwasser 1909 (Tucherstraße mit Boot) im ungelaufenen Top-Zustand</t>
  </si>
  <si>
    <t>Gesuchtes Katastrophen-Motiv der historischen Nürnberger Pegnitzüberschwemmung</t>
  </si>
  <si>
    <t>AK-2026-0530</t>
  </si>
  <si>
    <t>Hauptmarkt mit Frauenkirche bei der Hochwasser-Katastrophe Nürnberg, den 5. Februar 1909</t>
  </si>
  <si>
    <t>Hauptmarkt / Frauenkirche / Nürnberg</t>
  </si>
  <si>
    <t>Historische Dokumentations-Ansichtskarte vom Nürnberger Hochwasser 1909 (Hauptmarkt mit überschwemmter Frauenkirche) im ungelaufenen Top-Zustand</t>
  </si>
  <si>
    <t>Beeindruckendes und seltenes Hauptmotiv der historischen Hochwasserkatastrophe auf dem Nürnberger Hauptmarkt</t>
  </si>
  <si>
    <t>Ausgezeichneter Zustand, ungelaufen, makellos</t>
  </si>
  <si>
    <t>AK-2026-0531</t>
  </si>
  <si>
    <t>Hochwasser-Katastrophe in Nürnberg am 4./5. Febr. 1909. Obstmarkt.</t>
  </si>
  <si>
    <t>P. E. N.</t>
  </si>
  <si>
    <t>Obstmarkt / Nürnberg</t>
  </si>
  <si>
    <t>Historische Dokumentations-Ansichtskarte vom Nürnberger Hochwasser 1909 (Obstmarkt unter Wasser) im ungelaufenen Top-Zustand</t>
  </si>
  <si>
    <t>Historisch bedeutendes Katastrophen-Zeitdokument aus Nürnberg in hervorragender Erhaltung</t>
  </si>
  <si>
    <t>AK-2026-0532</t>
  </si>
  <si>
    <t>Hochwasser-Katastrophe in Nürnberg am 4./5. Febr. 1909. Hauptmarkt mit Schönen Brunnen.</t>
  </si>
  <si>
    <t>Hauptmarkt / Schöner Brunnen / Nürnberg</t>
  </si>
  <si>
    <t>Historische Dokumentations-Ansichtskarte vom Nürnberger Hochwasser 1909 (Hauptmarkt mit Schönem Brunnen) im ungelaufenen Top-Zustand</t>
  </si>
  <si>
    <t>Gesuchtes Hauptmotiv der historischen Nürnberger Pegnitzüberschwemmung rund um den Schönen Brunnen</t>
  </si>
  <si>
    <t>AK-2026-0533</t>
  </si>
  <si>
    <t>Michelfeld / Opf. - Kloster Michelfeld</t>
  </si>
  <si>
    <t>Oberfränkischer Ansichtskartenverlag Bayreuth (Echt Foto, 237/3)</t>
  </si>
  <si>
    <t>Auerbach in der Oberpfalz / Amberg-Sulzbach / Bayern</t>
  </si>
  <si>
    <t>Michelfeld / Kloster / Opf.</t>
  </si>
  <si>
    <t>Kolorierte historische Ansichtskarte vom Kloster Michelfeld in der Oberpfalz, Echt Foto</t>
  </si>
  <si>
    <t>Schönes und detailreiches ortsgeschichtliches Dokument aus der Oberpfalz</t>
  </si>
  <si>
    <t>AK-2026-0534</t>
  </si>
  <si>
    <t>Ensdorf / Oberpfalz (Mehransichtenkarte mit Klosterkirche, Brücke, Kapelle etc.)</t>
  </si>
  <si>
    <t>klley-druck GmbH, 93326 Abensberg</t>
  </si>
  <si>
    <t>Amberg-Sulzbach / Oberpfalz / Bayern</t>
  </si>
  <si>
    <t>Ensdorf / Opf.</t>
  </si>
  <si>
    <t>Moderne Mehransichtenkarte von Ensdorf in der Oberpfalz im ungelaufenen Top-Zustand</t>
  </si>
  <si>
    <t>Heimatgeschichtlich schönes und farbenfrohes Motiv aus Ensdorf</t>
  </si>
  <si>
    <t>AK-2026-0535</t>
  </si>
  <si>
    <t>Münchner Kunst - Mutterseelenallein (Nr. 8158)</t>
  </si>
  <si>
    <t>Münchner Kunst / Verlag</t>
  </si>
  <si>
    <t>München / Kunstkarte / Interieur</t>
  </si>
  <si>
    <t>Historische Kunst-Ansichtskarte mit Interieur-Motiv („Mutterseelenallein“), gelaufen mit Notizen/Preiseintrag</t>
  </si>
  <si>
    <t>Interessantes historisches Kunstblatt im Stil der Münchner Kunstverlage</t>
  </si>
  <si>
    <t>Altersentsprechender Zustand, gelaufen, Stempelspuren</t>
  </si>
  <si>
    <t>AK-2026-0536</t>
  </si>
  <si>
    <t>Neugelbenreuth (Gesamtansicht / Luftbild-Charakter)</t>
  </si>
  <si>
    <t>Verlag: Foto Löwenherz, Marktredwitz (Echt Foto 1057)</t>
  </si>
  <si>
    <t>Neugelbenreuth</t>
  </si>
  <si>
    <t>Echt-Foto-Ansichtskarte von Neugelbenreuth, gelaufen mit handschriftlichem Gruß „Herzliche Glückwünsche...“</t>
  </si>
  <si>
    <t>Schönes echtes Fotodokument aus der Region Oberpfalz / Tirschenreuth</t>
  </si>
  <si>
    <t>Guter Zustand, postalisch gelaufen mit Stempel/Handschrift</t>
  </si>
  <si>
    <t>AK-2026-0537</t>
  </si>
  <si>
    <t>Königshaus am Schachen (1866m)[cite: 17, 18]</t>
  </si>
  <si>
    <t>Verlag O. Johannes (Beckert), Garmisch-Partenkirchen (Nr. 2063)[cite: 18]</t>
  </si>
  <si>
    <t>Garmisch-Partenkirchen / Oberbayern / Bayern[cite: 18]</t>
  </si>
  <si>
    <t>Königshaus am Schachen / Wettersteingebirge</t>
  </si>
  <si>
    <t>Historische Ansichtskarte vom Königshaus am Schachen, postalisch gelaufen nach Lupsburg b. Parsberg[cite: 17, 18]</t>
  </si>
  <si>
    <t>Schönes alpines historisches Motiv im Wettersteingebirge[cite: 17, 18]</t>
  </si>
  <si>
    <t>Altersentsprechender Zustand, postalisch gelaufen mit Stempel/Handschrift[cite: 18]</t>
  </si>
  <si>
    <t>AK-2026-0538</t>
  </si>
  <si>
    <t>Morgensonne überm Riegsee vor Murnau/Oberbayern bei Föhn mit Alp- und Zugspitze (Nr. 1104)[cite: 17, 18]</t>
  </si>
  <si>
    <t>Verlag „SUBILD“, Alex Bergmoser, München und Eching/A. (Aufnahme mit EXAKTA)[cite: 18]</t>
  </si>
  <si>
    <t>Garmisch-Partenkirchen / Weilheim-Schongau / Bayern</t>
  </si>
  <si>
    <t>Riegsee / Murnau / Zugspitze[cite: 17, 18]</t>
  </si>
  <si>
    <t>Echt-Foto-Ansichtskarte vom Riegsee mit Blick auf die Alpen, gelaufen nach Neuhof / Opf. mit Briefmarke[cite: 17, 18]</t>
  </si>
  <si>
    <t>Sehr stimmungsvolle alpine Spiegelung und Landschaftsaufnahme am Riegsee[cite: 17, 18]</t>
  </si>
  <si>
    <t>Guter Zustand, postalisch gelaufen mit Stempel und Marke[cite: 18]</t>
  </si>
  <si>
    <t>AK-2026-0539</t>
  </si>
  <si>
    <t>Höllental-Klamm (Bung. II., 1045 ü. M.) - Garmisch-Partenkirchen[cite: 17, 18]</t>
  </si>
  <si>
    <t>Aufnahme u. Verlag von O. Johannes (Beckert), Garmisch-Partenkirchen (Echte Fotografie)[cite: 18]</t>
  </si>
  <si>
    <t>Höllental-Klamm / Garmisch-Partenkirchen[cite: 17, 18]</t>
  </si>
  <si>
    <t>Echt-Foto-Ansichtskarte von der wildromantischen Höllental-Klamm im ungelaufenen Top-Zustand[cite: 17, 18]</t>
  </si>
  <si>
    <t>Beeindruckendes und gesuchtes echtes Fotomotiv aus den bayerischen Alpen[cite: 17, 18]</t>
  </si>
  <si>
    <t>Ausgezeichneter Zustand, ungelaufen, makellos[cite: 18]</t>
  </si>
  <si>
    <t>AK-2026-0540</t>
  </si>
  <si>
    <t>Ruhpolding mit Sonntagshorn und Reifberg</t>
  </si>
  <si>
    <t>Jul. Reichel, Ruhpolding bay. Alpen (Photo u. Verlag)</t>
  </si>
  <si>
    <t>Traunstein / Oberbayern / Bayern</t>
  </si>
  <si>
    <t>Ruhpolding / Sonntagshorn / Reifberg</t>
  </si>
  <si>
    <t>Historische Ansichtskarte von Ruhpolding mit Blick auf Sonntagshorn und Reifberg, gelaufen nach Oberreith b. Feldkirchen / Westerham mit Notopfer-Marke</t>
  </si>
  <si>
    <t>Schönes alpines Orts- und Bergmotiv in den bayerischen Alpen</t>
  </si>
  <si>
    <t>Altersentsprechender Zustand, postalisch gelaufen mit Stempel und Marken</t>
  </si>
  <si>
    <t>AK-2026-0541</t>
  </si>
  <si>
    <t>Klosterkirche Oberalteich / Ndb.</t>
  </si>
  <si>
    <t>Foto u. Verlag H. Tschersich, Togenheim / Obb. (Nr. 747)</t>
  </si>
  <si>
    <t>Deggendorf / Niederbayern / Bayern</t>
  </si>
  <si>
    <t>Klosterkirche Oberalteich</t>
  </si>
  <si>
    <t>Echt-Foto-Ansichtskarte vom Innenraum/Prunk der Klosterkirche Oberalteich in Niederbayern</t>
  </si>
  <si>
    <t>Beeindruckende sakrale Architektur und Innenansicht (Barock/Rokoko)</t>
  </si>
  <si>
    <t>Ausgezeichneter Zustand, ungelaufen</t>
  </si>
  <si>
    <t>AK-2026-0542</t>
  </si>
  <si>
    <t>Insel Reichenau (Bodensee) Münster</t>
  </si>
  <si>
    <t>Kunstverlag Franz Walter, Überlingen a. Bodensee (Reich. 103)</t>
  </si>
  <si>
    <t>Konstanz / Baden-Württemberg / Deutschland</t>
  </si>
  <si>
    <t>Insel Reichenau / Bodensee / Münster</t>
  </si>
  <si>
    <t>Historische Ansichtskarte vom Münster auf der Insel Reichenau am Bodensee</t>
  </si>
  <si>
    <t>Klassisches Motiv des UNESCO-Weltkulturerbes auf der Reichenau</t>
  </si>
  <si>
    <t>Sehr guter Zustand, ungelaufen</t>
  </si>
  <si>
    <t>AK-2026-0543</t>
  </si>
  <si>
    <t>Wallfahrtsort Mariabuchen / Gasthaus zur Buchenmühle</t>
  </si>
  <si>
    <t>C. Stahmüller, photogr. Anstalt, Aschaffenburg (Nr. 21218)</t>
  </si>
  <si>
    <t>Main-Tauber / Unterfranken / Bayern</t>
  </si>
  <si>
    <t>Mariabuchen / Lohr am Main</t>
  </si>
  <si>
    <t>Historische lithografische/kolorierte Ansichtskarte vom Wallfahrtsort Mariabuchen und der Buchenmühle, gelaufen nach Fulda / Eichsfeld Co.</t>
  </si>
  <si>
    <t>Schönes unterfränkisches Motiv im Spessart</t>
  </si>
  <si>
    <t>Altersentsprechender guter Zustand, postalisch gelaufen</t>
  </si>
  <si>
    <t>AK-2026-0544</t>
  </si>
  <si>
    <t>Grüss aus Plankenfels (Fränkische Schweiz) mit Burgruine, Tal und Ort</t>
  </si>
  <si>
    <t>Oberfränkischer Ansichtenverlag Bayreuth, Kahnstraße 51 (Nr. 133 / Café Edelweiß)</t>
  </si>
  <si>
    <t>Bayreuth / Oberfranken / Bayern</t>
  </si>
  <si>
    <t>Plankenfels / Fränkische Schweiz</t>
  </si>
  <si>
    <t>Mehrbild-Ansichtskarte (Grüß aus) von Plankenfels in der Fränkischen Schweiz, gelaufen nach Wörsdorf</t>
  </si>
  <si>
    <t>Klassische fränkische Mehrbild-Karte mit detailliertem Text über Ausflüge</t>
  </si>
  <si>
    <t>Guter Zustand, postalisch gelaufen mit Stempel und Marke</t>
  </si>
  <si>
    <t>AK-2026-0545</t>
  </si>
  <si>
    <t>Moawirt, Schweighof, Wagrain (St. Johann im Pongau)</t>
  </si>
  <si>
    <t>Foto Heinrich Oczlon, St. Johann im Pongau (680 H)</t>
  </si>
  <si>
    <t>St. Johann im Pongau / Salzburg / Österreich</t>
  </si>
  <si>
    <t>Schweighof / Wagrain / Pongau</t>
  </si>
  <si>
    <t>Echt-Foto-Ansichtskarte vom Gasthaus Moawirt in Schweighof bei Wagrain (Salzburger Land) mit handschriftlichen Preisangaben</t>
  </si>
  <si>
    <t>Schönes österreichisches Alp- und Gasthof-Motiv</t>
  </si>
  <si>
    <t>AK-2026-0546</t>
  </si>
  <si>
    <t>Pfarrkirche Ensdorf, Opf. (ehem. Benediktinerabteikirche, Baumeister Wolfgang Dientzenhofer, Deckenfresken von Cosmas Damian Asam)</t>
  </si>
  <si>
    <t>Foto Dr. Johannes Steiner, München (Schnell Steiner München, Nr. 2024)</t>
  </si>
  <si>
    <t>Ensdorf / Oberpfalz</t>
  </si>
  <si>
    <t>Ansichtskarte von der Pfarrkirche und ehem. Benediktinerabteikirche in Ensdorf (Oberpfalz) mit Werken von Dientzenhofer und Asam</t>
  </si>
  <si>
    <t>Heimatmotiv aus der direkten Region (Ensdorf, Opf.) mit bedeutender Barockarchitektur</t>
  </si>
  <si>
    <t>AK-2026-0547</t>
  </si>
  <si>
    <t>Kirchberg im Wald üb. Regen</t>
  </si>
  <si>
    <t>Ernst Pfeffer, Gemischtwaren, Kirchberg im Wald (Freigep. d. Reg.-Präs. Münster C. 5205)</t>
  </si>
  <si>
    <t>Regen / Niederbayern / Bayern</t>
  </si>
  <si>
    <t>Kirchberg im Wald / Bayerischer Wald</t>
  </si>
  <si>
    <t>Historische Ansichtskarte von Kirchberg im Wald über Regen im Bayerischen Wald, postalisch gelaufen nach Leinersdorf, Kreis Parsberg</t>
  </si>
  <si>
    <t>Schönes Orts- und Landschaftsmotiv aus dem Bayerischen Wald</t>
  </si>
  <si>
    <t>Altersentsprechender Zustand, postalisch gelaufen mit Stempel und Marke</t>
  </si>
  <si>
    <t>AK-2026-0548</t>
  </si>
  <si>
    <t>Gruss aus Vierzehnheiligen. Gnadenaltar.</t>
  </si>
  <si>
    <t>Unbekannt / Verlag (Ansatz unten links im Bild erkennbar)</t>
  </si>
  <si>
    <t>Lichtenfels / Oberfranken / Bayern</t>
  </si>
  <si>
    <t>Vierzehnheiligen (Bad Staffelstein)</t>
  </si>
  <si>
    <t>Ansichtskarte mit Darstellung des prächtigen Gnadenaltars in der Wallfahrtskirche Vierzehnheiligen</t>
  </si>
  <si>
    <t>Bekanntes fränkisches Wallfahrtsmotiv mit Barockarchitektur</t>
  </si>
  <si>
    <t>Altersgemäßer guter Zustand, ungelaufen</t>
  </si>
  <si>
    <t>AK-2026-0549</t>
  </si>
  <si>
    <t>Greding: Das oltertümliche Städtchen an der Autobahn Nürnberg-München. Urkundlich erstmals i. J. 1097 erwähnt</t>
  </si>
  <si>
    <t>Verlag Fritz Lauterbach, Fürth i. Bay., Soldnerstr. 3</t>
  </si>
  <si>
    <t>Roth / Mittelfranken / Bayern</t>
  </si>
  <si>
    <t>Greding</t>
  </si>
  <si>
    <t>Historische Ansichtskarte von Greding mit Blick auf das Städtchen, postalisch gelaufen mit Poststempel "Schwabach" an Familie Marie Beer (Gärtnerei Kühnel) in Seubersdorf, Oberpfalz</t>
  </si>
  <si>
    <t>Schöne Ortsansicht mit regionalem Bezug zur Oberpfalz (Empfänger in Seubersdorf)</t>
  </si>
  <si>
    <t>Altersentsprechender Zustand, postalisch gelaufen mit Marke und Stempel</t>
  </si>
  <si>
    <t>AK-2026-0550</t>
  </si>
  <si>
    <t>Chiemgau: Obing a. See</t>
  </si>
  <si>
    <t>Chiemgau-Landschaftsverlag F. Geisl, Obing</t>
  </si>
  <si>
    <t>Obing a. See / Chiemgau</t>
  </si>
  <si>
    <t>Ansichtskarte vom See in Obing (Chiemgau) mit Kahn und Personen im Vordergrund, postalisch gelaufen</t>
  </si>
  <si>
    <t>Idyllisches Chiemgau-Motiv mit See und Boot</t>
  </si>
  <si>
    <t>Altersentsprechender Zustand, postalisch gelaufen mit Stempelresten</t>
  </si>
  <si>
    <t>AK-2026-0551</t>
  </si>
  <si>
    <t>Gruss aus Amberg / Opf. (Mehransichtenkarte mit St. Martin, Maria Hilf, Nabburger Tor, Stadtbrille, Stadtmauer)</t>
  </si>
  <si>
    <t>Hersteller und Verlag Schöning &amp; Co., Lübeck (Bestellnr. Amberg 152)</t>
  </si>
  <si>
    <t>Amberg / Oberpfalz / Bayern</t>
  </si>
  <si>
    <t>Amberg / Opf.</t>
  </si>
  <si>
    <t>Historische Mehransichtenkarte von Amberg in der Oberpfalz, postalisch gelaufen mit Poststempel AMBERG an Marie Beer in Seubersdorf[cite: 16]</t>
  </si>
  <si>
    <t>Heimatgeschichtlich bedeutende Mehransicht aus Amberg mit lokalem Bezug</t>
  </si>
  <si>
    <t>Altersentsprechender Zustand, postalisch gelaufen mit Briefmarke und Stempel[cite: 16]</t>
  </si>
  <si>
    <t>AK-2026-0552</t>
  </si>
  <si>
    <t>Tanz-Café "Hafenbar" in Nittenau / Opf. (Café Kämpf, In Nittenau / Bayer. Wald / Kreis Roding)</t>
  </si>
  <si>
    <t>60 Jahre Cramers Kunstanstalt KG, Dortmund (Nit 37 62/20)</t>
  </si>
  <si>
    <t>Schwandorf / Oberpfalz / Bayern</t>
  </si>
  <si>
    <t>Nittenau / Hafenbar / Bayerischer Wald</t>
  </si>
  <si>
    <t>Mehrbild-Ansichtskarte vom Tanz-Café "Hafenbar" (Café Kämpf) in Nittenau im Bayerischen Wald mit Innen- und Außenansichten</t>
  </si>
  <si>
    <t>Seltenes und nostalgisches Gastro- und Unterhaltungsmotiv aus den 1960er Jahren</t>
  </si>
  <si>
    <t>The Dutch Garden, Hampton Court Palace</t>
  </si>
  <si>
    <t>Photochrom Co. Ltd., London (No. 18450)</t>
  </si>
  <si>
    <t>Surrey / England / Großbritannien</t>
  </si>
  <si>
    <t>Hampton Court Palace / The Dutch Garden</t>
  </si>
  <si>
    <t>Historische Ansichtskarte vom "Dutch Garden" im Hampton Court Palace bei London, gedruckt in England</t>
  </si>
  <si>
    <t>Klassisches englisches Park- und Schlossmotiv</t>
  </si>
  <si>
    <t>The Pier, Ventnor</t>
  </si>
  <si>
    <t>Valentine's Series</t>
  </si>
  <si>
    <t>Isle of Wight / England / Großbritannien</t>
  </si>
  <si>
    <t>Ventnor / Isle of Wight / The Pier</t>
  </si>
  <si>
    <t>Historische Ansichtskarte vom Pier in Ventnor auf der Isle of Wight</t>
  </si>
  <si>
    <t>Beliebtes britisches Küsten- und Seebrücken-Motiv</t>
  </si>
  <si>
    <t>Altersentsprechender Zustand, ungelaufen</t>
  </si>
  <si>
    <t>Ventnor, Isle of Wight, at Low Water</t>
  </si>
  <si>
    <t>Ventnor Art Series (No. 831 / F. 45050)</t>
  </si>
  <si>
    <t>Ventnor / Isle of Wight / Strand</t>
  </si>
  <si>
    <t>Historische Ansichtskarte mit Strandansicht bei Ebbe in Ventnor auf der Isle of Wight mit Badewagen und Personen</t>
  </si>
  <si>
    <t>Nostalgisches britisches Strand- und Küstenmotiv um die Jahrhundertwende</t>
  </si>
  <si>
    <t>AK-INT-2026-0001</t>
  </si>
  <si>
    <t>AK-INT-2026-0002</t>
  </si>
  <si>
    <t>AK-INT-2026-0003</t>
  </si>
  <si>
    <t>AK-INT-2026-0004</t>
  </si>
  <si>
    <t>AK-INT-2026-0005</t>
  </si>
  <si>
    <t>AK-INT-2026-0006</t>
  </si>
  <si>
    <t>Ventnor from West</t>
  </si>
  <si>
    <t>Ventnor / Isle of Wight / Ansicht von Westen</t>
  </si>
  <si>
    <t>Historische Ansichtskarte mit Blick auf Ventnor von Westen auf der Isle of Wight[cite: 5, 6]</t>
  </si>
  <si>
    <t>Klassisches britisches Küsten- und Ortsmotiv</t>
  </si>
  <si>
    <t>Altersentsprechender Zustand, ungelaufen[cite: 6]</t>
  </si>
  <si>
    <t>The Three Grand Avenues, Hampton Court Palace (No. 101)</t>
  </si>
  <si>
    <t>The Morland Series (Published at the Morland Studio, Kingston-on-Thames)</t>
  </si>
  <si>
    <t>Hampton Court Palace / The Three Grand Avenues</t>
  </si>
  <si>
    <t>Historische Ansichtskarte der drei großen Alleen im Hampton Court Palace, gedruckt in England[cite: 5, 6]</t>
  </si>
  <si>
    <t>Eindrucksvolles historisches Park- und Schlossmotiv</t>
  </si>
  <si>
    <t>Ausgezeichneter Zustand, ungelaufen[cite: 6]</t>
  </si>
  <si>
    <t>Hampton Court Palace from the Thames (No. 18090)</t>
  </si>
  <si>
    <t>Photochrom Co. Ltd., London</t>
  </si>
  <si>
    <t>Hampton Court Palace / Thames</t>
  </si>
  <si>
    <t>Historische Ansichtskarte mit Blick auf den Hampton Court Palace von der Themse aus, gedruckt in England[cite: 5, 6]</t>
  </si>
  <si>
    <t>Klassisches englisches Schloss- und Flussmotiv</t>
  </si>
  <si>
    <t>AK-2026-0553</t>
  </si>
  <si>
    <t>Gruss aus Pleystein im Oberpfälzer Wald (Kreuzbergkirche mit Fahrenberg)</t>
  </si>
  <si>
    <t>Verlag Reinhold Lippert, Ebermannstadt / Fränk. Schweiz (Best.-Nr. 0 8336/0)</t>
  </si>
  <si>
    <t>Neustadt a.d. Waldnaab / Oberpfalz / Bayern</t>
  </si>
  <si>
    <t>Pleystein / Kreuzbergkirche / Fahrenberg</t>
  </si>
  <si>
    <t>Historische Ansichtskarte von Pleystein im Oberpfälzer Wald mit Kreuzbergkirche, postalisch gelaufen mit Poststempel PLEYSTEIN vom 10.11.1971 an Frau Maria Beer in Seubersdorf[cite: 7, 8]</t>
  </si>
  <si>
    <t>Heimatgeschichtliches Motiv aus der Oberpfalz mit historischem Stempel</t>
  </si>
  <si>
    <t>Altersentsprechender Zustand, postalisch gelaufen mit Briefmarke und Stempel[cite: 7, 8]</t>
  </si>
  <si>
    <t>AK-2026-0554</t>
  </si>
  <si>
    <t>Grüße aus Ingolstadt an der Donau (Mehransichtenkarte mit Donaubrücke, Auwaldsee, Rathausplatz, Schillerbrücke, Hindenburgpark, Stadttheater)</t>
  </si>
  <si>
    <t>60 Jahre Cramers Kunstanstalt KG, Dortmund (Nit 29/20)</t>
  </si>
  <si>
    <t>Ingolstadt / Bayern</t>
  </si>
  <si>
    <t>Ingolstadt / Mehransichten</t>
  </si>
  <si>
    <t>Mehrbild-Ansichtskarte mit verschiedenen Motiven und Stadtwappen von Ingolstadt an der Donau</t>
  </si>
  <si>
    <t>Vielseitige bayerische Großstadt-Mehransichtenkarte</t>
  </si>
  <si>
    <t>AK-2026-0555</t>
  </si>
  <si>
    <t>Gasthof - Metzgerei „Zum Burgblick“, Burglengenfeld / Opf. (Mehransichten mit Gaststube, Gebäudeansicht und Außenbereich)</t>
  </si>
  <si>
    <t>Schwarz-Verlag GmbH, Kenzingen / Breisgau (Bestell-Nr. 52336)</t>
  </si>
  <si>
    <t>Gasthof Zum Burgblick / Burglengenfeld</t>
  </si>
  <si>
    <t>Mehrbild-Ansichtskarte des Gasthof-Metzgerei Zum Burgblick in Burglengenfeld in der Oberpfalz</t>
  </si>
  <si>
    <t>Regionales Gasthof- und Gastronomie-Motiv aus der Oberpfalz</t>
  </si>
  <si>
    <t>AK-2026-0556</t>
  </si>
  <si>
    <t>Schwarzhofen, Landkr. Neunburg v. W. (Ansicht mit Kirche und Flusslandschaft)</t>
  </si>
  <si>
    <t>Foto u. Verlag Alfred Schaffer, Schwarzhof / Bay. (Ng. 102)</t>
  </si>
  <si>
    <t>Schwarzhofen / Ortsansicht</t>
  </si>
  <si>
    <t>Historische Ansichtskarte von Schwarzhofen im Landkreis Neunburg vorm Wald (heute Landkreis Schwandorf)</t>
  </si>
  <si>
    <t>Klassisches oberpfälzisches Orts- und Landschaftsmotiv</t>
  </si>
  <si>
    <t>AK-2026-0557</t>
  </si>
  <si>
    <t>Winterliche Waldlandschaft mit Berghütte / Haus im Schnee (Echte Fotografie)</t>
  </si>
  <si>
    <t>Aufnahme u. Verlag Georg Eitzenberger, Photograph, Schirnding (Nr. 1742)</t>
  </si>
  <si>
    <t>Schirnding / Landkreis Wunsiedel / Oberpfalz / Bayern</t>
  </si>
  <si>
    <t>Oberpfalz / Winterlandschaft</t>
  </si>
  <si>
    <t>Echte Foto-Ansichtskarte einer winterlichen Blockhütte / Waldlandschaft in der Oberpfalz (Fotograf Georg Eitzenberger, Schirnding)</t>
  </si>
  <si>
    <t>Stimmungsvolles echtes Foto-Wintermotiv aus der Region</t>
  </si>
  <si>
    <t>AK-2026-0558</t>
  </si>
  <si>
    <t>Hüttenheim am Spitzingsee geg. Brecherspitz (Nr. 1750)</t>
  </si>
  <si>
    <t>Verlag Georg Eitzenberger, Photograph, Schirnding / Schliersee</t>
  </si>
  <si>
    <t>Spitzingsee / Oberbayern / Bayern</t>
  </si>
  <si>
    <t>Hüttenheim / Spitzingsee / Brecherspitz</t>
  </si>
  <si>
    <t>Echte Foto-Ansichtskarte von Hüttenheim am Spitzingsee mit Blick gegen die Brecherspitz in Oberbayern</t>
  </si>
  <si>
    <t>Alpines bayerisches Berg- und Hüttenmotiv</t>
  </si>
  <si>
    <t>AK-2026-0559</t>
  </si>
  <si>
    <t>Gruß aus Bayer. Eisenstein – Bahnhofsgaststätte (Mehransichten mit Gr. Arbersee, Sesselift, Landesgrenze, Wirtshaus, Arbergipfel)</t>
  </si>
  <si>
    <t>Verlag Foto-Kohlbauer - R. u. E. Lippert - Pfosten / Allg. (Best.-Nr. W 11495)</t>
  </si>
  <si>
    <t>Bayerisch Eisenstein / Bayerischer Wald / Niederbayern / Bayern</t>
  </si>
  <si>
    <t>Bayerisch Eisenstein / Bahnhofsgaststätte</t>
  </si>
  <si>
    <t>Mehrbild-Ansichtskarte der Bahnhofsgaststätte in Bayerisch Eisenstein (Pächter: Erich Bruckdorfer), postalisch gelaufen mit handschriftlichen Grüßen an Frau Adelheid Höfuer in Hofheim / Karlsbaderr.</t>
  </si>
  <si>
    <t>Heimat- und Gaststättenmotiv aus dem Bayerischen Wald mit historischem Stempel</t>
  </si>
  <si>
    <t>Altersentsprechender Zustand, postalisch gelaufen</t>
  </si>
  <si>
    <t>AK-2026-0560</t>
  </si>
  <si>
    <t>Am Waldsee (Nr. 91003)</t>
  </si>
  <si>
    <t>Orig. Foto A. Karpf, Kufstein u. Walchsee, Tirol</t>
  </si>
  <si>
    <t>Bayerischer Wald / Bayern (bzw. Grenzregion)</t>
  </si>
  <si>
    <t>Waldsee / Gewässer</t>
  </si>
  <si>
    <t>Echte Foto-Ansichtskarte eines idyllischen Waldsees, fotografiert von A. Karpf (Kufstein/Walchsee)</t>
  </si>
  <si>
    <t>Natur- und Gewässermotiv in echter Fotografie</t>
  </si>
  <si>
    <t>AK-2026-0561</t>
  </si>
  <si>
    <t>Gruß aus Mittenwald (Mehransichtenkarte mit Karwendel-Gebirge, Ortsansicht und historischem Malerwinkel / Freskenhaus)</t>
  </si>
  <si>
    <t>Mittenwald / Werdenfelser Land / Oberbayern / Bayern</t>
  </si>
  <si>
    <t>Mittenwald / Mehransichten</t>
  </si>
  <si>
    <t>Gelaufen / Gut bis Sehr gut (Z1-2)</t>
  </si>
  <si>
    <t>Mehrbild-Ansichtskarte von Mittenwald mit Alpennarvest und Ortsansichten, per Flugpost („Por Avion“) nach Buenos Aires, Argentinien gelaufen (Datum rückseitig 16.7.59), mit handgeschriebener Textbotschaft und seltenem Auslands-Flugpost-Stempel</t>
  </si>
  <si>
    <t>Gesuchtes Auslands-Flugpost-Motiv nach Argentinien mit schöner Postgeschichte</t>
  </si>
  <si>
    <t>Altersentsprechende feine Randläsuren, Ecken minimal bestoßen, postalisch gelaufen mit Flugpost-Stempel und Handschrift</t>
  </si>
  <si>
    <t>AK-2026-0562</t>
  </si>
  <si>
    <t>Gruß aus Greding / Mfr. (Mehransichtenkarte mit Stadtansicht, Wehrturm, Kirche St. Martin und Altarraum / Innenansicht)</t>
  </si>
  <si>
    <t>Verlag E. H. Dennelein, Kunstverlag, Nürnberg (Bestell-Nr. 503)</t>
  </si>
  <si>
    <t>Greding / Mehransichten</t>
  </si>
  <si>
    <t>Mehrbild-Ansichtskarte von Greding in Mittelfranken, postalisch gelaufen mit Poststempel GREDING über SCHWABACH vom 25.9.1961 an Frau Marie Beer, Gärtnerei Kühnl, Seubersdorf / Opf., frankiert mit Bundespost-Briefmarke</t>
  </si>
  <si>
    <t>Heimatgeschichtliches Oberpfalz/Mittelfranken-Bezugsmotiv mit gut lesbarem Tagesstempel</t>
  </si>
  <si>
    <t>Altersbedingte leichte Papierbräunung am Rand, Ecken minimal gestaucht, Stempelabdruck leicht über den Text laufend, postalisch gelaufen</t>
  </si>
  <si>
    <t>AK-2026-0563</t>
  </si>
  <si>
    <t>Seubersdorf / Opf. (Mehransichtenkarte mit Totalansicht, Kirche und ländlicher Umgebung)</t>
  </si>
  <si>
    <t>Maria Großhauser, Schreibwaren / o. Verlag angegeben (Bestell-Nr. Seubersdorf 17.10.56)</t>
  </si>
  <si>
    <t>Seubersdorf in der Oberpfalz / Landkreis Neumarkt i.d.OPf. / Bayern</t>
  </si>
  <si>
    <t>Seubersdorf / Ortsansicht</t>
  </si>
  <si>
    <t>Gelaufen / Befriedigend bis Gut (Z2-3)</t>
  </si>
  <si>
    <t>Historische Mehransichtenkarte von Seubersdorf in der Oberpfalz, postalisch gelaufen am 17.10.1956 an Hans Paulener in Oberreuth bei Westerham (Oberbayern), mit ausführlicher privater Mitteilung über Wohnungsfragen ("...kannst Du nicht kommen, wir könnten dich ganz notwendig brauchen...")</t>
  </si>
  <si>
    <t>Äußerst ortsbezogenes und heimatkundliches Dokument aus Seubersdorf mit starkem regionalem Familienbezug</t>
  </si>
  <si>
    <t>Stärkere altersbedingte Vergilbung und fleckige Patina auf der Vorder- und Rückseite, Kanten und Ecken spürbar bestoßen und berieben, Oberflächenabrieb an den Rändern, postalisch gelaufen mit klarem handschriftlichen Text</t>
  </si>
  <si>
    <t>AK-2026-0564</t>
  </si>
  <si>
    <t>Burg Lauenstein im Frankenwald (Luftaufnahme / Gesamtansicht der historischen Burg)</t>
  </si>
  <si>
    <t>Luft-Aufn. Foto-Engel, Sonnefeld / Druck u. Verlag H. Söllner, Ludwigslstadt (Best.-Nr. B 31 M W Y G 18 / 268)</t>
  </si>
  <si>
    <t>Lauenstein / Landkreis Kronach / Frankenwald / Bayern</t>
  </si>
  <si>
    <t>Burg Lauenstein / Frankenwald</t>
  </si>
  <si>
    <t>Historische Luftbild-Ansichtskarte der Burg Lauenstein im Frankenwald in Bayern</t>
  </si>
  <si>
    <t>Reichhaltiges fränkisches Burgen- und Luftbildmotiv in sauberem Zustand</t>
  </si>
  <si>
    <t>Sehr guter Zustand, Kanten minimal bestoßen, ungelaufen</t>
  </si>
  <si>
    <t>AK-2026-0565</t>
  </si>
  <si>
    <t>Ansbach - Schloß mit Platendenkmal (Ansicht der Residenz mit Denkmal im Vordergrund)</t>
  </si>
  <si>
    <t>Verlag Fritz Lauterbach, Fürth i. Bay., Soldnerstraße 3 (Fritz-Karte 317/2/43)</t>
  </si>
  <si>
    <t>Ansbach / Residenzschloss</t>
  </si>
  <si>
    <t>Ungelaufen / Gut bis Sehr gut (Z1-2)</t>
  </si>
  <si>
    <t>Historische Ansichtskarte des Residenzschlosses in Ansbach mit dem Platendenkmal</t>
  </si>
  <si>
    <t>Klassisches mittelfränkisches Architektur- und Denkmalmotiv</t>
  </si>
  <si>
    <t>Altersbedingte leichte Papierbräunung an den Rändern, Ecken minimal gestaucht, ungelaufen</t>
  </si>
  <si>
    <t>AK-2026-0566</t>
  </si>
  <si>
    <t>Der Eibsee mit seinen Inseln. Blick auf Zugspitze, Riffelwände u. Waxenstein (Deutsche Heimatbilder Nr. 69)</t>
  </si>
  <si>
    <t>Phot. R. Huber / Alpiner Kunstverlag Hans Huber, München 19</t>
  </si>
  <si>
    <t>Eibsee / Garmisch-Partenkirchen / Oberbayern / Bayern</t>
  </si>
  <si>
    <t>Eibsee / Zugspitze / Alpen</t>
  </si>
  <si>
    <t>Klassische alpine Echt-Foto-Ansichtskarte vom Eibsee vor der Zugspitze und dem Waxensteinmassiv in Oberbayern</t>
  </si>
  <si>
    <t>Gesuchtes, hochwertiges Alpines Alpen- und Gewässermotiv in echter Fotografie</t>
  </si>
  <si>
    <t>Altersentsprechende leichte Randläsuren, Ecken leicht bestoßen, schwache oberflächliche Handhabungsspuren im Bildbereich, ungelaufen</t>
  </si>
  <si>
    <t>AK-2026-0567</t>
  </si>
  <si>
    <t>Jod-, Brom-, Sole-Heilbad Bad Hall (Oberdonau) – Wandelhalle / Trinkhalle (Foto F. J. Weidinger, Linz a.d. Donau) – Offizielle Ganzsache „Lernt Deutschland kennen!“ mit eingedruckter Hitler-Briefmarke</t>
  </si>
  <si>
    <t>Deutsches Reich / Postkarte / F. J. Weidinger, Linz a.d. Donau (Best.-Nr. 4l-2-1-826)</t>
  </si>
  <si>
    <t>Bad Hall / Oberösterreich / Österreich</t>
  </si>
  <si>
    <t>Bad Hall / Heilbad Wandelhalle / Kriegspost</t>
  </si>
  <si>
    <t>Historische NS-Ganzsachen-Postkarte des Heilbads Bad Hall vom 25.2.1942 mit seltener Heimatzustellung an den Gymnasisten Theo Bartmann in Regensburg, mit sehr ausführlichem, persönlichem handschriftlichem Brieftext auf der Rückseite</t>
  </si>
  <si>
    <t>Herausragendes postgeschichtliches Dokument (WK2) einer Ganzsache mit Auslands-/Heimatbezug und ausführlicher historischer Handschrift</t>
  </si>
  <si>
    <t>Altersbedingte Papiergilbung, Stempelabdruck und Ecken leicht bestoßen, postalisch gelaufen im Jahr 1942</t>
  </si>
  <si>
    <t>AK-2026-0568</t>
  </si>
  <si>
    <t>Gruß aus Ensdorf / Opf. (Mehransichten mit Kloster, Kirche und Ortsansichten)</t>
  </si>
  <si>
    <t>Salesianer-Buchdruckerei, 8451 Ensdorf / Opf. (Bestell-Nr. 1)</t>
  </si>
  <si>
    <t>Ensdorf / Mehransichten</t>
  </si>
  <si>
    <t>Klassische, moderne Mehransichtenkarte von Ensdorf in der Oberpfalz, herausgegeben von der ortsansässigen Salesianer-Buchdruckerei</t>
  </si>
  <si>
    <t>Lokales Heimatmotiv direkt aus Ensdorf, saubere Verlagsarbeit</t>
  </si>
  <si>
    <t>AK-2026-0569</t>
  </si>
  <si>
    <t>Polizei-Erholungsheim „Spitzingsee“ – Außenansicht / Gebäude im Sommer (Stempel „Polizei-Erholungsheim Spitzingsee“)</t>
  </si>
  <si>
    <t>o. Angabe / Stoja-Verlag, Paul Janke, Nürnberg (Stoja-Karte)</t>
  </si>
  <si>
    <t>Spitzingsee / Polizei-Erholungsheim</t>
  </si>
  <si>
    <t>Historische Nachkriegs-Ansichtskarte des Polizei-Erholungsheims am Spitzingsee, postalisch gelaufen am 16.7.1948 an Familie Josef Lauerer (Gend.-Oberkommissar) in Lupburg b. Parsberg über Regensburg, mit ausführlicher privater Mitteilung</t>
  </si>
  <si>
    <t>Herausragendes nachkriegsgeschichtliches Dokument (1948) mit seltener Behörden-/Familienadresse und Poststempel</t>
  </si>
  <si>
    <t>Altersbedingte Papiergilbung, Ecken leicht bestoßen, Stempelabdruck vorderseitig leicht ins Bild reichend, postalisch gelaufen</t>
  </si>
  <si>
    <t>AK-2026-0570</t>
  </si>
  <si>
    <t>Nürnberg um 1945 – Auf dem Hans-Sachs-Platz (Ansicht des zerstörten Hans-Sachs-Denkmals vor Kriegstrümmern)</t>
  </si>
  <si>
    <t>o. Angabe (Verlag / Fotografie)</t>
  </si>
  <si>
    <t>Nürnberg / Hans-Sachs-Platz / Kriegszerstörung</t>
  </si>
  <si>
    <t>Zeitgeschichtliche Dokumentationskarte von Nürnberg im Jahr 1945, zeigend das Hans-Sachs-Denkmal inmitten der schweren Kriegszerstörungen der Altstadt</t>
  </si>
  <si>
    <t>Gesuchtes und historisch bedeutsames Zeitgeschehen- und Topographie-Motiv (Zweiter Weltkrieg)</t>
  </si>
  <si>
    <t>Altersbedingte leichte Randbräunung, Kanten minimal bestoßen, ungelaufen mit Büttenrand</t>
  </si>
  <si>
    <t>AK-2026-0571</t>
  </si>
  <si>
    <t>Wieskirche – Innenraum / Rocaille-Stuckaturen und Fresken (Dominikus Zimmermann, Baymeister v. Landsperg)[cite: 9]</t>
  </si>
  <si>
    <t>Foto und Verlag W. Kienberger, Lechbruck (Best.-Nr. 104)[cite: 10]</t>
  </si>
  <si>
    <t>Wieskirche / Steingaden / Landkreis Weilheim-Schongau / Bayern</t>
  </si>
  <si>
    <t>Wieskirche / Rokoko-Wallfahrtskirche</t>
  </si>
  <si>
    <t>Echtfoto-Ansichtskarte der berühmten UNESCO-Weltkulturerbe-Wieskirche in Oberbayern, mit handschriftlichem Kurztext und Datum (25.7.54) auf der Rückseite</t>
  </si>
  <si>
    <t>Gesuchtes Sakral- und Architekturmotiv in echter Fotografie mit historischer Datierung (1954)</t>
  </si>
  <si>
    <t>Altersbedingte Papiergilbung, Ecken leicht bestoßen, Strichspur/Handschrift auf der Rückseite, postalisch gelaufen</t>
  </si>
  <si>
    <t>AK-2026-0572</t>
  </si>
  <si>
    <t>Regensburg - Partie am Brückenturm (Blick auf Steinerne Brücke, Donau und historische Altstadt)</t>
  </si>
  <si>
    <t>Schöning &amp; Co., Lübeck (Best.-Nr. 191/3)[cite: 10]</t>
  </si>
  <si>
    <t>Regensburg / Steinerne Brücke / Donau</t>
  </si>
  <si>
    <t>Klassische Ansichtskarte von Regensburg in der Oberpfalz mit Blick auf die historische Steinerne Brücke und den Brückenturm an der Donau</t>
  </si>
  <si>
    <t>Beliebtes oberpfälzisches Regensburg-Topographie-Motiv in sauberem Erhaltungszustand</t>
  </si>
  <si>
    <t>Sehr guter Zustand mit feinem Büttenrand, Kanten minimal bestoßen, ungelaufen</t>
  </si>
  <si>
    <t>AK-2026-0573</t>
  </si>
  <si>
    <t>Bad Wiessee am Tegernsee mit Kampen – Blick über den See auf die Bergkette (Das Heilbad am Tegernsee)</t>
  </si>
  <si>
    <t>Kunstverlag Bayernland Hans Geisler o.H.G., Rottach am Tegernsee (Best.-Nr. 322)</t>
  </si>
  <si>
    <t>Bad Wiessee / Landkreis Miesbach / Oberbayern / Bayern</t>
  </si>
  <si>
    <t>Bad Wiessee / Tegernsee</t>
  </si>
  <si>
    <t>Historische Ansichtskarte von Bad Wiessee am Tegernsee, postalisch gelaufen mit Tagesstempel BAD WIESSEE vom 2.5.1954 an Frau Marie Beer in Seubersdorf / Opf., mit handschriftlichem Urlaubsgruß („bin von 8.3. - 5.4 hier...“)</t>
  </si>
  <si>
    <t>Schönes oberbayrisches Kur- und See-Motiv mit gut lesbarem Stempelbezug zur Oberpfalz</t>
  </si>
  <si>
    <t>Altersbedingte Papiergilbung, Ecken leicht bestoßen, Stempelabdruck leicht über den Text laufend, postalisch gelaufen</t>
  </si>
  <si>
    <t>AK-2026-0574</t>
  </si>
  <si>
    <t>Gruß aus Ansbach (Mehransichtenkarte mit Schloss, Orangerie, Markgraf-Georg-Brunnen, Johanniskirche, Stadtwappen und Alter Hof)</t>
  </si>
  <si>
    <t>Verlag Fritz Lauterbach, 8510 Fürth i. Bay., Soldnerstraße 3 (Bestell-Nr. 88 ANSBACH / Mfr.)</t>
  </si>
  <si>
    <t>Ansbach / Mehransichten</t>
  </si>
  <si>
    <t>Mehrbild-Ansichtskarte von Ansbach in Mittelfranken, postalisch gelaufen mit Bundespost-Frankatur („damit wir uns besser verstehen“) an Herrn Josef Lauerer (Pol.-Amtstrat) in Lupburg, Kreis Parsberg, mit persönlichem Glückwunschtext</t>
  </si>
  <si>
    <t>Heimatgeschichtliches Mehransichten-Motiv aus Mittelfranken mit Behörden- bzw. Familienadresse</t>
  </si>
  <si>
    <t>Altersbedingte leichte Randläsuren und Gilbung, Ecken leicht bestoßen, Stempel und Frankatur auf der Rückseite, postalisch gelaufen</t>
  </si>
  <si>
    <t>AK-2026-0575</t>
  </si>
  <si>
    <t>Verlag Jacob Mendelsohn, Nürnberg / Alliierte Militärregierung (Control License Number USE 131)</t>
  </si>
  <si>
    <t>Nürnberg / Historische Altstadt / Konvolut</t>
  </si>
  <si>
    <t>Nürnberg wie es war / Nuremberg of yesterday (Serie 1) – Original-Heft / Mappe in Zweifarbendruck mit nahezu vollständigem Satz Ansichtskarten (Enthält Umschlag + Karten Nr. 7, 8, 9, 10, 11, 13 und 16)</t>
  </si>
  <si>
    <t>Originales historisches Nachkriegs-Geheft (Serie 1) im Umschlag mit alliierter Militärlizenz, Preis der Mappe RM 1,60, mit fast vollständigem Satz ungelaufener Ansichtskarten in schöner Erhaltung</t>
  </si>
  <si>
    <t>Herausragendes und nahezu komplett erhaltenes post- und zeitgeschichtliches Ensemble der Nachkriegszeit als Originalmappe</t>
  </si>
  <si>
    <t>Umschlag und Karten altersbedingt leicht gebräunt und minimal bestoßen, Karten lose in der Mappe, ungelaufen</t>
  </si>
  <si>
    <t>AK-2026-0576</t>
  </si>
  <si>
    <t>Albrecht-Dürer-Haus in Nürnberg – Original-Postkartenmappe / Geheft mit vollständigem Satz von 8 Ansichtskarten (Enthält Umschlag + Ansicht, Hausflur, Blick zur Burg, Große Stube, Kleine Stube, Bibliothek, Türe, Küche)</t>
  </si>
  <si>
    <t>Aufnahme K. Grimm, Nürnberg / Bromsilberdruck A. Ohmayer, Rothenburg o. T.</t>
  </si>
  <si>
    <t>Nürnberg / Albrecht-Dürer-Haus / Konvolut</t>
  </si>
  <si>
    <t>Komplette historische Original-Mappe des Albrecht-Dürer-Hauses mit allen 8 Bromsilberdruck-Ansichtskarten in exzellenter Erhaltung</t>
  </si>
  <si>
    <t>Herausragendes, vollständiges und fehlerfreies ortsgeschichtliches Konvolut im Originalumschlag</t>
  </si>
  <si>
    <t>Umschlag und Karten in Top-Erhaltung, ungelaufen, absolut komplett</t>
  </si>
  <si>
    <t>AK-2026-0577</t>
  </si>
  <si>
    <t>Schloss Neuschwanstein im Winter mit Blick gegen Brocherspitz</t>
  </si>
  <si>
    <t>[Unbekannt / Ohne Angabe]</t>
  </si>
  <si>
    <t>Schwangau / Allgäu / Bayern</t>
  </si>
  <si>
    <t>Schloss Neuschwanstein / Winterlandschaft</t>
  </si>
  <si>
    <t>Stimmungsvolle winterliche Echtfotografie der schneebedeckten Alpenlandschaft mit Schloss Neuschwanstein und dem Brocherspitz im Hintergrund</t>
  </si>
  <si>
    <t>Reizvolle und klare Winter-Echtfoto-Ansichtskarte aus dem Allgäu</t>
  </si>
  <si>
    <t>Leicht bestoßen an den Ecken, Rückseite ungelaufen und sauber</t>
  </si>
  <si>
    <t>AK-2026-0578</t>
  </si>
  <si>
    <t>WEIMAR, Goethe's Ruhesitz (Mit Goethe-Gedicht: „Hier gedachte still ein Liebender seiner Geliebten...“)</t>
  </si>
  <si>
    <t>Photogr. und Verlag E. Schlabitz, Weimar</t>
  </si>
  <si>
    <t>Weimar / Thüringen</t>
  </si>
  <si>
    <t>Weimar / Park an der Ilm / Goethes Ruhesitz</t>
  </si>
  <si>
    <t>Historische Ansichtskarte mit Romantik-Motiv von Goethes Ruhesitz und eingedrucktem Gedichttext auf der Rückseite[cite: 14]</t>
  </si>
  <si>
    <t>Schöne Literarische Gedenkkarte mit klassischem Weimar-Motiv und Goethe-Zitaten</t>
  </si>
  <si>
    <t>Altersbedingte Randbräunung, Ecken leicht bestoßen, ungelaufen</t>
  </si>
  <si>
    <t>AK-2026-0579</t>
  </si>
  <si>
    <t>Burg Lauenstein im Frankenwald (Frühling / Blütezeit mit Blick auf die Höhenburg)</t>
  </si>
  <si>
    <t>Druck u. Verlag H. Söllner, Ludwigsstadt / Schreibwaren, Buch- u. Fotohandlung</t>
  </si>
  <si>
    <t>Lauenstein / Oberfranken / Bayern</t>
  </si>
  <si>
    <t>Kolorierte oder farblich akzentuierte Ansichtskarte im Querformat mit prachtvoller Frühlingsblüte im Vordergrund und Blick auf Burg Lauenstein[cite: 14]</t>
  </si>
  <si>
    <t>Charmante fränkische Burgansicht in schöner farblicher Erhaltung</t>
  </si>
  <si>
    <t>Rückseite mit Verlegerstempel, Ecken minimal bestoßen, ungelaufen</t>
  </si>
  <si>
    <t>AK-2026-0590</t>
  </si>
  <si>
    <t>Berchtesgadener Land – Königssee mit St. Bartholomä, Watzmann und Hochkalter</t>
  </si>
  <si>
    <t>[Verlag Hoffmann, Garmisch-Partenkirchen]</t>
  </si>
  <si>
    <t>Königssee / St. Bartholomä / Watzmann</t>
  </si>
  <si>
    <t>Gelaufen / Sehr gut (Z1)</t>
  </si>
  <si>
    <t>Herausragende und seltene Notopfer Berlin-Ganzsache (Postkarte mit eingedrucktem Stempel), gelaufen am 3.9.1948 von Berchtesgaden an Hauptwachtmeister Theo Lauerer in Regensburg, mit ausführlichem, zeitgeschichtlichem Text über Schlechtwetter im Sommer 1948 („Leider haben wir schon ein paar Tage schlechtes Wetter...“)</t>
  </si>
  <si>
    <t>Erstklassiger und seltener postgeschichtlicher Beleg mit Zeitbezug (Nachkriegszeit 1948) und sauberer Erhaltung</t>
  </si>
  <si>
    <t>Sehr guter Zustand, Ecken leicht bestoßen, postalisch gelaufen</t>
  </si>
  <si>
    <t>AK-2026-0591</t>
  </si>
  <si>
    <t>Nebelhorn (Allgäuer Alpen) – Blick auf das Gipfelkreuz</t>
  </si>
  <si>
    <t>Artin u. Verlag Dipl.-Ing. E. Müller, Tiefenbach b. Oberstdorf (Allgäu)</t>
  </si>
  <si>
    <t>Nebelhorn / Allgäuer Alpen</t>
  </si>
  <si>
    <t>Echtfoto-Ansichtskarte des Nebelhorns mit extrem seltenem und sammelwürdigem Ersttagsstempel-Beleg: Poststempel OBERSTDORF (Allgäu) vom 1.9.1948 (erster Tag nach der Währungsreform im Allgäu), adressiert an Polizeimeister Lauerer in Regensburg, mit ausführlichem Text über Unwetter/Schlechtwetter im Allgäu („...da wir hier seit wir hier sind mit Ausnahme eines Sonntags, Es freut mich, daß die Buben die Aufnahmeprüfung bestanden haben, aber in der Schule gibt es bei uns nichts, Schinken braucht Ihr mir nicht! Nun wünsche ich Euch, mein Liebes, alles Gute und grüße Euch herzlich...“)</t>
  </si>
  <si>
    <t>Numismatisch und postgeschichtlich hochbedeutsamer Beleg zur Währungsreform 1948 mit Zeitgeschehen-Bezug und herrlicher Handschrift</t>
  </si>
  <si>
    <t>Sehr guter Zustand, Ecken minimal bestoßen, postalisch gelaufen, Stempel und Frankatur vorderseitig</t>
  </si>
  <si>
    <t>AK-2026-0592</t>
  </si>
  <si>
    <t>Polizei-Erholungsheim „Spitzingsee“ – Außenansicht / Gebäude im Sommer</t>
  </si>
  <si>
    <t>Vlg. Gebr. Metz, Tübingen (Best.-Nr. 8355)</t>
  </si>
  <si>
    <t>Historische Ansichtskarte des Polizei-Erholungsheims am Spitzingsee, postalisch gelaufen am 19.6.1952 an Revierhauptwachtmeister Lauerer in Regensburg, mit privatem Gruß („...nach einer wunderbaren Fahrt über den Schliersee hier angekommen...“)</t>
  </si>
  <si>
    <t>Sammelwürdiger oberbayerischer Beleg mit Behörden- und Familienadresse</t>
  </si>
  <si>
    <t>Sehr guter Zustand, Kanten minimal bestoßen, postalisch gelaufen, sauberer Stempel</t>
  </si>
  <si>
    <t>AK-2026-0580</t>
  </si>
  <si>
    <t>AK-2026-0581</t>
  </si>
  <si>
    <t>AK-2026-0582</t>
  </si>
  <si>
    <t>AK-2026-0583</t>
  </si>
  <si>
    <t>Idyllische Garten- und Alpenszene mit Kaffeetisch, Sonnenschirm und Bergpanorama im Hintergrund</t>
  </si>
  <si>
    <t>Foto-Oberarzbacher, Feilnbach/Obb.[cite: 5, 6]</t>
  </si>
  <si>
    <t>Bad Feilnbach / Oberbayern / Bayern</t>
  </si>
  <si>
    <t>Bad Feilnbach / Alpenvorland</t>
  </si>
  <si>
    <t>Ungelaufen / Gut bis Sehr gut (Z1-2)[cite: 5, 6]</t>
  </si>
  <si>
    <t>Charmante, stimmungsvolle Echtfoto-Ansichtskarte mit gedecktem Kaffeetisch im Garten vor einer Berghütte und alpiner Kulisse[cite: 5]</t>
  </si>
  <si>
    <t>Reizvolle Foto-Ansichtskarte aus Oberbayern mit schöner sommerlicher Atmosphäre</t>
  </si>
  <si>
    <t>Rückseite sauber und ungelaufen, Ecken minimal bestoßen[cite: 5, 6]</t>
  </si>
  <si>
    <t>AK-2026-0584</t>
  </si>
  <si>
    <t>GRÜNWALD – Das Isartal um Grünwald (Blick auf Isarbrücke und Burg Grünwald)</t>
  </si>
  <si>
    <t>Aufnahme: Buchmayer, Fotospezialhaus, Grünwald, Schloßstraße 9[cite: 5, 6]</t>
  </si>
  <si>
    <t>Grünwald bei München / Oberbayern / Bayern</t>
  </si>
  <si>
    <t>Grünwald / Isartal / Isarbrücke</t>
  </si>
  <si>
    <t>Ansichtskarte im Querformat mit malerischem Blick über das Isartal, die Bogenbrücke und die historische Burg im Hintergrund[cite: 5]</t>
  </si>
  <si>
    <t>Klassisches oberbayerisches Ausflugsmotiv in klarer und sauberer Ausführung</t>
  </si>
  <si>
    <t>Rückseite ungelaufen, Ecken und Kanten sehr gut erhalten[cite: 5, 6]</t>
  </si>
  <si>
    <t>AK-2026-0585</t>
  </si>
  <si>
    <t>Gruß aus Rosenheim – Gesamtansicht mit Inn und Alpenpanorama</t>
  </si>
  <si>
    <t>[Unbekannt / Verlag C. Maasz o.ä.]</t>
  </si>
  <si>
    <t>Rosenheim / Inn-Tal</t>
  </si>
  <si>
    <t>Gelaufen / Starks beschädigt (Z3)</t>
  </si>
  <si>
    <t>Historische Litho-Ansichtskarte, gelaufen am 4.5.1901 von Rosenheim nach Oettersdorf (Schleiz) an Otto Raithel[cite: 5, 6]; schwerer unterer Randabriss und Papierverlust, Ecken bestoßen</t>
  </si>
  <si>
    <t>Historischer Stempelbeleg mit deutlichen Substanzmängeln (Lückenfüller)</t>
  </si>
  <si>
    <t>Starker unterer Papierabriss, Ecken bestoßen, postalisch gelaufen</t>
  </si>
  <si>
    <t>AK-2026-0586</t>
  </si>
  <si>
    <t>Gruß aus Passau – Panoramablick mit Veste Oberhaus und Donau</t>
  </si>
  <si>
    <t>Gebirgsw. Metz, Tübingen[cite: 5]</t>
  </si>
  <si>
    <t>Passau / Donau</t>
  </si>
  <si>
    <t>Gelaufen / Stark beschädigt (Z3)</t>
  </si>
  <si>
    <t>Ansichtskarte, gelaufen am 7.11.1901 mit Stempel Schleiz an Otto Raithel[cite: 5, 6]; starker oberer Eck- und Kantenabriss mit Papierverlust</t>
  </si>
  <si>
    <t>Postgeschichtlicher Beleg mit starkem Fehlen von Randteilen</t>
  </si>
  <si>
    <t>Obern starker Papierverlust/Eckabriss, gelaufen</t>
  </si>
  <si>
    <t>AK-2026-0587</t>
  </si>
  <si>
    <t>München – Neues Nationalmuseum mit Zier-Markenabbildung</t>
  </si>
  <si>
    <t>Carl Otto Hayd, Kunstanstalt, München[cite: 5]</t>
  </si>
  <si>
    <t>München / Neues Nationalmuseum</t>
  </si>
  <si>
    <t>Philatelie-Ansichtskarte mit Mehrfarben-Markenmotiven, gelaufen am 17.2.1903 nach Oettersdorf[cite: 5, 6]; gravierende Fehlstellen und Ausbrüche am unteren Rand und an den Ecken</t>
  </si>
  <si>
    <t>Interessante Litho-Künstlerkarte mit starkem Schaden an der Unterkante</t>
  </si>
  <si>
    <t>Unterer Rand und Ecken stark ausgebrochen, gelaufen</t>
  </si>
  <si>
    <t>AK-2026-0588</t>
  </si>
  <si>
    <t>Burg Sonthofen – Speisesaal der Generaloberst-Beck-Kaserne (Allgäuer Alpen)</t>
  </si>
  <si>
    <t>Orig.-Aufn., Pigont. u. Verl. F. u. E. Helmhuber, Sonthofen - Oberstdorf[cite: 5, 6]</t>
  </si>
  <si>
    <t>Sonthofen / Allgäu / Schwaben / Bayern</t>
  </si>
  <si>
    <t>Burg Sonthofen / Generaloberst-Beck-Kaserne / Speisesaal</t>
  </si>
  <si>
    <t>Echtfoto-Ansichtskarte des imposanten Speisesaals in der Burg Sonthofen (Allgäu), postalisch gelaufen am 20.11.1953 mit Bundespost-Marke an Frau Maria Bartmann in Seubersdorf bei Neumarkt/Opf., mit ausführlichem privatem Text („...waren wir auf dem Grünten in herrlichstem Wetter und Sonntag hab ich mich geruht...“)</t>
  </si>
  <si>
    <t>Hervorragend erhaltene und spannende Militär-/Kasernengeschichte der Nachkriegszeit mit regionalem Bezug (Oberpfalz)</t>
  </si>
  <si>
    <t>Sehr guter Zustand, postalisch gelaufen, sauberer Stempel</t>
  </si>
  <si>
    <t>AK-2026-0589</t>
  </si>
  <si>
    <t>Würzburg – Blick auf das Käppele (Wallfahrtskirche) im Herbst/Frühling</t>
  </si>
  <si>
    <t>Aufnahme und Verlag Heinrich Lauterbach, Würzburg-H.[cite: 5, 6]</t>
  </si>
  <si>
    <t>Würzburg / Käppele</t>
  </si>
  <si>
    <t>Ansichtskarte von Würzburg mit der berühmten Wallfahrtskirche Käppele, gelaufen am [Datum unvollständig, ca. 1950er] an Frau Maria Bartmann in Haus-Oberkunreuth (Lupburg Opf. b. Parsberg), mit persönlichem Gruß</t>
  </si>
  <si>
    <t>Schöner unterfränkischer Beleg mit Adressierung in die Oberpfalz</t>
  </si>
  <si>
    <t>Guter Erhaltungszustand, Ecken leicht bestoßen, postalisch gelaufen</t>
  </si>
  <si>
    <t>Region Passau / Bayerischer Wald – Spezialkarte / Wander- und Straßenkarte der Umgebung von Passau (mit Ortsnetz und Routen)</t>
  </si>
  <si>
    <t>Nach einer Zeichnung von Fred Riedl, Passau (Verlag Passavia, Passau)</t>
  </si>
  <si>
    <t>Niederbayern / Bayern</t>
  </si>
  <si>
    <t>Passau / Bayerischer Wald / Umgebung</t>
  </si>
  <si>
    <t>Historische grafische Wander- und Umgebungs-Übersichtskarte der Region Passau bis Freyung und Grafenau mit detailliertem Wegenetz, postalisch gelaufen mit Deutsches Reich 6-Pfennig-Marke am 4.9.1899 (Stempel STRAUBING Theresienplatz) an Oberkommissär Josef Bartmann in Parsberg/Opf., ausführlicher handschriftlicher Text</t>
  </si>
  <si>
    <t>Interessanter, früher postgeschichtlicher Beleg aus dem 19. Jahrhundert (1899) mit regionalem Bezug zur Oberpfalz und seltener Kartendarstellung</t>
  </si>
  <si>
    <t>Guter Zustand, Ränder und Ecken leicht bestoßen, Stempel sauber abgeschlagen</t>
  </si>
  <si>
    <t>Fürstenstein – Gruss aus Fürstenstein (Gesamtansicht mit Schloss und Ortschaft)</t>
  </si>
  <si>
    <t>[Verlag unleserlich / Passau bzw. Umgebung]</t>
  </si>
  <si>
    <t>Fürstenstein / Bayerischer Wald</t>
  </si>
  <si>
    <t>Gelaufen / Gut bis Befriedigend (Z2-3)</t>
  </si>
  <si>
    <t>Historische Litho-Ansichtskarte von Fürstenstein im Bayerischen Wald, postalisch gelaufen am 4.9.1899 mit Stempel WIESENFELDEN an Herrn Anton Windhagauer in Wiesenfelden, mit ausführlicher privater Korrespondenz</t>
  </si>
  <si>
    <t>Klassische Lithographie aus der Gründerzeit um 1899 mit schöner historischer Poststempel-Kombination</t>
  </si>
  <si>
    <t>Guter Gesamtzustand, Ecken etwas bestoßen und altersbedingte Randbräunung</t>
  </si>
  <si>
    <t>Grünwald – Schloß Grünwald (erbaut 1288)</t>
  </si>
  <si>
    <t>Aufnahme: Archiv der Gemeinde Grünwald[cite: 5, 8]</t>
  </si>
  <si>
    <t>Grünwald / Oberbayern / Bayern</t>
  </si>
  <si>
    <t>Grünwald / Schloß Grünwald</t>
  </si>
  <si>
    <t>Ungelaufen / Sehr gut bis Vorzüglich (Z1)</t>
  </si>
  <si>
    <t>Ansichtskarte von Schloß Grünwald bei München, ungelaufen, sauberer und unbeschriebener Zustand mit Verlagsangabe Archiv der Gemeinde Grünwald</t>
  </si>
  <si>
    <t>Hervorragend erhaltene moderne Ortsansicht im klassischen Querformat</t>
  </si>
  <si>
    <t>Tadelloser Zustand, ungelaufen, ohne Beschädigungen</t>
  </si>
  <si>
    <t>AK-2026-0593</t>
  </si>
  <si>
    <t>Grünwald – Das Isartal um Grünwald mit Isarbrücke</t>
  </si>
  <si>
    <t>Aufnahme: Bachmayer, Fotopezialhaus, Grünwald, Schloßstraße 9[cite: 5, 8]</t>
  </si>
  <si>
    <t>Grünwald / Isartal</t>
  </si>
  <si>
    <t>Ansichtskarte vom Isartal bei Grünwald mit Flusslauf und Brückenansicht, ungelaufen, unbeschrieben, Foto-Verlag Bachmayer Grünwald</t>
  </si>
  <si>
    <t>Klassische Foto-Ansichtskarte der Isartal-Landschaft bei München</t>
  </si>
  <si>
    <t>AK-2026-0594</t>
  </si>
  <si>
    <t>Grünwald – Torturm des Schlosses</t>
  </si>
  <si>
    <t>Aufnahme: Archiv der Gemeinde Grünwald[cite: 10]</t>
  </si>
  <si>
    <t>Grünwald / Schloß Grünwald / Torturm</t>
  </si>
  <si>
    <t>Ansichtskarte vom Torturm des Schlosses Grünwald, ungelaufen und unbeschrieben, saubere Erhaltung aus dem Archiv der Gemeinde Grünwald[cite: 10]</t>
  </si>
  <si>
    <t>Hervorragend erhaltene Detailaufnahme des historischen Torturms</t>
  </si>
  <si>
    <t>Tadelloser Zustand, ungelaufen, keine Mängel</t>
  </si>
  <si>
    <t>AK-2026-0595</t>
  </si>
  <si>
    <t>Grünwald – Schloß Grünwald, erbaut 1288</t>
  </si>
  <si>
    <t>Ansichtskarte von Schloß Grünwald (erbaut 1288)[cite: 10], Gesamtansicht mit Wehrmauer und Turm, ungelaufen und unbeschrieben, Archiv der Gemeinde Grünwald[cite: 10]</t>
  </si>
  <si>
    <t>Klassische Ansicht der historischen Burganlage im Münchner Umland</t>
  </si>
  <si>
    <t>AK-2026-0596</t>
  </si>
  <si>
    <t>Zell am See – Zell am See, Die Perle der Alpen (Mehrbildkarte mit alpinen Motiven und Seeblick)</t>
  </si>
  <si>
    <t>Verlag Alfred Griesler, Salzburg, Getreidegasse Nr. 22 / Echte Photographie 1984</t>
  </si>
  <si>
    <t>Salzburg / Österreich</t>
  </si>
  <si>
    <t>Zell am See / Alpen</t>
  </si>
  <si>
    <t>Mehrbild-Ansichtskarte von Zell am See mit verschiedenen Oberland- und Seemotiven, postalisch gelaufen mit österreichischer Briefmarke an Frau Maria Sauerer in Lupburg bei Parsberg/Opf., ausführlicher privater Text von Ronja („...bleiben hier noch 5 Tage...“)</t>
  </si>
  <si>
    <t>Schöne, stimmungsvolle Mehrbild-Fotoansichtskarte aus Österreich mit Oberpfalz-Bezug</t>
  </si>
  <si>
    <t>Rechter Rand mit Papierverlust/Beschädigung (Z3-Mangel am Rand), Ecken bestoßen, gelaufen</t>
  </si>
  <si>
    <t>AK-2026-0597</t>
  </si>
  <si>
    <t>Nürnberg – Nürnberg Mehrbildkarte (Hauptmarkt, Burg von Westen, Sinwellturm, Heilig-Geist-Spital, Henkersteg, Heidenturm, Erste deutsche Eisenbahn, Dürer-Haus)</t>
  </si>
  <si>
    <t>Verlag Fritz Lauterbach, 851 Fürth i. Bay., Soldnerstraße 8</t>
  </si>
  <si>
    <t>Mittelfranken / Bayern</t>
  </si>
  <si>
    <t>Nürnberg / Altstadt</t>
  </si>
  <si>
    <t>Klassische bunte Mehrbild-Ansichtskarte von Nürnberg mit historischem Stadtpanorama und Sehenswürdigkeiten, postalisch gelaufen mit deutscher Bundespost-Marke an Adelheid Höfler in Hofheim/Ufr., kurzer Text mit Bezug auf Erlangen („...wohnt es besser brennt nicht war Erlangen...“)</t>
  </si>
  <si>
    <t>Beliebter mittelfränkischer Beleg mit klassischer Mehrbild-Ansicht</t>
  </si>
  <si>
    <t>Guter Gesamtzustand, Ecken leicht bestoßen, postalisch gelaufen</t>
  </si>
  <si>
    <t>AK-2026-0598</t>
  </si>
  <si>
    <t>Neumarkt in der Oberpfalz – Haus „St. Marien“ Neumarkt (Opf.)</t>
  </si>
  <si>
    <t>60 Jahre Cramers Kunstanstalt KG, Dortmund / Haus „St. Marien“ Neumarkt (Opf.)[cite: 12]</t>
  </si>
  <si>
    <t>Oberpfalz / Bayern</t>
  </si>
  <si>
    <t>Neumarkt in der Oberpfalz / Haus St. Marien</t>
  </si>
  <si>
    <t>Ansichtskarte von Haus „St. Marien“ in Neumarkt in der Oberpfalz[cite: 12], postalisch gelaufen mit Bundespost-Marke (20 Pfennig) am Stempel NEUMARKT (OPF) an Frau Maria Sauerer (Ob. Kom. Ww.) in Lupburg bei Parsberg[cite: 12], herzliche Grüße von Elisabeth[cite: 12]</t>
  </si>
  <si>
    <t>Schöner Oberpfalz-Beleg mit klassischer Klöster-/Einrichtungsmotivik und gut lesbarer Heimat-Korrespondenz</t>
  </si>
  <si>
    <t>Guter Zustand, Ecken minimal bestoßen, postalisch gelaufen</t>
  </si>
  <si>
    <t>AK-2026-0599</t>
  </si>
  <si>
    <t>Weißenburg in Bayern – Weißenburg Bayern (Mehrbildkarte mit Stadtansichten, Marktplatz, Stadtmauer und Ellinger Tor)</t>
  </si>
  <si>
    <t>Hersteller und Verlag Schöning &amp; Co., Lübeck (Bestellnr. Webu 133-f)[cite: 12]</t>
  </si>
  <si>
    <t>Weißenburg in Bayern / Altstadt</t>
  </si>
  <si>
    <t>Gelaufen / Gut bis Sehr gut (Z2-1)</t>
  </si>
  <si>
    <t>Bunte Mehrbild-Ansichtskarte von Weißenburg in Bayern mit verschiedenen Stadtmotiven und Stadtwappen[cite: 12], postalisch gelaufen mit Bundespost-Marke am 12.7.19... (Stempel WEISSENBURG i. Bay.) an Adelheid Höfler in Hofheim in Unterfranken[cite: 12], kurzer Gruß („Ich komme erst Dienstag früh... Dein Tom“)[cite: 12]</t>
  </si>
  <si>
    <t>Ansprechende fränkische Mehrbildkarte mit klarem regionalem Stempelbezug</t>
  </si>
  <si>
    <t>Guter Erhaltungszustand, Ecken leicht bestoßen, sauberer Stempelabschlag</t>
  </si>
  <si>
    <t>AK-2026-0600</t>
  </si>
  <si>
    <t>Ettal – Ettal mit Estergebirge (Oberbayern)</t>
  </si>
  <si>
    <t>Verlag Foto-Meyer, Pfal. Obb. / Nachdruck verboten[cite: 14]</t>
  </si>
  <si>
    <t>Oberbayern / Bayern</t>
  </si>
  <si>
    <t>Ettal / Estergebirge</t>
  </si>
  <si>
    <t>Historische Ansichtskarte von Ettal und dem Estergebirge im Werdenfelser Land, postalisch gelaufen mit Bundespost-Marke am Stempel FÜRSTENFELDBRUCK an Fräulein Waltraud Beer in Regenstauf, Schloß Spindeltal, mit ausführlichem privatem Text („...schöne Grüße aus FFB...“)[cite: 14]</t>
  </si>
  <si>
    <t>Interessanter oberbayerischer Beleg mit Poststempel Fürstenfeldbruck und Empfangsort in der Oberpfalz</t>
  </si>
  <si>
    <t>Guter Zustand, Ecken leicht bestoßen, postalisch gelaufen</t>
  </si>
  <si>
    <t>AK-2026-0601</t>
  </si>
  <si>
    <t>Bayerische Königsschlösser – Mehrbildkarte (Schloss Linderhof, Schloss Neuschwanstein, Schloss Herrenchiemsee, Schloss Nymphenburg)</t>
  </si>
  <si>
    <t>Dias- und Postkartenverlag Hans Huber KG, D-8100 Garmisch-Partenkirchen (Nr. 6005)[cite: 14]</t>
  </si>
  <si>
    <t>Bayern (verschiedene Regionen)</t>
  </si>
  <si>
    <t>Bayern / Schlösser-Ansichten</t>
  </si>
  <si>
    <t>Bunte Mehrbild-Ansichtskarte der bayerischen Königsschlösser mit detaillierten Beschreibungen auf der Rückseite (Linderhof, Neuschwanstein, Herrenchiemsee, Nymphenburg)[cite: 14], ungelaufen und unbeschrieben[cite: 14]</t>
  </si>
  <si>
    <t>Klassische und informative Postkarte mit den berühmten Schlössern König Ludwigs II. und bayerischen Residenzen</t>
  </si>
  <si>
    <t>Tadelloser ungelaufener Zustand, keine Mängel</t>
  </si>
  <si>
    <t>AK-2026-0602</t>
  </si>
  <si>
    <t>Hinterstein – Hubertuskapelle im Hintersteiner Tal (Allgäu)</t>
  </si>
  <si>
    <t>Aufnahme und Verlag: E.-W. Schönemann, Sonthofen (Allgäu) / Nachdruck verboten[cite: 16]</t>
  </si>
  <si>
    <t>Schwaben / Bayern</t>
  </si>
  <si>
    <t>Hintersteiner Tal / Allgäu / Hubertuskapelle</t>
  </si>
  <si>
    <t>Historische Ansichtskarte der Hubertuskapelle im Hintersteiner Tal (Allgäu)[cite: 16], postalisch gelaufen mit deutscher Briefmarke am Stempel SONTHOFEN (3.1.5.48) an Familie Josef Sauerer, Guts.-Oberkommissär in (13a) Lupburg / Opf. (b. Parsberg üb. Regensburg)[cite: 16], mit ausführlichem privatem Text von Gabriele („...sind heute gegen 14 Uhr gut hier angekommen...“)[cite: 16]</t>
  </si>
  <si>
    <t>Wunderschöner Beleg der Nachkriegszeit (1948) mit exakter Adressierung in die Oberpfalz und klarem Stempel</t>
  </si>
  <si>
    <t>AK-2026-0603</t>
  </si>
  <si>
    <t>Lauf an der Pegnitz – LAUF a.d. Pegnitz (Mehrbildkarte mit historischen Ansichten und Jidderlein)</t>
  </si>
  <si>
    <t>Kunstverlag Dennert &amp; Liebl, Regensburg / D-Li Karte EF 39[cite: 16]</t>
  </si>
  <si>
    <t>Lauf an der Pegnitz / Altstadt</t>
  </si>
  <si>
    <t>Mehrbild-Ansichtskarte von Lauf an der Pegnitz mit verschiedenen historischen Stadtmotiven, darunter das markante Jidderlein-Gebäude[cite: 16], ungelaufen und unbeschrieben[cite: 16]</t>
  </si>
  <si>
    <t>Klassische fränkische Mehrbild-Ansichtskarte in gutem Schwarz-Weiß-Druck</t>
  </si>
  <si>
    <t>AK-2026-0604</t>
  </si>
  <si>
    <t>Mühlheim – Gruß aus dem Gailach-Altmühltal (Gasthof u. Pension Mayer, 8831 Mühlheim)</t>
  </si>
  <si>
    <t>Aufnahme und Verlag: Foto-Nitsche, Eichstätt / Gasthof u. Pension Mayer, 8831 Mühlheim, Tel. 09145/7191[cite: 14]</t>
  </si>
  <si>
    <t>Mühlheim / Gailachtal / Altmühltal</t>
  </si>
  <si>
    <t>Mehrbild-Ansichtskarte vom Gailach-Altmühltal mit Gasthof und Pension Mayer in Mühlheim[cite: 14], ungelaufen und unbeschrieben[cite: 14]</t>
  </si>
  <si>
    <t>Reizvolle fränkische Landschaftskarte aus dem Altmühltal mit Hotel-/Gaststättendarstellung</t>
  </si>
  <si>
    <t>AK-2026-0605</t>
  </si>
  <si>
    <t>München – Gruß aus München (Mehrbildkarte mit Frauenkirche, Marienplatz, Rathaus und Stadtmotiven)</t>
  </si>
  <si>
    <t>A. Langbauer, München[cite: 14]</t>
  </si>
  <si>
    <t>München / Innenstadt</t>
  </si>
  <si>
    <t>Schwarz-Weiß-Mehrbild-Ansichtskarte von München mit verschiedenen bekannten Stadtansichten[cite: 14], postalisch gelaufen mit Bundespost-Marke am Stempel MÜNCHEN (16.12.70) an Frau Adelheid Höfler in Hofheim[cite: 14], kurzer privater Text von Grete („Bin inzwischen wieder hier...“)[cite: 14]</t>
  </si>
  <si>
    <t>Klassischer oberbayerischer Postkartenbeleg aus den 1970er Jahren mit klarem Stempel</t>
  </si>
  <si>
    <t>AK-2026-0606</t>
  </si>
  <si>
    <t>Obersalzberg – Obersalzberg (1000 m) über Berchtesgaden vor 1945 (Mehrbildkarte mit Hitlers Berghof, Bormann Haus, Göring Haus)</t>
  </si>
  <si>
    <t>Aufnahme Anton Hofner, Piding / Alle Rechte vorbehalten / Obersalzberg vor 1945</t>
  </si>
  <si>
    <t>Obersalzberg / Berchtesgaden</t>
  </si>
  <si>
    <t>Historische Mehrbild-Ansichtskarte vom Obersalzberg vor 1945 mit Hitlers Berghof, Bormann-Haus und Göring-Haus, postalisch gelaufen mit Bundespost-Marke am Stempel BERCHTESGADEN an Frau Adelheid Höfler in Hofheim/Ufr., ausführlicher privater Text von Marietrel</t>
  </si>
  <si>
    <t>Historisch interessanter bayerischer Beleg mit Motiven vom Obersalzberg und gut lesbarer Korrespondenz</t>
  </si>
  <si>
    <t>AK-2026-0607</t>
  </si>
  <si>
    <t>Grainau – Zugspitzdorf Grainau / Haus Hammersbach (Erholungsheim der GdED)</t>
  </si>
  <si>
    <t>Dias- und Postkartenverlag Hans Huber KG, 8100 Garmisch-Partenkirchen (Nr. 10037) / Haus Hammersbach, Erholungsheim der GdED, 8104 Hammersbach bei Garmisch</t>
  </si>
  <si>
    <t>Grainau / Hammersbach / Zugspitzdorf</t>
  </si>
  <si>
    <t>Mehrbild-Ansichtskarte von Grainau und dem Erholungsheim Haus Hammersbach (GdED) am Fuße der Zugspitze, postalisch gelaufen mit Bundespost-Marke am Stempel GRAINAU an Frau Adelheid Höfler in Hofheim/Ufr., kurzer Gruß („...wir wohnen in diesen Haus. Euer Tom u. Frau...“)</t>
  </si>
  <si>
    <t>Reizvoller oberbayerischer Alpinbeleg mit direktem Bezug zum Erholungsheim Hammersbach</t>
  </si>
  <si>
    <t>AK-2026-0608</t>
  </si>
  <si>
    <t>Ingolstadt – Ingolstadt/Donau, Rathausplatz mit Sparkasse</t>
  </si>
  <si>
    <t>[Bilddruck/Verlag] / INGOLSTADT/DONAU Rathausplatz[cite: 14]</t>
  </si>
  <si>
    <t>Ingolstadt / Rathausplatz</t>
  </si>
  <si>
    <t>Ansichtskarte von Ingolstadt an der Donau mit dem Rathausplatz und der Sparkasse[cite: 14], ungelaufen und unbeschrieben[cite: 14]</t>
  </si>
  <si>
    <t>Schöner oberbayerischer Stadtbeleg mit modernerer Ansicht und Sparkassen-Motiv</t>
  </si>
  <si>
    <t>Tadelloser ungelaufener Zustand, Ecken minimal bestoßen</t>
  </si>
  <si>
    <t>AK-2026-0609</t>
  </si>
  <si>
    <t>Bad Füssing – Bad Füssing – der Gesundheit wegen (Mehrbildkarte mit Kuranlagen, Kurpark und Thermalbrunnen)</t>
  </si>
  <si>
    <t>Kunstverlag Dennert &amp; Liebl, 8400 Regensburg, Cranachweg 10 (FD 65) / Bad Füssing – der Gesundheit wegen[cite: 16]</t>
  </si>
  <si>
    <t>Bad Füssing / Kuranlagen</t>
  </si>
  <si>
    <t>Mehrbild-Ansichtskarte aus dem niederbayerischen Bad Füssing mit Kuranlagen und Thermal-Motiven, postalisch gelaufen mit deutscher Briefmarke am Stempel BAD FÜSSING (18.10.86) an Frau Anna Rottenkolber in Worzeldorf / Nürnberg, langer privater Text („...sind vorhin im Kurv., die Bäder kommen dran...“)</t>
  </si>
  <si>
    <t>Schöner niederbayerischer Kurort-Beleg mit klarem Stempel und gut lesbarer Korrespondenz</t>
  </si>
  <si>
    <t>AK-2026-0610</t>
  </si>
  <si>
    <t>Nürnberg – Nürnberg (Ansicht der Kaiserburg von Westen mit historischer Altstadt)</t>
  </si>
  <si>
    <t>Verlage: [Unbekannt] / Tiergarten Nürnberg / [Bestellnr. am Bildrand]</t>
  </si>
  <si>
    <t>Nürnberg / Kaiserburg und Altstadt</t>
  </si>
  <si>
    <t>Ansichtskarte von Nürnberg mit der historischen Kaiserburg und den umgebenden Altstadthäusern, postalisch gelaufen mit deutscher Briefmarke am Stempel NÜRNBERG (8500) an Herrn Hans Weiß in Bad Driburg (Caspar Heinrich Klinik), privater Text („...hoffen und glauben, daß des Streß nun ein Ende hat...“)</t>
  </si>
  <si>
    <t>Interessanter fränkischer Beleg mit Klinik-Adressierung in Bad Driburg</t>
  </si>
  <si>
    <t>London – London, The National Gallery (No. 52)</t>
  </si>
  <si>
    <t>Verlag: [Unbekannt] / 52 LONDON, – The National Gallery – LL.[cite: 9]</t>
  </si>
  <si>
    <t>Großbritannien / England</t>
  </si>
  <si>
    <t>London / Trafalgar Square[cite: 9]</t>
  </si>
  <si>
    <t>Historische Ansichtskarte der National Gallery in London mit dem Springbrunnen am Trafalgar Square[cite: 9], ungelaufen und unbeschrieben</t>
  </si>
  <si>
    <t>Klassischer internationaler Beleg mit historischem Londoner Motiv[cite: 9]</t>
  </si>
  <si>
    <t>Guter Zustand, Ecken leicht bestoßen, ungelaufen</t>
  </si>
  <si>
    <t>AK-INT-2026-0008</t>
  </si>
  <si>
    <t>Selva di Val Gardena – Dolomites, Val Gardena: Selva m. 1565 (Panorama verso il Gruppo di Sella m. 3152)</t>
  </si>
  <si>
    <t>Ediz. Fotogr. Rinfstab – Rorod. vietato / K. D. L. XXI-25-II N. 1930[cite: 9, 10]</t>
  </si>
  <si>
    <t>Italien / Südtirol</t>
  </si>
  <si>
    <t>Grödnertal / Selva (Wolkenstein) / Dolomiten[cite: 9, 10]</t>
  </si>
  <si>
    <t>Ansichtskarte aus Wolkenstein in Gröden (Selva di Val Gardena) mit Blick auf die Dolomiten und das Sellamassiv[cite: 9, 10], postalisch gelaufen mit italienischen Briefmarken am Stempel (Ausland)[cite: 10], ausführlicher privater Text[cite: 10]</t>
  </si>
  <si>
    <t>Reizvoller alpiner Auslandsbeleg aus Südtirol mit schöner Bergszenerie[cite: 9, 10]</t>
  </si>
  <si>
    <t>Guter Zustand, Ecken leicht bestoßen, postalisch gelaufen[cite: 10]</t>
  </si>
  <si>
    <t>AK-INT-2026-0009</t>
  </si>
  <si>
    <t>Lago di Garda – Lago di Garda: Garda – Punta di San Vigilio</t>
  </si>
  <si>
    <t>Ed. C. Zollani – Gardena Riviera[cite: 9, 10]</t>
  </si>
  <si>
    <t>Italien / Lombardei / Venetien</t>
  </si>
  <si>
    <t>Gardasee / Garda / Punta di San Vigilio[cite: 9, 10]</t>
  </si>
  <si>
    <t>Ansichtskarte vom Gardasee mit der malerischen Punta di San Vigilio bei Garda[cite: 9, 10], ungelaufen und unbeschrieben[cite: 10]</t>
  </si>
  <si>
    <t>Beliebtes italienisches Motiv vom Gardasee in tadellosem Zustand[cite: 9, 10]</t>
  </si>
  <si>
    <t>Tadelloser Zustand, ungelaufen, keine Mängel[cite: 9, 10]</t>
  </si>
  <si>
    <t>AK-INT-2026-0010</t>
  </si>
  <si>
    <t>Luzern – Luzern und die Alpen (Nr. 2487 Edition Photoglob Co., Zürich)</t>
  </si>
  <si>
    <t>Edition Photoglob Co., Zürich (Nr. 2487) / Luzern und die Alpen[cite: 12]</t>
  </si>
  <si>
    <t>Schweiz / Luzern</t>
  </si>
  <si>
    <t>Luzern / Vierwaldstättersee / Alpen[cite: 12]</t>
  </si>
  <si>
    <t>Historische Ansichtskarte von Luzern mit Blick über den See auf die Alpen, postalisch gelaufen mit Schweizer Briefmarke am Stempel LUZERN BRF. AUFS. (29.V.06) an Otto Raithel in Hof / Bayern (Wörthstraße 1), kurzer privater Gruß[cite: 12, 13]</t>
  </si>
  <si>
    <t>Klassischer Schweizer Alpenbeleg im Jugendstil-Format mit klarem Poststempel von 1906[cite: 12, 13]</t>
  </si>
  <si>
    <t>Guter Zustand, Ecken leicht bestoßen, postalisch gelaufen[cite: 12, 13]</t>
  </si>
  <si>
    <t>AK-INT-2026-0011</t>
  </si>
  <si>
    <t>Bruxelles – Bruxelles: Palais du Roi (Em. Thill, rue Simons, 23-27, Bruxelles)</t>
  </si>
  <si>
    <t>Em. Thill, rue Simons, 23-27, Bruxelles[cite: 13] / Bruxelles – Palais du Roi[cite: 12]</t>
  </si>
  <si>
    <t>Belgien / Brüssel</t>
  </si>
  <si>
    <t>Brüssel / Palais du Roi (Königspalast)[cite: 12]</t>
  </si>
  <si>
    <t>Ansichtskarte des Königspalasts in Brüssel (Palais du Roi), postalisch gelaufen als Feldpost mit Stempel BRUSSEL SCHAERBEEK (31.3.17) an einen Funker in einem Ersatz-Bataillon in Puchheim[cite: 12, 13], privater Text vom Absender Karl[cite: 13]</t>
  </si>
  <si>
    <t>Historisch wertvoller Erster-Weltkriegs-Feldpostbeleg aus Belgien[cite: 12, 13]</t>
  </si>
  <si>
    <t>Guter Zustand, Ecken leicht bestoßen, postalisch gelaufen als Feldpost[cite: 12, 13]</t>
  </si>
  <si>
    <t>AK-INT-2026-0012</t>
  </si>
  <si>
    <t>Roeselare – Roeselare: Sint-Amandusplaats (La phototypie belge)</t>
  </si>
  <si>
    <t>La phototypie belge / Roeselare – Sint-Amandusplaats[cite: 12]</t>
  </si>
  <si>
    <t>Belgien / Westflandern</t>
  </si>
  <si>
    <t>Roeselare (Roulers) / Sint-Amandusplaats[cite: 12]</t>
  </si>
  <si>
    <t>Ansichtskarte aus Roeselare in Belgien mit dem Sint-Amandusplaats und Denkmal, postalisch gelaufen mit langem handschriftlichen Text datiert vom 21. Juni 1917 an einen Empfänger in Deutschland[cite: 12, 13]</t>
  </si>
  <si>
    <t>Spannender belgischer Weltkriegs-Beleg aus Roeselare mit ausführlicher Textseite[cite: 12, 13]</t>
  </si>
  <si>
    <t>AK-INT-2026-0013</t>
  </si>
  <si>
    <t>Longwy – Longwy, Kirche (Aufnahme Eugen Deriaz, Metz / Verlag F. Contant, Metz)[cite: 10, 11]</t>
  </si>
  <si>
    <t>Verlag F. Contant, Metz / Aufnahme Eugen Deriaz, Metz (Sammlung Weikert 1914, Nr. 12)[cite: 10, 11]</t>
  </si>
  <si>
    <t>Frankreich / Grand Est</t>
  </si>
  <si>
    <t>Longwy / Meurthe-et-Moselle / Kirche[cite: 10, 11]</t>
  </si>
  <si>
    <t>Historische Ansichtskarte aus Longwy mit kriegszerstörtem Kirchen-Motiv, postalisch gelaufen als Feldpost mit Stempel Moyeuvre (24. XII. 1914) an Otto Raithel in Hof / Bayern (Wörthstraße), privater Text[cite: 10, 11]</t>
  </si>
  <si>
    <t>Historisch bedeutsamer Erster-Weltkriegs-Feldpostbeleg aus Longwy von Dezember 1914[cite: 10, 11]</t>
  </si>
  <si>
    <t>Guter Zustand, Ecken leicht bestoßen, postalisch gelaufen als Feldpost[cite: 10, 11]</t>
  </si>
  <si>
    <t>AK-INT-2026-0014</t>
  </si>
  <si>
    <t>Hampton Court – Entrance to Vine and Gardener's Cottage, Hampton Court Palace[cite: 10, 11]</t>
  </si>
  <si>
    <t>Printed in England / 19534 Entrance to Vine and Gardener's Cottage, Hampton Court Palace[cite: 10, 11]</t>
  </si>
  <si>
    <t>Hampton Court / London / Surrey[cite: 10, 11]</t>
  </si>
  <si>
    <t>Ansichtskarte von Hampton Court Palace mit dem Eingang zum Weinstock und Gärtnerhaus, ungelaufen und unbeschrieben[cite: 10, 11]</t>
  </si>
  <si>
    <t>Schöner englischer Schloss- und Gartenbeleg aus Hampton Court[cite: 10, 11]</t>
  </si>
  <si>
    <t>Guter Zustand, Ecken leicht bestoßen, ungelaufen[cite: 10, 11]</t>
  </si>
  <si>
    <t>AK-INT-2026-0015</t>
  </si>
  <si>
    <t>Key West – 64-Passenger Conch Tour Train, Key West, Florida (Koppel Color Cards)[cite: 10, 11]</t>
  </si>
  <si>
    <t>Koppel Color Cards, Hawthorne, N. J. / Florida Natural Color, Inc. (FNC-4166, 39219)[cite: 10, 11]</t>
  </si>
  <si>
    <t>USA / Florida</t>
  </si>
  <si>
    <t>Key West / Conch Tour Train[cite: 10, 11]</t>
  </si>
  <si>
    <t>Farbige Ansichtskarte aus Key West, Florida, mit dem touristischen Conch Tour Train vor Palmenkulisse, ungelaufen und unbeschrieben[cite: 10, 11]</t>
  </si>
  <si>
    <t>Attraktiver US-Farbbeleg aus Key West mit detaillierter Beschreibung auf der Rückseite[cite: 10, 11]</t>
  </si>
  <si>
    <t>Tadelloser Zustand, ungelaufen, keine Mängel[cite: 10, 11]</t>
  </si>
  <si>
    <t>AK-INT-2026-0016</t>
  </si>
  <si>
    <t>Böhmerwald – Gruss aus dem Böhmerwald: Teufelsee (Verlag von Wilhelm Hagedorn, Erlangen)</t>
  </si>
  <si>
    <t>Österreich-Ungarn / Böhmerwald (Böhmen)</t>
  </si>
  <si>
    <t>AK-INT-2026-0017</t>
  </si>
  <si>
    <t>Metz – Metz: An der Cathedrale / Près de la Cathédrale (Brings &amp; Garnit, veuve C. Bernhoeft, Luxembourg)</t>
  </si>
  <si>
    <t>Deutsches Reich / Reichsland Elsaß-Lothringen</t>
  </si>
  <si>
    <t>AK-INT-2026-0018</t>
  </si>
  <si>
    <t>Metz – Metz: Rathaus / Mairie (Brings &amp; Garnit, veuve C. Bernhoeft, Luxembourg)</t>
  </si>
  <si>
    <t>Verlag von Wilhelm Hagedorn, Erlangen / Gruss aus dem Böhmerwald – Teufelsee</t>
  </si>
  <si>
    <t>Böhmerwald / Teufelsee (Čertovo jezero)</t>
  </si>
  <si>
    <t>Historische Ansichtskarte aus dem Böhmerwald mit Motiv des Teufelsees, postalisch gelaufen mit Briefmarke am Stempel WIESENFELDEN (29.11.02) an Herrn Lehrer S. Winthauer in Neunburg vorm Wald, kurzer handschriftlicher Gruß</t>
  </si>
  <si>
    <t>Reizvoller historischer Böhmerwald-Beleg aus dem Jahr 1902 mit schöner alpenländischer Ausrichtung</t>
  </si>
  <si>
    <t>Brings &amp; Garnit, veuve C. Bernhoeft, Luxembourg / Metz – An der Cathedrale / Près de la Cathédrale</t>
  </si>
  <si>
    <t>Metz / Kathedrale</t>
  </si>
  <si>
    <t>Historische Ansichtskarte aus Metz mit Straßenszene an der Kathedrale und Militärpersonen, postalisch gelaufen mit deutscher Briefmarke am Stempel METZ (2.12.12) an Otto Raithel in Leipzig (Eißmannstraße 18/II), privater Text</t>
  </si>
  <si>
    <t>Interessanter historischer Beleg aus dem damaligen Reichsland Elsaß-Lothringen mit Militärmotiv</t>
  </si>
  <si>
    <t>Brings &amp; Garnit, veuve C. Bernhoeft, Luxembourg / Metz – Rathaus / Mairie</t>
  </si>
  <si>
    <t>Metz / Rathaus / Mairie</t>
  </si>
  <si>
    <t>Ansichtskarte aus Metz mit dem Rathaus und Platz, postalisch gelaufen mit deutscher Briefmarke am Stempel METZ (30.12.12) an Otto Raithel in Leipzig (Eißmannstraße 18/II), privater Text</t>
  </si>
  <si>
    <t>Schöner städtebaulicher Beleg aus Metz mit klarem kaiserzeitlichen Poststempel</t>
  </si>
  <si>
    <t>AK-INT-2026-0019</t>
  </si>
  <si>
    <t>Briey – Briey (Aufnahme Eugen Deriaz, Metz / Verlag F. Contant, Metz)[cite: 10]</t>
  </si>
  <si>
    <t>Verlag F. Contant, Metz / Aufnahme Eugen Deriaz, Metz (Sammlung Weikert 1914, Nr. 27)[cite: 10]</t>
  </si>
  <si>
    <t>Briey / Meurthe-et-Moselle[cite: 10]</t>
  </si>
  <si>
    <t>Historische Ansichtskarte aus Briey mit Ortsansicht, postalisch gelaufen als Feldpost mit Stempel vom 14.2.1915 an Otto Raithel in Hof / Bayern (Wörthstraße), ausführlicher privater Text[cite: 10]</t>
  </si>
  <si>
    <t>Historisch wertvoller Erster-Weltkriegs-Feldpostbeleg aus Briey von Februar 1915[cite: 10]</t>
  </si>
  <si>
    <t>Guter Zustand, Ecken leicht bestoßen, postalisch gelaufen als Feldpost[cite: 10]</t>
  </si>
  <si>
    <t>AK-INT-2026-0020</t>
  </si>
  <si>
    <t>Versailles – 1. Panorama de Versailles (A. C. Phot.)[cite: 10, 11]</t>
  </si>
  <si>
    <t>A. C. Phot. / 1. Panorama de Versailles[cite: 10, 11]</t>
  </si>
  <si>
    <t>Frankreich / Île-de-France</t>
  </si>
  <si>
    <t>Versailles / Schloss und Park[cite: 10, 11]</t>
  </si>
  <si>
    <t>Historische Ansichtskarte mit dem Panorama von Schloss und Park Versailles mit den Wasserspielen, postalisch gelaufen mit französischer Briefmarke am Stempel PARIS (18. April 1911) an Otto Raithel c/o Greencroft Gardens in London-Hampstead, privater Text[cite: 10, 11]</t>
  </si>
  <si>
    <t>Spannender internationaler Laufweg von Frankreich nach London-Hampstead[cite: 10, 11]</t>
  </si>
  <si>
    <t>Guter Zustand, Ecken leicht bestoßen, postalisch gelaufen[cite: 10, 11]</t>
  </si>
  <si>
    <t>AK-INT-2026-0021</t>
  </si>
  <si>
    <t>Versailles – Panorama de Versailles[cite: 10, 11]</t>
  </si>
  <si>
    <t>[Unbekannter Verlag] / Panorama de Versailles[cite: 10, 11]</t>
  </si>
  <si>
    <t>Gelaufen / Befriedigend bis Gut (Z3 bis Z2)</t>
  </si>
  <si>
    <t>Historische Ansichtskarte des Panoramas von Versailles mit beschrifteter Vorderseite und handschriftlichem Gruß "Kupferer", postalisch gelaufen mit Stempel SELP (17. SEP. 00) an Monsieur Thomas Eisendreher in Markbreit, Bayern[cite: 10, 11]</t>
  </si>
  <si>
    <t>Früherer Beleg aus dem Jahr 1900 mit altdeutscher Stempelung nach Bayern[cite: 10, 11]</t>
  </si>
  <si>
    <t>Stärkere altersbedingte Spuren, Ecken bestoßen, Stempel auf Rückseite leicht abgerieben, postalisch gelaufen[cite: 10, 11]</t>
  </si>
  <si>
    <t>London – The Monument, London[cite: 11, 12]</t>
  </si>
  <si>
    <t>[Unbekannter Verlag] / The Monument, London[cite: 11, 12]</t>
  </si>
  <si>
    <t>Großbritannien / England[cite: 11, 12]</t>
  </si>
  <si>
    <t>London / The Monument[cite: 11, 12]</t>
  </si>
  <si>
    <t>Gelaufen / Gut (Z2)[cite: 11, 12]</t>
  </si>
  <si>
    <t>Historische Ansichtskarte von The Monument in London, postalisch gelaufen mit britischer Briefmarke am Poststempel Stockwell (No. 15) an Herrn Otto Raithel c/o Mrs. Millar in Clapham Common, London S.W., privater Text[cite: 11, 12]</t>
  </si>
  <si>
    <t>Im Bestand[cite: 11, 12]</t>
  </si>
  <si>
    <t>Guter Zustand, Ecken leicht bestoßen, postalisch gelaufen[cite: 11, 12]</t>
  </si>
  <si>
    <t>New York – U. S. Custom House, New York (12136 U. S. Custom House, New York / Phostint Card)[cite: 11, 12]</t>
  </si>
  <si>
    <t>Phostint Card (Detroit Publishing Co., Nr. 12136) / U. S. Custom House, New York[cite: 11, 12]</t>
  </si>
  <si>
    <t>USA / New York[cite: 11, 12]</t>
  </si>
  <si>
    <t>New York / U.S. Custom House[cite: 11, 12]</t>
  </si>
  <si>
    <t>Ungelaufen / Gut (Z2)[cite: 11, 12]</t>
  </si>
  <si>
    <t>Farbige Phostint-Ansichtskarte des U.S. Custom House in New York, ungelaufen und unbeschrieben[cite: 11, 12]</t>
  </si>
  <si>
    <t>Guter Zustand, Ecken leicht bestoßen, ungelaufen[cite: 11, 12]</t>
  </si>
  <si>
    <t>AK-INT-2026-0027</t>
  </si>
  <si>
    <t>Ventnor – Cascade, Parkfall, Ventnor (Valentine's Series)[cite: 11, 12]</t>
  </si>
  <si>
    <t>Valentine's Series / Cascade, Parkfall, Ventnor[cite: 11, 12]</t>
  </si>
  <si>
    <t>Ventnor / Isle of Wight / Cascade[cite: 11, 12]</t>
  </si>
  <si>
    <t>Historische Ansichtskarte der Kaskade im Park in Ventnor (Isle of Wight), ungelaufen und unbeschrieben[cite: 11, 12]</t>
  </si>
  <si>
    <t>Reizvoller britischer Garten- und Landschaftsmotivbeleg von der Isle of Wight[cite: 11, 12]</t>
  </si>
  <si>
    <t>Gesuchter historischer London-Beleg mit britischem Inlands-Postlauf und schönem Stempel[cite: 11, 12]</t>
  </si>
  <si>
    <t>Hochwertige und sammelwürdige US-Farbkarte (Phostint der Detroit Publishing Co.)[cite: 11, 12]</t>
  </si>
  <si>
    <t>Isle of Wight – Rough Sea off Ventnor, Isle of Wight (Valentine's Art Series, No. 431.)</t>
  </si>
  <si>
    <t>Valentine's Art Series (No. 431.) / Rough Sea off Ventnor, Isle of Wight</t>
  </si>
  <si>
    <t>Isle of Wight / Ventnor</t>
  </si>
  <si>
    <t>Historische Ansichtskarte mit stürmischer See vor Ventnor auf der Isle of Wight, ungelaufen und unbeschrieben</t>
  </si>
  <si>
    <t>Klassischer britischer Küsten- und Seestück-Beleg von der Isle of Wight</t>
  </si>
  <si>
    <t>Windsor – Statue of George III., Long Walk, Windsor (Valentine's Art Series)</t>
  </si>
  <si>
    <t>Valentine's Art Series / Statue of George III., Long Walk, Windsor</t>
  </si>
  <si>
    <t>Windsor / Long Walk</t>
  </si>
  <si>
    <t>Ansichtskarte von der Statue von König George III. am Long Walk in Windsor, ungelaufen und unbeschrieben</t>
  </si>
  <si>
    <t>Schöner britischer Motivbeleg aus Windsor mit Reiterstandbild</t>
  </si>
  <si>
    <t>Metz – Esplanade und Justizpalast Metz – Esplanade et Palais de Justice (1981)</t>
  </si>
  <si>
    <t>[Unbekannter Verlag] (Nr. 1981) / Esplanade und Justizpalast Metz – Esplanade et Palais de Justice</t>
  </si>
  <si>
    <t>Metz / Esplanade und Justizpalast</t>
  </si>
  <si>
    <t>Historische Ansichtskarte der Esplanade und des Justizpalasts in Metz, postalisch gelaufen mit deutschen Briefmarken am Stempel METZ (26.12.12) und Stationsstempel, adressiert nach New York (USA) mit Nachsendungsvermerken, privater Text</t>
  </si>
  <si>
    <t>Hervorragender internationaler Laufweg von Metz über Deutschland ins US-amerikanische New York mit spannender Stempelkombination</t>
  </si>
  <si>
    <t>AK-INT-2026-0028</t>
  </si>
  <si>
    <t>London – Queen Victoria Memorial, London (Rotary Photographic Series, No. 10804 C)[cite: 9, 10]</t>
  </si>
  <si>
    <t>Rotary Photographic Series (No. 10804 C) / Queen Victoria Memorial, London[cite: 9, 10]</t>
  </si>
  <si>
    <t>Großbritannien / England[cite: 9, 10]</t>
  </si>
  <si>
    <t>London / Queen Victoria Memorial[cite: 9, 10]</t>
  </si>
  <si>
    <t>Unbeschrieben / Gut (Z2)[cite: 9, 10]</t>
  </si>
  <si>
    <t>Historische Schwarz-Weiß-Ansichtskarte des Queen Victoria Memorial in London mit handschriftlichem Hinweis auf der Rückseite zur Enthüllung am 23. Mai 1911[cite: 9, 10]</t>
  </si>
  <si>
    <t>Im Bestand[cite: 9, 10]</t>
  </si>
  <si>
    <t>Historisch interessanter Beleg mit präzisem handschriftlichen Bezug zum Enthüllungsdatum 1911[cite: 9, 10]</t>
  </si>
  <si>
    <t>Guter Zustand, Ecken leicht bestoßen, ungelaufen/beschriftet[cite: 9, 10]</t>
  </si>
  <si>
    <t>AK-INT-2026-0029</t>
  </si>
  <si>
    <t>Manchester – [Manchester Stadtansicht / Gebäude mit Straßenbahnschienen] ("Aldwych" Series, W. H. S. &amp; S., London, S. 2544)[cite: 9, 10]</t>
  </si>
  <si>
    <t>Aldwych Series (W. H. S. &amp; S., London, S. 2544) / Manchester[cite: 9, 10]</t>
  </si>
  <si>
    <t>Manchester[cite: 9, 10]</t>
  </si>
  <si>
    <t>Gelaufen / Gut (Z2)[cite: 9, 10]</t>
  </si>
  <si>
    <t>Historische farbige Ansichtskarte aus Manchester mit Straßenbahnschienen, postalisch gelaufen mit Briefmarke am Poststempel MANCHESTER (SEP 24 10) an Herrn Otto Raithel c/o Mrs. Millar in Clapham Common, London S.W., ausführlicher handschriftlicher Text[cite: 9, 10]</t>
  </si>
  <si>
    <t>Attraktiver britischer Postbeleg von Manchester nach London mit klarem Stempel aus dem Jahr 1910[cite: 9, 10]</t>
  </si>
  <si>
    <t>Guter Zustand, Ecken leicht bestoßen, postalisch gelaufen[cite: 9, 10]</t>
  </si>
  <si>
    <t>AK-INT-2026-0030</t>
  </si>
  <si>
    <t>Hampton Court – The Maze, Hampton Court Palace (12093)[cite: 9, 10]</t>
  </si>
  <si>
    <t>[Unbekannter Verlag] (Nr. 12093) / The Maze, Hampton Court Palace[cite: 9, 10]</t>
  </si>
  <si>
    <t>Hampton Court / The Maze[cite: 9, 10]</t>
  </si>
  <si>
    <t>Ungelaufen / Gut (Z2)[cite: 9, 10]</t>
  </si>
  <si>
    <t>Historische Ansichtskarte vom berühmten Heckenlabyrinth (The Maze) in Hampton Court Palace, ungelaufen und unbeschrieben[cite: 9, 10]</t>
  </si>
  <si>
    <t>Klassisches und beliebtes englisches Schlossgarten-Motiv aus Hampton Court[cite: 9, 10]</t>
  </si>
  <si>
    <t>Guter Zustand, Ecken leicht bestoßen, ungelaufen[cite: 9, 10]</t>
  </si>
  <si>
    <t>AK-INT-2026-0034</t>
  </si>
  <si>
    <t>Ventnor – Ventnor from the Pier (Valentine's Art Series, No. 45057)</t>
  </si>
  <si>
    <t>Valentine's Art Series (No. 45057) / Ventnor from the Pier</t>
  </si>
  <si>
    <t>Ventnor / Isle of Wight / Pier</t>
  </si>
  <si>
    <t>Historische Ansichtskarte mit Blick auf Ventnor von der Seebrücke (Pier) auf der Isle of Wight, ungelaufen und unbeschrieben</t>
  </si>
  <si>
    <t>Klassischer britischer Küsten- und Kurort-Beleg von der Isle of Wight</t>
  </si>
  <si>
    <t>AK-INT-2026-0035</t>
  </si>
  <si>
    <t>London – London, Palm House and Sion Vista, Kew Gardens (The Star Series)</t>
  </si>
  <si>
    <t>The Star Series (S. O. &amp; D., London) / London, Palm House and Sion Vista, Kew Gardens</t>
  </si>
  <si>
    <t>London / Kew Gardens / Palm House</t>
  </si>
  <si>
    <t>Historische Schwarz-Weiß-Ansichtskarte des Palmhauses in den Kew Gardens in London, ungelaufen und unbeschrieben</t>
  </si>
  <si>
    <t>Beliebter botanischer Garten- und Architekturbeleg aus London (Kew Gardens)</t>
  </si>
  <si>
    <t>AK-INT-2026-0036</t>
  </si>
  <si>
    <t>London – Garden of Peace, Japan-British Exhibition (Valentine's Series / Official)</t>
  </si>
  <si>
    <t>Valentine's Series (Official) / Garden of Peace, Japan-British Exhibition</t>
  </si>
  <si>
    <t>London / Japan-British Exhibition</t>
  </si>
  <si>
    <t>Beschriftet / Gut (Z2)</t>
  </si>
  <si>
    <t>Historische Ansichtskarte vom "Garden of Peace" der Japan-British Exhibition in London mit handschriftlichem deutschen Text auf der Rückseite ("Erinnerung an die Japan. Ausstellung London 3. Aug. 1910"), ungelaufen</t>
  </si>
  <si>
    <t>Historisch hochinteressanter Ausstellungbeleg zur Japanisch-Britischen Ausstellung in London (1910) mit datiertem zeitgenössischem Text</t>
  </si>
  <si>
    <t>Guter Zustand, Ecken leicht bestoßen, beschriftet</t>
  </si>
  <si>
    <t>AK-INT-2026-0037</t>
  </si>
  <si>
    <t>Windsor – The Long Avenue, Windsor Castle (Valentine's Series, Nr. 46206)</t>
  </si>
  <si>
    <t>Valentine's Series (Nr. 46206) / The Long Avenue, Windsor Castle</t>
  </si>
  <si>
    <t>Windsor / Windsor Castle / The Long Avenue</t>
  </si>
  <si>
    <t>Historische farbige Ansichtskarte der langen Allee (The Long Avenue) am Windsor Castle, ungelaufen und unbeschrieben</t>
  </si>
  <si>
    <t>Schöner britischer Schloss- und Alleen-Beleg aus Windsor</t>
  </si>
  <si>
    <t>AK-INT-2026-0038</t>
  </si>
  <si>
    <t>Bonchurch – New Church, Bonchurch, Isle of Wight (Valentine's Series, Nr. 45093)</t>
  </si>
  <si>
    <t>Valentine's Series (Nr. 45093) / New Church, Bonchurch, Isle of Wight</t>
  </si>
  <si>
    <t>Bonchurch / Isle of Wight / New Church</t>
  </si>
  <si>
    <t>Historische Schwarz-Weiß-Ansichtskarte der neuen Kirche und des Friedhofs in Bonchurch auf der Isle of Wight, ungelaufen und unbeschrieben</t>
  </si>
  <si>
    <t>Reizvoller insularer Friedhofs- und Architekturbeleg von der Isle of Wight</t>
  </si>
  <si>
    <t>AK-INT-2026-0039</t>
  </si>
  <si>
    <t>Ventnor – Cascade, Ventnor (Valentine's Series)</t>
  </si>
  <si>
    <t>Valentine's Series / Cascade, Ventnor</t>
  </si>
  <si>
    <t>Ventnor / Isle of Wight / Cascade</t>
  </si>
  <si>
    <t>Historische Ansichtskarte mit Blick auf die Kaskade und Küstenstraße in Ventnor auf der Isle of Wight, ungelaufen und unbeschrieben</t>
  </si>
  <si>
    <t>AK-INT-2026-0040</t>
  </si>
  <si>
    <t>Ventnor – The Pier, Ventnor, Isle of Wight (Ventnor Art Series, No. 531)</t>
  </si>
  <si>
    <t>Ventnor Art Series (No. 531) / The Pier, Ventnor, Isle of Wight</t>
  </si>
  <si>
    <t>Historische Ansichtskarte vom Pier in Ventnor auf der Isle of Wight, ungelaufen und unbeschrieben</t>
  </si>
  <si>
    <t>AK-INT-2026-0041</t>
  </si>
  <si>
    <t>Ventnor – Eastern Cliffs and Devonshire Terrace from the Pier, Ventnor, Isle of Wight (Ventnor Art Series, No. 431)</t>
  </si>
  <si>
    <t>Ventnor Art Series (No. 431) / Eastern Cliffs and Devonshire Terrace from the Pier, Ventnor</t>
  </si>
  <si>
    <t>Ventnor / Isle of Wight / Eastern Cliffs</t>
  </si>
  <si>
    <t>Historische Ansichtskarte mit Blick auf die Eastern Cliffs und Devonshire Terrace in Ventnor vom Pier aus, ungelaufen und unbeschrieben</t>
  </si>
  <si>
    <t>Reizvoller britischer Küstenansichts-Beleg von der Isle of Wight</t>
  </si>
  <si>
    <t>AK-INT-2026-0042</t>
  </si>
  <si>
    <t>London – Houses of Parliament, London (E. A. Schwerdtfeger &amp; Co., London E.C., Nr. 01324)</t>
  </si>
  <si>
    <t>E. A. Schwerdtfeger &amp; Co., London E.C. (Nr. 01324) / Houses of Parliament, London</t>
  </si>
  <si>
    <t>London / Houses of Parliament</t>
  </si>
  <si>
    <t>Historische Schwarz-Weiß-Ansichtskarte der Houses of Parliament in London von der Themse aus gesehen, ungelaufen und unbeschrieben</t>
  </si>
  <si>
    <t>Beliebter britischer Architektur- und Hauptstadtbeleg aus London</t>
  </si>
  <si>
    <t>AK-INT-2026-0031</t>
  </si>
  <si>
    <t>Hampton Court – The Lion Gates, Hampton Court Palace (12082)[cite: 11]</t>
  </si>
  <si>
    <t>[Unbekannter Verlag] (Nr. 12082) / The Lion Gates, Hampton Court Palace[cite: 11]</t>
  </si>
  <si>
    <t>Großbritannien / England[cite: 11]</t>
  </si>
  <si>
    <t>Hampton Court / The Lion Gates[cite: 11]</t>
  </si>
  <si>
    <t>Ungelaufen / Gut (Z2)[cite: 11]</t>
  </si>
  <si>
    <t>Historische Schwarz-Weiß-Ansichtskarte der Lion Gates am Hampton Court Palace, ungelaufen und unbeschrieben[cite: 11]</t>
  </si>
  <si>
    <t>Im Bestand[cite: 11]</t>
  </si>
  <si>
    <t>Reizvoller britischer Architektur- und Parkbeleg aus Hampton Court[cite: 11]</t>
  </si>
  <si>
    <t>Guter Zustand, Ecken leicht bestoßen, ungelaufen[cite: 11]</t>
  </si>
  <si>
    <t>AK-INT-2026-0032</t>
  </si>
  <si>
    <t>Cincinnati – Cincinnati, Ohio. Made in USA (Max Boas Co., Cincinnati, O.)[cite: 11, 12]</t>
  </si>
  <si>
    <t>Max Boas Co., Cincinnati, O. / Cincinnati, Ohio[cite: 11, 12]</t>
  </si>
  <si>
    <t>USA / Ohio[cite: 11, 12]</t>
  </si>
  <si>
    <t>Cincinnati / Ohio[cite: 11, 12]</t>
  </si>
  <si>
    <t>Historische Mehrbild-Ansichtskarte ("Private Mailing Card") aus Cincinnati mit St. Peter's Cathedral und Stinton Church, postalisch gelaufen mit Poststempel CINCINNATI (NOV 28 02) und Ankunftsstempel HOF (2.12.02) an Otto Raithel in Hof / Bayern (Wörthstraße 1), privater Text[cite: 11, 12]</t>
  </si>
  <si>
    <t>Seltener und sehr attraktiver US-Frühbeleg ("Private Mailing Card" von 1898er Kongress-Autorisierung) mit direktem Postlauf von Ohio nach Bayern[cite: 11, 12]</t>
  </si>
  <si>
    <t>AK-INT-2026-0033</t>
  </si>
  <si>
    <t>Niagara Falls – Canadian Falls from Terrapin Point, Niagara Falls[cite: 11, 12]</t>
  </si>
  <si>
    <t>[Unbekannter Verlag] / Canadian Falls from Terrapin Point, Niagara Falls[cite: 11, 12]</t>
  </si>
  <si>
    <t>Kanada / Ontario (USA / Grenzgebiet)[cite: 11, 12]</t>
  </si>
  <si>
    <t>Niagara Falls / Canadian Falls[cite: 11, 12]</t>
  </si>
  <si>
    <t>Farbige historische Ansichtskarte der Canadian Falls von Terrapin Point an den Niagarafällen mit ausführlicher geologischer Erläuterung auf der Rückseite, ungelaufen[cite: 11, 12]</t>
  </si>
  <si>
    <t>Spannender nordamerikanischer Motivbeleg mit detailliertem Begleittext auf der Rückseite[cite: 11, 12]</t>
  </si>
  <si>
    <t>AK-INT-2026-0043</t>
  </si>
  <si>
    <t>New York – The Bethesda Fountain in Central Park, New York (Success Postal Card Co., Publ., New York, No. 1030)</t>
  </si>
  <si>
    <t>Success Postal Card Co., Publ., New York (No. 1030) / The Bethesda Fountain in Central Park, New York</t>
  </si>
  <si>
    <t>USA / New York</t>
  </si>
  <si>
    <t>New York / Central Park / Bethesda Fountain</t>
  </si>
  <si>
    <t>Farbige historische Ansichtskarte vom Bethesda-Brunnen im Central Park in New York, ungelaufen und unbeschrieben</t>
  </si>
  <si>
    <t>Sammelwürdiger US-Farbkarten-Beleg (Success Postal Card Co.) aus New York</t>
  </si>
  <si>
    <t>AK-INT-2026-0044</t>
  </si>
  <si>
    <t>London – Russell Square, London (E. F. Stengel &amp; Co., Ltd., London E.C., Nr. E 34943)</t>
  </si>
  <si>
    <t>E. F. Stengel &amp; Co., Ltd., London E.C. (Nr. E 34943) / Russell Square, London</t>
  </si>
  <si>
    <t>London / Russell Square</t>
  </si>
  <si>
    <t>Historische farbige Ansichtskarte vom Russell Square in London mit Pferdekutschen, postalisch gelaufen mit britischer Briefmarke am Poststempel STOCKWELL (DEC 3 08) an Herrn Otto Raithel c/o H. Hartjen &amp; Co. in London E.C. (35-37 Noble Street), privater Text</t>
  </si>
  <si>
    <t>Attraktiver historischer London-Beleg mit klassischem Stempel und Firmenadresse in der City</t>
  </si>
  <si>
    <t>AK-INT-2026-0045</t>
  </si>
  <si>
    <t>London – Hyde Park Corner, London (Hyde Park Corner, London)</t>
  </si>
  <si>
    <t>[Unbekannter Verlag] / Hyde Park Corner, London</t>
  </si>
  <si>
    <t>London / Hyde Park Corner</t>
  </si>
  <si>
    <t>Historische farbige Ansichtskarte vom Hyde Park Corner in London, postalisch gelaufen mit Briefmarke am Poststempel HIGHBURY (NOV 4 07) an Mr. Otto Raithel in London (99, Greencroft Gdns., Hampstead, N.W.), beschriftet</t>
  </si>
  <si>
    <t>Schöner britischer Postbeleg mit klarem Highbury-Stempel und detaillierter Anschrift in Hampstead</t>
  </si>
  <si>
    <t>AK-INT-2026-0046</t>
  </si>
  <si>
    <t>New York – Cathedral of St. John the Divine, New York (Success Postal Card Co., Publ., New York, No. 1077)</t>
  </si>
  <si>
    <t>Success Postal Card Co., Publ., New York (No. 1077) / Cathedral of St. John the Divine, New York</t>
  </si>
  <si>
    <t>New York / Cathedral of St. John the Divine</t>
  </si>
  <si>
    <t>Historische farbige Ansichtskarte der Kathedrale St. John the Divine in New York, ungelaufen und unbeschrieben</t>
  </si>
  <si>
    <t>AK-INT-2026-0047</t>
  </si>
  <si>
    <t>New York – Terraces in Central Park, New York (Success Postal Card Co., Publ., New York, No. 1016)</t>
  </si>
  <si>
    <t>Success Postal Card Co., Publ., New York (No. 1016) / Terraces in Central Park, New York</t>
  </si>
  <si>
    <t>New York / Central Park / Terraces</t>
  </si>
  <si>
    <t>Farbige historische Ansichtskarte mit Blick auf die Terrassen und Blumenanlagen im Central Park in New York, ungelaufen und unbeschrieben</t>
  </si>
  <si>
    <t>Attraktiver und detailreicher US-Farbkarten-Beleg aus dem Central Park</t>
  </si>
  <si>
    <t>AK-INT-2026-0048</t>
  </si>
  <si>
    <t>London – Kew Gardens, Temperate House (Gale &amp; Polden, Ltd., London, Aldershot &amp; Portsmouth, No. 790 A)</t>
  </si>
  <si>
    <t>Gale &amp; Polden, Ltd., London, Aldershot &amp; Portsmouth (No. 790 A) / Kew Gardens, Temperate House</t>
  </si>
  <si>
    <t>London / Kew Gardens / Temperate House</t>
  </si>
  <si>
    <t>Historische Schwarz-Weiß-Ansichtskarte vom Temperate House in den Kew Gardens in London, ungelaufen und unbeschrieben</t>
  </si>
  <si>
    <t>AK-INT-2026-0049</t>
  </si>
  <si>
    <t>Ventnor – Ventnor, Isle of Wight, from the Pier (Ventnor Art Series, No. 434)</t>
  </si>
  <si>
    <t>Ventnor Art Series (No. 434) / Ventnor, Isle of Wight, from the Pier</t>
  </si>
  <si>
    <t>Historische Ansichtskarte mit Blick auf Ventnor von der Seebrücke auf der Isle of Wight, ungelaufen und unbeschrieben</t>
  </si>
  <si>
    <t>AK-INT-2026-0050</t>
  </si>
  <si>
    <t>London – Coronation Procession, 1911. Their Majesties passing through the new Admiralty Arches (Rotary Photographic Series, No. 9482 H)</t>
  </si>
  <si>
    <t>Rotary Photographic Series (No. 9482 H) / Coronation Procession, 1911</t>
  </si>
  <si>
    <t>London / Admiralty Arches</t>
  </si>
  <si>
    <t>Historische Schwarz-Weiß-Ansichtskarte von der Krönungsprozession 1911 mit dem Zug durch die neuen Admiralty Arches in London, ungelaufen und unbeschrieben</t>
  </si>
  <si>
    <t>Gesuchter historischer Ereignis-Beleg zur britischen Königskrönung von 1911</t>
  </si>
  <si>
    <t>AK-INT-2026-0051</t>
  </si>
  <si>
    <t>London – Queen Victoria Memorial, London (Rotary Photographic Series, No. 10500-10)</t>
  </si>
  <si>
    <t>Rotary Photographic Series (No. 10500-10) / Queen Victoria Memorial, London</t>
  </si>
  <si>
    <t>London / Queen Victoria Memorial</t>
  </si>
  <si>
    <t>Historische Schwarz-Weiß-Ansichtskarte des Queen Victoria Memorial in London (Designed and executed by Thomas Brock, R.A., D.C.L., Sculptor) mit handschriftlichem zeitgenössischem Text zur Enthüllung (May 23rd, 1911) auf der Rückseite, ungelaufen</t>
  </si>
  <si>
    <t>Historisch bedeutender Ausstellungs- und Denkmalsbeleg mit direktem Bezug zur Enthüllung 1911</t>
  </si>
  <si>
    <t>AK-INT-2026-0052</t>
  </si>
  <si>
    <t>Hampton Court – The Clock Court, Hampton Court Palace (12581)</t>
  </si>
  <si>
    <t>[Unbekannter Verlag] (Nr. 12581) / The Clock Court, Hampton Court Palace[cite: 19, 20]</t>
  </si>
  <si>
    <t>Großbritannien / England[cite: 19, 20]</t>
  </si>
  <si>
    <t>Hampton Court / The Clock Court[cite: 19, 20]</t>
  </si>
  <si>
    <t>Ungelaufen / Gut (Z2)[cite: 19, 20]</t>
  </si>
  <si>
    <t>Historische Schwarz-Weiß-Ansichtskarte vom Clock Court im Hampton Court Palace, ungelaufen und unbeschrieben[cite: 19, 20]</t>
  </si>
  <si>
    <t>Im Bestand[cite: 19, 20]</t>
  </si>
  <si>
    <t>Schöner britischer Schloss- und Architekturbeleg aus Hampton Court[cite: 19, 20]</t>
  </si>
  <si>
    <t>Guter Zustand, Ecken leicht bestoßen, ungelaufen[cite: 19, 20]</t>
  </si>
  <si>
    <t>AK-INT-2026-0053</t>
  </si>
  <si>
    <t>Ventnor – Rough Sea at Ventnor, Isle of Wight (Ventnor Art Series, No. 434)</t>
  </si>
  <si>
    <t>Ventnor Art Series (No. 434) / Rough Sea at Ventnor, Isle of Wight[cite: 19, 20]</t>
  </si>
  <si>
    <t>Ventnor / Isle of Wight / Rough Sea[cite: 19, 20]</t>
  </si>
  <si>
    <t>Dramatische historische Ansichtskarte von stürmischer See am Pier in Ventnor auf der Isle of Wight, ungelaufen und unbeschrieben[cite: 19, 20]</t>
  </si>
  <si>
    <t>Reizvoller und gesuchter Motivbeleg mit stürmischer Küstenszene von der Isle of Wight[cite: 19, 20]</t>
  </si>
  <si>
    <t>AK-INT-2026-0054</t>
  </si>
  <si>
    <t>Bonchurch – Bonchurch Pond, I.O.W. (Valentine's Series)</t>
  </si>
  <si>
    <t>Valentine's Series / Bonchurch Pond, I.O.W.[cite: 19, 20]</t>
  </si>
  <si>
    <t>Bonchurch / Isle of Wight / Bonchurch Pond[cite: 19, 20]</t>
  </si>
  <si>
    <t>Historische Ansichtskarte vom idyllischen Bonchurch Pond auf der Isle of Wight mit Straße und Personenstaffage, ungelaufen und unbeschrieben[cite: 19, 20]</t>
  </si>
  <si>
    <t>Klassischer britischer Ortsansichts- und Naturbeleg von der Isle of Wight[cite: 19, 20]</t>
  </si>
  <si>
    <t>AK-INT-2026-0055</t>
  </si>
  <si>
    <t>Madrid – Gran Vía y Edificio Grassy, Madrid (Madrid)</t>
  </si>
  <si>
    <t>[Unbekannter Verlag] / Gran Vía y Edificio Grassy, Madrid</t>
  </si>
  <si>
    <t>Spanien</t>
  </si>
  <si>
    <t>Madrid / Gran Vía</t>
  </si>
  <si>
    <t>Historische Schwarz-Weiß-Ansichtskarte der belebten Gran Vía mit Blick auf das Edificio Grassy in Madrid, postalisch gelaufen mit britischem Poststempel STOCKWELL (DEC 23 08) an Herrn Otto Raithel c/o Mrs. Millar (21 Crescent Grove, Clapham Common, London S.W.), beschriftet</t>
  </si>
  <si>
    <t>Interessanter internationaler Beleg (Madrid-Motiv mit Londoner Aufgabe-/Transitstempel)</t>
  </si>
  <si>
    <t>AK-INT-2026-0056</t>
  </si>
  <si>
    <t>Bilbao – Bilbao, 49. Plaza de D. Federico Moyúa (Ed. Arribas, Bilbao, Nr. 49)</t>
  </si>
  <si>
    <t>Ed. Arribas, Bilbao (No. 49) / Plaza de D. Federico Moyúa, Bilbao</t>
  </si>
  <si>
    <t>Bilbao / Plaza de D. Federico Moyúa</t>
  </si>
  <si>
    <t>Historische Schwarz-Weiß-Ansichtskarte der Plaza de D. Federico Moyúa in Bilbao, postalisch gelaufen mit britischer 1-Penny-Briefmarke und Maschinenstempel LONDON E.C. (DEC 12 12) an Otto Raithel Esq. c/o S. Kolony (231 Lenox Ave., New York City, U.S. of A.), langer privater Text</t>
  </si>
  <si>
    <t>Sammelwürdiger transatlantischer Postbeleg von Spanien über London nach New York</t>
  </si>
  <si>
    <t>AK-INT-2026-0057</t>
  </si>
  <si>
    <t>Spanien – Fischer auf dem Fluss / Reisfelder (Spanien)</t>
  </si>
  <si>
    <t>[Unbekannter Verlag] / Fischer beim Einholen des Netzes / Reisfelder in Spanien</t>
  </si>
  <si>
    <t>Spanien / Küsten- und Flusslandschaft</t>
  </si>
  <si>
    <t>Historische Schwarz-Weiß-Ansichtskarte mit einem Fischer in einem Kahn beim Ausbringen/Einholen des Netzes in einer Fluss- oder Reisfelderlandschaft, postalisch gelaufen mit britischen Briefmarken und Poststempel (LONDON E.C. / FFB 21 2C), adressiert an Mr. Otto Raithel c/o Mrs. Melony (231 Lenox Ave. / 925 Jackson Ave., New York, U.S. of A.), ausführlicher Text</t>
  </si>
  <si>
    <t>Reizvoller ethnografischer und transatlantischer Briefbeleg von Spanien nach New York</t>
  </si>
  <si>
    <t>Crailsheim – Lange Straße mit Rathausportal (860/15)</t>
  </si>
  <si>
    <t>[Unbekannter Verlag] (Nr. 860/15) / Lange Straße mit Rathausportal, Crailsheim</t>
  </si>
  <si>
    <t>Deutschland / Baden-Württemberg</t>
  </si>
  <si>
    <t>Crailsheim / Lange Straße / Rathausportal</t>
  </si>
  <si>
    <t>Historische farbige Ansichtskarte der Langen Straße mit dem Rathausportal und der Schotten-Apotheke in Crailsheim, ungelaufen und unbeschrieben</t>
  </si>
  <si>
    <t>Schöner deutscher Orts- und Architekturbeleg aus Crailsheim</t>
  </si>
  <si>
    <t>AK-INT-2026-0059</t>
  </si>
  <si>
    <t>Windsor – Henry VIII. Gateway, Windsor Castle (Valentine's Series)</t>
  </si>
  <si>
    <t>Valentine's Series / Henry VIII. Gateway, Windsor Castle</t>
  </si>
  <si>
    <t>Windsor / Windsor Castle / Henry VIII. Gateway</t>
  </si>
  <si>
    <t>Historische farbige Ansichtskarte vom Henry VIII. Gateway am Windsor Castle, ungelaufen und unbeschrieben</t>
  </si>
  <si>
    <t>Beliebter britischer Schloss- und Torbau-Beleg von Windsor Castle</t>
  </si>
  <si>
    <t>AK-INT-2026-0060</t>
  </si>
  <si>
    <t>Hampton Court – Hampton Court Palace from the Thames (12580)</t>
  </si>
  <si>
    <t>[Unbekannter Verlag] (Nr. 12580) / Hampton Court Palace from the Thames</t>
  </si>
  <si>
    <t>Hampton Court / Hampton Court Palace / Thames</t>
  </si>
  <si>
    <t>Historische Schwarz-Weiß-Ansichtskarte von Hampton Court Palace von der Themse aus gesehen mit Booten am Ufer, ungelaufen und unbeschrieben</t>
  </si>
  <si>
    <t>Klassischer britischer Schloss- und Flussansichts-Beleg von Hampton Court</t>
  </si>
  <si>
    <t>AK-INT-2026-0061</t>
  </si>
  <si>
    <t>Hampton Court – The Three Grand Avenues, Hampton Court Palace (101)</t>
  </si>
  <si>
    <t>[Unbekannter Verlag] (Nr. 101) / The Three Grand Avenues, Hampton Court Palace</t>
  </si>
  <si>
    <t>Hampton Court / Hampton Court Palace / The Three Grand Avenues</t>
  </si>
  <si>
    <t>Historische Schwarz-Weiß-Ansichtskarte mit Blick über die Balustrade auf die drei großen Alleen im Hampton Court Palace, ungelaufen und unbeschrieben</t>
  </si>
  <si>
    <t>Schöner britischer Schloss- und Alleen-Beleg aus Hampton Court</t>
  </si>
  <si>
    <t>AK-INT-2026-0062</t>
  </si>
  <si>
    <t>Ventnor – Ventnor from West (Valentine's Series)</t>
  </si>
  <si>
    <t>Valentine's Series / Ventnor from West</t>
  </si>
  <si>
    <t>Ventnor / Isle of Wight / West-Ansicht</t>
  </si>
  <si>
    <t>Historische Schwarz-Weiß-Ansichtskarte mit Blick auf Ventnor von Westen auf der Isle of Wight, ungelaufen und unbeschrieben</t>
  </si>
  <si>
    <t>AK-INT-2026-0063</t>
  </si>
  <si>
    <t>Ventnor – Ventnor, Isle of Wight, at Low Water (Echte Photographie / Verlag Geyer &amp; Co., Breslau 16)</t>
  </si>
  <si>
    <t>Verlag Geyer &amp; Co., Breslau 16 (Echte Photographie) / Ventnor, Isle of Wight, at Low Water</t>
  </si>
  <si>
    <t>Ventnor / Isle of Wight / Low Water / Strand</t>
  </si>
  <si>
    <t>Historische echte Photographie vom Strand in Ventnor (Isle of Wight) bei Ebbe mit Menschengruppen, Badekarren und Boot am Ufer, ungelaufen und unbeschrieben</t>
  </si>
  <si>
    <t>Gesuchter fotografischer Küsten- und Strandbeleg von der Isle of Wight mit deutschem Verlagbezug</t>
  </si>
  <si>
    <t>AK-INT-2026-0064</t>
  </si>
  <si>
    <t>USA / Colorado – Balanced Rock, Garden of the Gods, Colorado Springs, Colo. (15683)</t>
  </si>
  <si>
    <t>[Unbekannter Verlag] (No. 15683) / Balanced Rock, Garden of the Gods, Colorado Springs, Colo.</t>
  </si>
  <si>
    <t>USA / Colorado</t>
  </si>
  <si>
    <t>Colorado Springs / Garden of the Gods / Balanced Rock</t>
  </si>
  <si>
    <t>Historische farbige Phostint-Ansichtskarte des berühmten Balanced Rock im Garden of the Gods in Colorado Springs, ungelaufen und unbeschrieben</t>
  </si>
  <si>
    <t>Attraktiver und gesuchter US-Geologie- und Landschaftsbeleg aus Colorado</t>
  </si>
  <si>
    <t>AK-DE-2026-0002</t>
  </si>
  <si>
    <t>Österreich / Salzburg – Salzburg vom Imberg (Osy-Verlag, Salzburg, Getreidegasse 22, Nr. 38 b / Echte Photographie)</t>
  </si>
  <si>
    <t>Osy-Verlag, Salzburg (Nr. 38 b) / Salzburg vom Imberg (Echte Photographie)</t>
  </si>
  <si>
    <t>Österreich / Salzburg</t>
  </si>
  <si>
    <t>Salzburg / Blick vom Imberg</t>
  </si>
  <si>
    <t>Historische echte Photographie mit Panoramablick auf Salzburg vom Imberg aus mit Festung Hohensalzburg und Fluss, ungelaufen und unbeschrieben</t>
  </si>
  <si>
    <t>Hochwertiger österreichischer Foto-Stadtansichtsbeleg von Salzburg</t>
  </si>
  <si>
    <t>AK-INT-2026-0065</t>
  </si>
  <si>
    <t>Argentinien – Camp Meal, Argentina (Mitchell's, 380 Cangallo 578, Buenos Aires, Foto H. G. Olds)</t>
  </si>
  <si>
    <t>Mitchell's, Buenos Aires (Foto H. G. Olds) / Camp Meal, Argentina</t>
  </si>
  <si>
    <t>Argentinien</t>
  </si>
  <si>
    <t>Argentinien / Pampas / Camp Meal</t>
  </si>
  <si>
    <t>Historische Ansichtskarte einer Feldmahlzeit / Lagerleben in der argentinischen Pampa (Foto von H. G. Olds), postalisch gelaufen mit handschriftlichem Text ab Bs. Aires (29/XII/53) an Herrn Ron Weiss mit persönlichen Neuigkeiten und Erwähnung einer Lambretta-Tour</t>
  </si>
  <si>
    <t>Sehr seltener und ausdrucksstarker historischer Übersee-Beleg aus Argentinien mit privatem Langtext</t>
  </si>
  <si>
    <t>AK-INT-2026-0066</t>
  </si>
  <si>
    <t>Ventnor – Rough Sea, Ventnor (Valentine's Series)</t>
  </si>
  <si>
    <t>Valentine's Series / Rough Sea, Ventnor</t>
  </si>
  <si>
    <t>Ventnor / Isle of Wight / Rough Sea</t>
  </si>
  <si>
    <t>Dramatische historische Ansichtskarte mit stürmischer See am Pier in Ventnor auf der Isle of Wight, ungelaufen und unbeschrieben</t>
  </si>
  <si>
    <t>Reizvoller britischer Küsten- und Motivbeleg mit stürmischer See von der Isle of Wight</t>
  </si>
  <si>
    <t>AK-DE-2026-0003</t>
  </si>
  <si>
    <t>Österreich / Marienbad – Marienbad. Blick vom Aussichtsturm (Brück &amp; Sohn, Meissen, Nr. 1352 / Handkolorierte Künstlerkarte)</t>
  </si>
  <si>
    <t>Brück &amp; Sohn, Meissen (Nr. 1352) / Marienbad. Blick vom Aussichtsturm (Handkolorierte Künstlerkarte)</t>
  </si>
  <si>
    <t>Österreich-Ungarn / Böhmen</t>
  </si>
  <si>
    <t>Marienbad / Blick vom Aussichtsturm</t>
  </si>
  <si>
    <t>Historische handkolorierte Künstler-Ansichtskarte mit Blick vom Aussichtsturm auf Marienbad, postalisch gelaufen mit österreichischer 5-Heller-Briefmarke, Poststempel MARIENBAD (13 ... 04) und Ankunftsstempel HOF (B.) (14. SEP 04) an Otto, Anna &amp; Karl Raithel in Hof a.d. Saale (Wörthstrasse), vorderseitig beschriftet</t>
  </si>
  <si>
    <t>Hervorragender und gesuchter böhmischer Kurort-Beleg (Brück &amp; Sohn) mit klarem Lauf nach Hof</t>
  </si>
  <si>
    <t>AK-INT-2026-0067</t>
  </si>
  <si>
    <t>Hampton Court – First Green Court, Hampton Court Palace (Gale &amp; Polden, Ltd., London, Nr. 12582)</t>
  </si>
  <si>
    <t>Gale &amp; Polden, Ltd., London (Nr. 12582) / First Green Court, Hampton Court Palace</t>
  </si>
  <si>
    <t>Hampton Court / Hampton Court Palace / First Green Court</t>
  </si>
  <si>
    <t>Historische Schwarz-Weiß-Ansichtskarte vom First Green Court im Hampton Court Palace, ungelaufen und unbeschrieben</t>
  </si>
  <si>
    <t>Klassischer britischer Schloss- und Architekturbeleg aus Hampton Court</t>
  </si>
  <si>
    <t>Spalte1</t>
  </si>
  <si>
    <t>Spalte2</t>
  </si>
  <si>
    <t>Spalte3</t>
  </si>
  <si>
    <t>Spalte4</t>
  </si>
  <si>
    <t>Spalte5</t>
  </si>
  <si>
    <t>Spalte6</t>
  </si>
  <si>
    <t>Spalte7</t>
  </si>
  <si>
    <t>Spalte8</t>
  </si>
  <si>
    <t>Spalte9</t>
  </si>
  <si>
    <t>Spalte10</t>
  </si>
  <si>
    <t>Spalte11</t>
  </si>
  <si>
    <t>Spalte12</t>
  </si>
  <si>
    <t>Spalte13</t>
  </si>
  <si>
    <t>Spalte14</t>
  </si>
  <si>
    <t>Spalte15</t>
  </si>
  <si>
    <t>Spalte16</t>
  </si>
  <si>
    <t>Spalte17</t>
  </si>
  <si>
    <t>Spalte18</t>
  </si>
  <si>
    <t>Spalte19</t>
  </si>
  <si>
    <t>Spalte20</t>
  </si>
  <si>
    <t>Spalte21</t>
  </si>
  <si>
    <t>Spalte22</t>
  </si>
  <si>
    <t>Spalte23</t>
  </si>
  <si>
    <t>Spalte24</t>
  </si>
  <si>
    <t>Spalte25</t>
  </si>
  <si>
    <t>Spalte26</t>
  </si>
  <si>
    <t>Spalte27</t>
  </si>
  <si>
    <t>Spalte28</t>
  </si>
  <si>
    <t>Spalte29</t>
  </si>
  <si>
    <t>Spalte30</t>
  </si>
  <si>
    <t>Spalte31</t>
  </si>
  <si>
    <t>Spalte32</t>
  </si>
  <si>
    <t>Spalte33</t>
  </si>
  <si>
    <t>Spalte34</t>
  </si>
  <si>
    <t>Spalte35</t>
  </si>
  <si>
    <t>Spalte36</t>
  </si>
  <si>
    <t>Spalte37</t>
  </si>
  <si>
    <t>Spalte38</t>
  </si>
  <si>
    <t>Spalte39</t>
  </si>
  <si>
    <t>Spalte40</t>
  </si>
  <si>
    <t>Spalte41</t>
  </si>
  <si>
    <t>Spalte42</t>
  </si>
  <si>
    <t>Spalte43</t>
  </si>
  <si>
    <t>Spalte44</t>
  </si>
  <si>
    <t>Spalte45</t>
  </si>
  <si>
    <t>Spalte46</t>
  </si>
  <si>
    <t>Spalte47</t>
  </si>
  <si>
    <t>Spalte48</t>
  </si>
  <si>
    <t>Spalte49</t>
  </si>
  <si>
    <t>Spalte50</t>
  </si>
  <si>
    <t>Spalte51</t>
  </si>
  <si>
    <t>Spalte52</t>
  </si>
  <si>
    <t>Spalte53</t>
  </si>
  <si>
    <t>Spalte54</t>
  </si>
  <si>
    <t>Spalte55</t>
  </si>
  <si>
    <t>Spalte56</t>
  </si>
  <si>
    <t>Spalte57</t>
  </si>
  <si>
    <t>Spalte58</t>
  </si>
  <si>
    <t>Spalte59</t>
  </si>
  <si>
    <t>Spalte60</t>
  </si>
  <si>
    <t>Spalte61</t>
  </si>
  <si>
    <t>Spalte62</t>
  </si>
  <si>
    <t>Spalte63</t>
  </si>
  <si>
    <t>Spalte64</t>
  </si>
  <si>
    <t>Spalte65</t>
  </si>
  <si>
    <t>Spalte66</t>
  </si>
  <si>
    <t>Spalte67</t>
  </si>
  <si>
    <t>Spalte68</t>
  </si>
  <si>
    <t>Spalte69</t>
  </si>
  <si>
    <t>Spalte70</t>
  </si>
  <si>
    <t>Spalte71</t>
  </si>
  <si>
    <t>Spalte72</t>
  </si>
  <si>
    <t>Spalte73</t>
  </si>
  <si>
    <t>Spalte74</t>
  </si>
  <si>
    <t>Spalte75</t>
  </si>
  <si>
    <t>Spalte76</t>
  </si>
  <si>
    <t>Spalte77</t>
  </si>
  <si>
    <t>Spalte78</t>
  </si>
  <si>
    <t>Spalte79</t>
  </si>
  <si>
    <t>Spalte80</t>
  </si>
  <si>
    <t>Spalte81</t>
  </si>
  <si>
    <t>Spalte82</t>
  </si>
  <si>
    <t>Spalte83</t>
  </si>
  <si>
    <t>Spalte84</t>
  </si>
  <si>
    <t>Spalte85</t>
  </si>
  <si>
    <t>Spalte86</t>
  </si>
  <si>
    <t>Spalte87</t>
  </si>
  <si>
    <t>Spalte88</t>
  </si>
  <si>
    <t>Spalte89</t>
  </si>
  <si>
    <t>Spalte90</t>
  </si>
  <si>
    <t>Spalte91</t>
  </si>
  <si>
    <t>Spalte92</t>
  </si>
  <si>
    <t>Spalte93</t>
  </si>
  <si>
    <t>Spalte94</t>
  </si>
  <si>
    <t>Spalte95</t>
  </si>
  <si>
    <t>Spalte96</t>
  </si>
  <si>
    <t>Spalte97</t>
  </si>
  <si>
    <t>Spalte98</t>
  </si>
  <si>
    <t>Spalte99</t>
  </si>
  <si>
    <t>Spalte100</t>
  </si>
  <si>
    <t>Spalte101</t>
  </si>
  <si>
    <t>Spalte102</t>
  </si>
  <si>
    <t>Spalte103</t>
  </si>
  <si>
    <t>Spalte104</t>
  </si>
  <si>
    <t>Spalte105</t>
  </si>
  <si>
    <t>Spalte106</t>
  </si>
  <si>
    <t>Spalte107</t>
  </si>
  <si>
    <t>Spalte108</t>
  </si>
  <si>
    <t>Spalte109</t>
  </si>
  <si>
    <t>Spalte110</t>
  </si>
  <si>
    <t>Spalte111</t>
  </si>
  <si>
    <t>Spalte112</t>
  </si>
  <si>
    <t>Spalte113</t>
  </si>
  <si>
    <t>Spalte114</t>
  </si>
  <si>
    <t>Spalte115</t>
  </si>
  <si>
    <t>Spalte116</t>
  </si>
  <si>
    <t>Spalte117</t>
  </si>
  <si>
    <t>Spalte118</t>
  </si>
  <si>
    <t>Spalte119</t>
  </si>
  <si>
    <t>Spalte120</t>
  </si>
  <si>
    <t>Spalte121</t>
  </si>
  <si>
    <t>Spalte122</t>
  </si>
  <si>
    <t>Spalte123</t>
  </si>
  <si>
    <t>Spalte124</t>
  </si>
  <si>
    <t>Spalte125</t>
  </si>
  <si>
    <t>Spalte126</t>
  </si>
  <si>
    <t>Spalte127</t>
  </si>
  <si>
    <t>Spalte128</t>
  </si>
  <si>
    <t>Spalte129</t>
  </si>
  <si>
    <t>Spalte130</t>
  </si>
  <si>
    <t>Spalte131</t>
  </si>
  <si>
    <t>Spalte132</t>
  </si>
  <si>
    <t>Spalte133</t>
  </si>
  <si>
    <t>Spalte134</t>
  </si>
  <si>
    <t>Spalte135</t>
  </si>
  <si>
    <t>Spalte136</t>
  </si>
  <si>
    <t>Spalte137</t>
  </si>
  <si>
    <t>Spalte138</t>
  </si>
  <si>
    <t>Spalte139</t>
  </si>
  <si>
    <t>Spalte140</t>
  </si>
  <si>
    <t>Spalte141</t>
  </si>
  <si>
    <t>Spalte142</t>
  </si>
  <si>
    <t>Spalte143</t>
  </si>
  <si>
    <t>Spalte144</t>
  </si>
  <si>
    <t>Spalte145</t>
  </si>
  <si>
    <t>Spalte146</t>
  </si>
  <si>
    <t>Spalte147</t>
  </si>
  <si>
    <t>Spalte148</t>
  </si>
  <si>
    <t>Spalte149</t>
  </si>
  <si>
    <t>Spalte150</t>
  </si>
  <si>
    <t>Spalte151</t>
  </si>
  <si>
    <t>Spalte152</t>
  </si>
  <si>
    <t>Spalte153</t>
  </si>
  <si>
    <t>Spalte154</t>
  </si>
  <si>
    <t>Spalte155</t>
  </si>
  <si>
    <t>Spalte156</t>
  </si>
  <si>
    <t>Spalte157</t>
  </si>
  <si>
    <t>Spalte158</t>
  </si>
  <si>
    <t>Spalte159</t>
  </si>
  <si>
    <t>Spalte160</t>
  </si>
  <si>
    <t>Spalte161</t>
  </si>
  <si>
    <t>Spalte162</t>
  </si>
  <si>
    <t>Spalte163</t>
  </si>
  <si>
    <t>Spalte164</t>
  </si>
  <si>
    <t>Spalte165</t>
  </si>
  <si>
    <t>Spalte166</t>
  </si>
  <si>
    <t>Spalte167</t>
  </si>
  <si>
    <t>Spalte168</t>
  </si>
  <si>
    <t>Spalte169</t>
  </si>
  <si>
    <t>Spalte170</t>
  </si>
  <si>
    <t>Spalte171</t>
  </si>
  <si>
    <t>Spalte172</t>
  </si>
  <si>
    <t>Spalte173</t>
  </si>
  <si>
    <t>Spalte174</t>
  </si>
  <si>
    <t>Spalte175</t>
  </si>
  <si>
    <t>Spalte176</t>
  </si>
  <si>
    <t>Spalte177</t>
  </si>
  <si>
    <t>Spalte178</t>
  </si>
  <si>
    <t>Spalte179</t>
  </si>
  <si>
    <t>Spalte180</t>
  </si>
  <si>
    <t>Spalte181</t>
  </si>
  <si>
    <t>Spalte182</t>
  </si>
  <si>
    <t>Spalte183</t>
  </si>
  <si>
    <t>Spalte184</t>
  </si>
  <si>
    <t>Spalte185</t>
  </si>
  <si>
    <t>Spalte186</t>
  </si>
  <si>
    <t>Spalte187</t>
  </si>
  <si>
    <t>Spalte188</t>
  </si>
  <si>
    <t>Spalte189</t>
  </si>
  <si>
    <t>Spalte190</t>
  </si>
  <si>
    <t>Spalte191</t>
  </si>
  <si>
    <t>Spalte192</t>
  </si>
  <si>
    <t>Spalte193</t>
  </si>
  <si>
    <t>Spalte194</t>
  </si>
  <si>
    <t>Spalte195</t>
  </si>
  <si>
    <t>Spalte196</t>
  </si>
  <si>
    <t>Spalte197</t>
  </si>
  <si>
    <t>Spalte198</t>
  </si>
  <si>
    <t>Spalte199</t>
  </si>
  <si>
    <t>Spalte200</t>
  </si>
  <si>
    <t>Spalte201</t>
  </si>
  <si>
    <t>Spalte202</t>
  </si>
  <si>
    <t>Spalte203</t>
  </si>
  <si>
    <t>Spalte204</t>
  </si>
  <si>
    <t>Spalte205</t>
  </si>
  <si>
    <t>Spalte206</t>
  </si>
  <si>
    <t>Spalte207</t>
  </si>
  <si>
    <t>Spalte208</t>
  </si>
  <si>
    <t>Spalte209</t>
  </si>
  <si>
    <t>Spalte210</t>
  </si>
  <si>
    <t>Spalte211</t>
  </si>
  <si>
    <t>Spalte212</t>
  </si>
  <si>
    <t>Spalte213</t>
  </si>
  <si>
    <t>Spalte214</t>
  </si>
  <si>
    <t>Spalte215</t>
  </si>
  <si>
    <t>Spalte216</t>
  </si>
  <si>
    <t>Spalte217</t>
  </si>
  <si>
    <t>Spalte218</t>
  </si>
  <si>
    <t>Spalte219</t>
  </si>
  <si>
    <t>Spalte220</t>
  </si>
  <si>
    <t>Spalte221</t>
  </si>
  <si>
    <t>Spalte222</t>
  </si>
  <si>
    <t>Spalte223</t>
  </si>
  <si>
    <t>Spalte224</t>
  </si>
  <si>
    <t>Spalte225</t>
  </si>
  <si>
    <t>Spalte226</t>
  </si>
  <si>
    <t>Spalte227</t>
  </si>
  <si>
    <t>Spalte228</t>
  </si>
  <si>
    <t>Spalte229</t>
  </si>
  <si>
    <t>Spalte230</t>
  </si>
  <si>
    <t>Spalte231</t>
  </si>
  <si>
    <t>Spalte232</t>
  </si>
  <si>
    <t>Spalte233</t>
  </si>
  <si>
    <t>Spalte234</t>
  </si>
  <si>
    <t>Spalte235</t>
  </si>
  <si>
    <t>Spalte236</t>
  </si>
  <si>
    <t>Spalte237</t>
  </si>
  <si>
    <t>Spalte238</t>
  </si>
  <si>
    <t>Spalte239</t>
  </si>
  <si>
    <t>Spalte240</t>
  </si>
  <si>
    <t>Spalte241</t>
  </si>
  <si>
    <t>Spalte242</t>
  </si>
  <si>
    <t>Spalte243</t>
  </si>
  <si>
    <t>Spalte244</t>
  </si>
  <si>
    <t>Spalte245</t>
  </si>
  <si>
    <t>Spalte246</t>
  </si>
  <si>
    <t>Spalte247</t>
  </si>
  <si>
    <t>Spalte248</t>
  </si>
  <si>
    <t>Spalte249</t>
  </si>
  <si>
    <t>Spalte250</t>
  </si>
  <si>
    <t>Spalte251</t>
  </si>
  <si>
    <t>Spalte252</t>
  </si>
  <si>
    <t>Spalte253</t>
  </si>
  <si>
    <t>Spalte254</t>
  </si>
  <si>
    <t>Spalte255</t>
  </si>
  <si>
    <t>Spalte256</t>
  </si>
  <si>
    <t>Spalte257</t>
  </si>
  <si>
    <t>Spalte258</t>
  </si>
  <si>
    <t>Spalte259</t>
  </si>
  <si>
    <t>Spalte260</t>
  </si>
  <si>
    <t>Spalte261</t>
  </si>
  <si>
    <t>Spalte262</t>
  </si>
  <si>
    <t>Spalte263</t>
  </si>
  <si>
    <t>Spalte264</t>
  </si>
  <si>
    <t>Spalte265</t>
  </si>
  <si>
    <t>Spalte266</t>
  </si>
  <si>
    <t>Spalte267</t>
  </si>
  <si>
    <t>Spalte268</t>
  </si>
  <si>
    <t>Spalte269</t>
  </si>
  <si>
    <t>Spalte270</t>
  </si>
  <si>
    <t>Spalte271</t>
  </si>
  <si>
    <t>Spalte272</t>
  </si>
  <si>
    <t>Spalte273</t>
  </si>
  <si>
    <t>Spalte274</t>
  </si>
  <si>
    <t>Spalte275</t>
  </si>
  <si>
    <t>Spalte276</t>
  </si>
  <si>
    <t>Spalte277</t>
  </si>
  <si>
    <t>Spalte278</t>
  </si>
  <si>
    <t>Spalte279</t>
  </si>
  <si>
    <t>Spalte280</t>
  </si>
  <si>
    <t>Spalte281</t>
  </si>
  <si>
    <t>Spalte282</t>
  </si>
  <si>
    <t>Spalte283</t>
  </si>
  <si>
    <t>Spalte284</t>
  </si>
  <si>
    <t>Spalte285</t>
  </si>
  <si>
    <t>Spalte286</t>
  </si>
  <si>
    <t>Spalte287</t>
  </si>
  <si>
    <t>Spalte288</t>
  </si>
  <si>
    <t>Spalte289</t>
  </si>
  <si>
    <t>Spalte290</t>
  </si>
  <si>
    <t>Spalte291</t>
  </si>
  <si>
    <t>Spalte292</t>
  </si>
  <si>
    <t>Spalte293</t>
  </si>
  <si>
    <t>Spalte294</t>
  </si>
  <si>
    <t>Spalte295</t>
  </si>
  <si>
    <t>Spalte296</t>
  </si>
  <si>
    <t>Spalte297</t>
  </si>
  <si>
    <t>Spalte298</t>
  </si>
  <si>
    <t>Spalte299</t>
  </si>
  <si>
    <t>Spalte300</t>
  </si>
  <si>
    <t>Spalte301</t>
  </si>
  <si>
    <t>Spalte302</t>
  </si>
  <si>
    <t>Spalte303</t>
  </si>
  <si>
    <t>Spalte304</t>
  </si>
  <si>
    <t>Spalte305</t>
  </si>
  <si>
    <t>Spalte306</t>
  </si>
  <si>
    <t>Spalte307</t>
  </si>
  <si>
    <t>Spalte308</t>
  </si>
  <si>
    <t>Spalte309</t>
  </si>
  <si>
    <t>Spalte310</t>
  </si>
  <si>
    <t>Spalte311</t>
  </si>
  <si>
    <t>Spalte312</t>
  </si>
  <si>
    <t>Spalte313</t>
  </si>
  <si>
    <t>Spalte314</t>
  </si>
  <si>
    <t>Spalte315</t>
  </si>
  <si>
    <t>Spalte316</t>
  </si>
  <si>
    <t>Spalte317</t>
  </si>
  <si>
    <t>Spalte318</t>
  </si>
  <si>
    <t>Spalte319</t>
  </si>
  <si>
    <t>Spalte320</t>
  </si>
  <si>
    <t>Spalte321</t>
  </si>
  <si>
    <t>Spalte322</t>
  </si>
  <si>
    <t>Spalte323</t>
  </si>
  <si>
    <t>Spalte324</t>
  </si>
  <si>
    <t>Spalte325</t>
  </si>
  <si>
    <t>Spalte326</t>
  </si>
  <si>
    <t>Spalte327</t>
  </si>
  <si>
    <t>Spalte328</t>
  </si>
  <si>
    <t>Spalte329</t>
  </si>
  <si>
    <t>Spalte330</t>
  </si>
  <si>
    <t>Spalte331</t>
  </si>
  <si>
    <t>Spalte332</t>
  </si>
  <si>
    <t>Spalte333</t>
  </si>
  <si>
    <t>Spalte334</t>
  </si>
  <si>
    <t>Spalte335</t>
  </si>
  <si>
    <t>Spalte336</t>
  </si>
  <si>
    <t>Spalte337</t>
  </si>
  <si>
    <t>Spalte338</t>
  </si>
  <si>
    <t>Spalte339</t>
  </si>
  <si>
    <t>Spalte340</t>
  </si>
  <si>
    <t>Spalte341</t>
  </si>
  <si>
    <t>Spalte342</t>
  </si>
  <si>
    <t>Spalte343</t>
  </si>
  <si>
    <t>Spalte344</t>
  </si>
  <si>
    <t>Spalte345</t>
  </si>
  <si>
    <t>Spalte346</t>
  </si>
  <si>
    <t>Spalte347</t>
  </si>
  <si>
    <t>Spalte348</t>
  </si>
  <si>
    <t>Spalte349</t>
  </si>
  <si>
    <t>Spalte350</t>
  </si>
  <si>
    <t>Spalte351</t>
  </si>
  <si>
    <t>Spalte352</t>
  </si>
  <si>
    <t>Spalte353</t>
  </si>
  <si>
    <t>Spalte354</t>
  </si>
  <si>
    <t>Spalte355</t>
  </si>
  <si>
    <t>Spalte356</t>
  </si>
  <si>
    <t>Spalte357</t>
  </si>
  <si>
    <t>Spalte358</t>
  </si>
  <si>
    <t>Spalte359</t>
  </si>
  <si>
    <t>Spalte360</t>
  </si>
  <si>
    <t>Spalte361</t>
  </si>
  <si>
    <t>Spalte362</t>
  </si>
  <si>
    <t>Spalte363</t>
  </si>
  <si>
    <t>Spalte364</t>
  </si>
  <si>
    <t>Spalte365</t>
  </si>
  <si>
    <t>Spalte366</t>
  </si>
  <si>
    <t>Spalte367</t>
  </si>
  <si>
    <t>Spalte368</t>
  </si>
  <si>
    <t>Spalte369</t>
  </si>
  <si>
    <t>Spalte370</t>
  </si>
  <si>
    <t>Spalte371</t>
  </si>
  <si>
    <t>Spalte372</t>
  </si>
  <si>
    <t>Spalte373</t>
  </si>
  <si>
    <t>Spalte374</t>
  </si>
  <si>
    <t>Spalte375</t>
  </si>
  <si>
    <t>Spalte376</t>
  </si>
  <si>
    <t>Spalte377</t>
  </si>
  <si>
    <t>Spalte378</t>
  </si>
  <si>
    <t>Spalte379</t>
  </si>
  <si>
    <t>Spalte380</t>
  </si>
  <si>
    <t>Spalte381</t>
  </si>
  <si>
    <t>Spalte382</t>
  </si>
  <si>
    <t>Spalte383</t>
  </si>
  <si>
    <t>Spalte384</t>
  </si>
  <si>
    <t>Spalte385</t>
  </si>
  <si>
    <t>Spalte386</t>
  </si>
  <si>
    <t>Spalte387</t>
  </si>
  <si>
    <t>Spalte388</t>
  </si>
  <si>
    <t>Spalte389</t>
  </si>
  <si>
    <t>Spalte390</t>
  </si>
  <si>
    <t>Spalte391</t>
  </si>
  <si>
    <t>Spalte392</t>
  </si>
  <si>
    <t>Spalte393</t>
  </si>
  <si>
    <t>Spalte394</t>
  </si>
  <si>
    <t>Spalte395</t>
  </si>
  <si>
    <t>Spalte396</t>
  </si>
  <si>
    <t>Spalte397</t>
  </si>
  <si>
    <t>Spalte398</t>
  </si>
  <si>
    <t>Spalte399</t>
  </si>
  <si>
    <t>Spalte400</t>
  </si>
  <si>
    <t>Spalte401</t>
  </si>
  <si>
    <t>Spalte402</t>
  </si>
  <si>
    <t>Spalte403</t>
  </si>
  <si>
    <t>Spalte404</t>
  </si>
  <si>
    <t>Spalte405</t>
  </si>
  <si>
    <t>Spalte406</t>
  </si>
  <si>
    <t>Spalte407</t>
  </si>
  <si>
    <t>Spalte408</t>
  </si>
  <si>
    <t>Spalte409</t>
  </si>
  <si>
    <t>Spalte410</t>
  </si>
  <si>
    <t>Spalte411</t>
  </si>
  <si>
    <t>Spalte412</t>
  </si>
  <si>
    <t>Spalte413</t>
  </si>
  <si>
    <t>Spalte414</t>
  </si>
  <si>
    <t>Spalte415</t>
  </si>
  <si>
    <t>Spalte416</t>
  </si>
  <si>
    <t>Spalte417</t>
  </si>
  <si>
    <t>Spalte418</t>
  </si>
  <si>
    <t>Spalte419</t>
  </si>
  <si>
    <t>Spalte420</t>
  </si>
  <si>
    <t>Spalte421</t>
  </si>
  <si>
    <t>Spalte422</t>
  </si>
  <si>
    <t>Spalte423</t>
  </si>
  <si>
    <t>Spalte424</t>
  </si>
  <si>
    <t>Spalte425</t>
  </si>
  <si>
    <t>Spalte426</t>
  </si>
  <si>
    <t>Spalte427</t>
  </si>
  <si>
    <t>Spalte428</t>
  </si>
  <si>
    <t>Spalte429</t>
  </si>
  <si>
    <t>Spalte430</t>
  </si>
  <si>
    <t>Spalte431</t>
  </si>
  <si>
    <t>Spalte432</t>
  </si>
  <si>
    <t>Spalte433</t>
  </si>
  <si>
    <t>Spalte434</t>
  </si>
  <si>
    <t>Spalte435</t>
  </si>
  <si>
    <t>Spalte436</t>
  </si>
  <si>
    <t>Spalte437</t>
  </si>
  <si>
    <t>Spalte438</t>
  </si>
  <si>
    <t>Spalte439</t>
  </si>
  <si>
    <t>Spalte440</t>
  </si>
  <si>
    <t>Spalte441</t>
  </si>
  <si>
    <t>Spalte442</t>
  </si>
  <si>
    <t>Spalte443</t>
  </si>
  <si>
    <t>Spalte444</t>
  </si>
  <si>
    <t>Spalte445</t>
  </si>
  <si>
    <t>Spalte446</t>
  </si>
  <si>
    <t>Spalte447</t>
  </si>
  <si>
    <t>Spalte448</t>
  </si>
  <si>
    <t>Spalte449</t>
  </si>
  <si>
    <t>Spalte450</t>
  </si>
  <si>
    <t>Spalte451</t>
  </si>
  <si>
    <t>Spalte452</t>
  </si>
  <si>
    <t>Spalte453</t>
  </si>
  <si>
    <t>Spalte454</t>
  </si>
  <si>
    <t>Spalte455</t>
  </si>
  <si>
    <t>Spalte456</t>
  </si>
  <si>
    <t>Spalte457</t>
  </si>
  <si>
    <t>Spalte458</t>
  </si>
  <si>
    <t>Spalte459</t>
  </si>
  <si>
    <t>Spalte460</t>
  </si>
  <si>
    <t>Spalte461</t>
  </si>
  <si>
    <t>Spalte462</t>
  </si>
  <si>
    <t>Spalte463</t>
  </si>
  <si>
    <t>Spalte464</t>
  </si>
  <si>
    <t>Spalte465</t>
  </si>
  <si>
    <t>Spalte466</t>
  </si>
  <si>
    <t>Spalte467</t>
  </si>
  <si>
    <t>Spalte468</t>
  </si>
  <si>
    <t>Spalte469</t>
  </si>
  <si>
    <t>Spalte470</t>
  </si>
  <si>
    <t>Spalte471</t>
  </si>
  <si>
    <t>Spalte472</t>
  </si>
  <si>
    <t>Spalte473</t>
  </si>
  <si>
    <t>Spalte474</t>
  </si>
  <si>
    <t>Spalte475</t>
  </si>
  <si>
    <t>Spalte476</t>
  </si>
  <si>
    <t>Spalte477</t>
  </si>
  <si>
    <t>Spalte478</t>
  </si>
  <si>
    <t>Spalte479</t>
  </si>
  <si>
    <t>Spalte480</t>
  </si>
  <si>
    <t>Spalte481</t>
  </si>
  <si>
    <t>Spalte482</t>
  </si>
  <si>
    <t>Spalte483</t>
  </si>
  <si>
    <t>Spalte484</t>
  </si>
  <si>
    <t>Spalte485</t>
  </si>
  <si>
    <t>Spalte486</t>
  </si>
  <si>
    <t>Spalte487</t>
  </si>
  <si>
    <t>Spalte488</t>
  </si>
  <si>
    <t>Spalte489</t>
  </si>
  <si>
    <t>Spalte490</t>
  </si>
  <si>
    <t>Spalte491</t>
  </si>
  <si>
    <t>Spalte492</t>
  </si>
  <si>
    <t>Spalte493</t>
  </si>
  <si>
    <t>Spalte494</t>
  </si>
  <si>
    <t>Spalte495</t>
  </si>
  <si>
    <t>Spalte496</t>
  </si>
  <si>
    <t>Spalte497</t>
  </si>
  <si>
    <t>Spalte498</t>
  </si>
  <si>
    <t>Spalte499</t>
  </si>
  <si>
    <t>Spalte500</t>
  </si>
  <si>
    <t>Spalte501</t>
  </si>
  <si>
    <t>Spalte502</t>
  </si>
  <si>
    <t>Spalte503</t>
  </si>
  <si>
    <t>Spalte504</t>
  </si>
  <si>
    <t>Spalte505</t>
  </si>
  <si>
    <t>Spalte506</t>
  </si>
  <si>
    <t>Spalte507</t>
  </si>
  <si>
    <t>Spalte508</t>
  </si>
  <si>
    <t>Spalte509</t>
  </si>
  <si>
    <t>Spalte510</t>
  </si>
  <si>
    <t>Spalte511</t>
  </si>
  <si>
    <t>Spalte512</t>
  </si>
  <si>
    <t>Spalte513</t>
  </si>
  <si>
    <t>Spalte514</t>
  </si>
  <si>
    <t>Spalte515</t>
  </si>
  <si>
    <t>Spalte516</t>
  </si>
  <si>
    <t>Spalte517</t>
  </si>
  <si>
    <t>Spalte518</t>
  </si>
  <si>
    <t>Spalte519</t>
  </si>
  <si>
    <t>Spalte520</t>
  </si>
  <si>
    <t>Spalte521</t>
  </si>
  <si>
    <t>Spalte522</t>
  </si>
  <si>
    <t>Spalte523</t>
  </si>
  <si>
    <t>Spalte524</t>
  </si>
  <si>
    <t>Spalte525</t>
  </si>
  <si>
    <t>Spalte526</t>
  </si>
  <si>
    <t>Spalte527</t>
  </si>
  <si>
    <t>Spalte528</t>
  </si>
  <si>
    <t>Spalte529</t>
  </si>
  <si>
    <t>Spalte530</t>
  </si>
  <si>
    <t>Spalte531</t>
  </si>
  <si>
    <t>Spalte532</t>
  </si>
  <si>
    <t>Spalte533</t>
  </si>
  <si>
    <t>Spalte534</t>
  </si>
  <si>
    <t>Spalte535</t>
  </si>
  <si>
    <t>Spalte536</t>
  </si>
  <si>
    <t>Spalte537</t>
  </si>
  <si>
    <t>Spalte538</t>
  </si>
  <si>
    <t>Spalte539</t>
  </si>
  <si>
    <t>Spalte540</t>
  </si>
  <si>
    <t>Spalte541</t>
  </si>
  <si>
    <t>Spalte542</t>
  </si>
  <si>
    <t>Spalte543</t>
  </si>
  <si>
    <t>Spalte544</t>
  </si>
  <si>
    <t>Spalte545</t>
  </si>
  <si>
    <t>Spalte546</t>
  </si>
  <si>
    <t>Spalte547</t>
  </si>
  <si>
    <t>Spalte548</t>
  </si>
  <si>
    <t>Spalte549</t>
  </si>
  <si>
    <t>Spalte550</t>
  </si>
  <si>
    <t>Spalte551</t>
  </si>
  <si>
    <t>Spalte552</t>
  </si>
  <si>
    <t>Spalte553</t>
  </si>
  <si>
    <t>Spalte554</t>
  </si>
  <si>
    <t>Spalte555</t>
  </si>
  <si>
    <t>Spalte556</t>
  </si>
  <si>
    <t>Spalte557</t>
  </si>
  <si>
    <t>Spalte558</t>
  </si>
  <si>
    <t>Spalte559</t>
  </si>
  <si>
    <t>Spalte560</t>
  </si>
  <si>
    <t>Spalte561</t>
  </si>
  <si>
    <t>Spalte562</t>
  </si>
  <si>
    <t>Spalte563</t>
  </si>
  <si>
    <t>Spalte564</t>
  </si>
  <si>
    <t>Spalte565</t>
  </si>
  <si>
    <t>Spalte566</t>
  </si>
  <si>
    <t>Spalte567</t>
  </si>
  <si>
    <t>Spalte568</t>
  </si>
  <si>
    <t>Spalte569</t>
  </si>
  <si>
    <t>Spalte570</t>
  </si>
  <si>
    <t>Spalte571</t>
  </si>
  <si>
    <t>Spalte572</t>
  </si>
  <si>
    <t>Spalte573</t>
  </si>
  <si>
    <t>Spalte574</t>
  </si>
  <si>
    <t>Spalte575</t>
  </si>
  <si>
    <t>Spalte576</t>
  </si>
  <si>
    <t>Spalte577</t>
  </si>
  <si>
    <t>Spalte578</t>
  </si>
  <si>
    <t>Spalte579</t>
  </si>
  <si>
    <t>Spalte580</t>
  </si>
  <si>
    <t>Spalte581</t>
  </si>
  <si>
    <t>Spalte582</t>
  </si>
  <si>
    <t>Spalte583</t>
  </si>
  <si>
    <t>Spalte584</t>
  </si>
  <si>
    <t>Spalte585</t>
  </si>
  <si>
    <t>Spalte586</t>
  </si>
  <si>
    <t>Spalte587</t>
  </si>
  <si>
    <t>Spalte588</t>
  </si>
  <si>
    <t>Spalte589</t>
  </si>
  <si>
    <t>Spalte590</t>
  </si>
  <si>
    <t>Spalte591</t>
  </si>
  <si>
    <t>Spalte592</t>
  </si>
  <si>
    <t>Spalte593</t>
  </si>
  <si>
    <t>Spalte594</t>
  </si>
  <si>
    <t>Spalte595</t>
  </si>
  <si>
    <t>Spalte596</t>
  </si>
  <si>
    <t>Spalte597</t>
  </si>
  <si>
    <t>Spalte598</t>
  </si>
  <si>
    <t>Spalte599</t>
  </si>
  <si>
    <t>Spalte600</t>
  </si>
  <si>
    <t>Spalte601</t>
  </si>
  <si>
    <t>Spalte602</t>
  </si>
  <si>
    <t>Spalte603</t>
  </si>
  <si>
    <t>Spalte604</t>
  </si>
  <si>
    <t>Spalte605</t>
  </si>
  <si>
    <t>Spalte606</t>
  </si>
  <si>
    <t>Spalte607</t>
  </si>
  <si>
    <t>Spalte608</t>
  </si>
  <si>
    <t>Spalte609</t>
  </si>
  <si>
    <t>Spalte610</t>
  </si>
  <si>
    <t>Spalte611</t>
  </si>
  <si>
    <t>Spalte612</t>
  </si>
  <si>
    <t>Spalte613</t>
  </si>
  <si>
    <t>Spalte614</t>
  </si>
  <si>
    <t>Spalte615</t>
  </si>
  <si>
    <t>Spalte616</t>
  </si>
  <si>
    <t>Spalte617</t>
  </si>
  <si>
    <t>Spalte618</t>
  </si>
  <si>
    <t>Spalte619</t>
  </si>
  <si>
    <t>Spalte620</t>
  </si>
  <si>
    <t>Spalte621</t>
  </si>
  <si>
    <t>Spalte622</t>
  </si>
  <si>
    <t>Spalte623</t>
  </si>
  <si>
    <t>Spalte624</t>
  </si>
  <si>
    <t>Spalte625</t>
  </si>
  <si>
    <t>Spalte626</t>
  </si>
  <si>
    <t>Spalte627</t>
  </si>
  <si>
    <t>Spalte628</t>
  </si>
  <si>
    <t>Spalte629</t>
  </si>
  <si>
    <t>Spalte630</t>
  </si>
  <si>
    <t>Spalte631</t>
  </si>
  <si>
    <t>Spalte632</t>
  </si>
  <si>
    <t>Spalte633</t>
  </si>
  <si>
    <t>Spalte634</t>
  </si>
  <si>
    <t>Spalte635</t>
  </si>
  <si>
    <t>Spalte636</t>
  </si>
  <si>
    <t>Spalte637</t>
  </si>
  <si>
    <t>Spalte638</t>
  </si>
  <si>
    <t>Spalte639</t>
  </si>
  <si>
    <t>Spalte640</t>
  </si>
  <si>
    <t>Spalte641</t>
  </si>
  <si>
    <t>Spalte642</t>
  </si>
  <si>
    <t>Spalte643</t>
  </si>
  <si>
    <t>Spalte644</t>
  </si>
  <si>
    <t>Spalte645</t>
  </si>
  <si>
    <t>Spalte646</t>
  </si>
  <si>
    <t>Spalte647</t>
  </si>
  <si>
    <t>Spalte648</t>
  </si>
  <si>
    <t>Spalte649</t>
  </si>
  <si>
    <t>Spalte650</t>
  </si>
  <si>
    <t>Spalte651</t>
  </si>
  <si>
    <t>Spalte652</t>
  </si>
  <si>
    <t>Spalte653</t>
  </si>
  <si>
    <t>Spalte654</t>
  </si>
  <si>
    <t>Spalte655</t>
  </si>
  <si>
    <t>Spalte656</t>
  </si>
  <si>
    <t>Spalte657</t>
  </si>
  <si>
    <t>Spalte658</t>
  </si>
  <si>
    <t>Spalte659</t>
  </si>
  <si>
    <t>Spalte660</t>
  </si>
  <si>
    <t>Spalte661</t>
  </si>
  <si>
    <t>Spalte662</t>
  </si>
  <si>
    <t>Spalte663</t>
  </si>
  <si>
    <t>Spalte664</t>
  </si>
  <si>
    <t>Spalte665</t>
  </si>
  <si>
    <t>Spalte666</t>
  </si>
  <si>
    <t>Spalte667</t>
  </si>
  <si>
    <t>Spalte668</t>
  </si>
  <si>
    <t>Spalte669</t>
  </si>
  <si>
    <t>Spalte670</t>
  </si>
  <si>
    <t>Spalte671</t>
  </si>
  <si>
    <t>Spalte672</t>
  </si>
  <si>
    <t>Spalte673</t>
  </si>
  <si>
    <t>Spalte674</t>
  </si>
  <si>
    <t>Spalte675</t>
  </si>
  <si>
    <t>Spalte676</t>
  </si>
  <si>
    <t>Spalte677</t>
  </si>
  <si>
    <t>Spalte678</t>
  </si>
  <si>
    <t>Spalte679</t>
  </si>
  <si>
    <t>Spalte680</t>
  </si>
  <si>
    <t>Spalte681</t>
  </si>
  <si>
    <t>Spalte682</t>
  </si>
  <si>
    <t>Spalte683</t>
  </si>
  <si>
    <t>Spalte684</t>
  </si>
  <si>
    <t>Spalte685</t>
  </si>
  <si>
    <t>Spalte686</t>
  </si>
  <si>
    <t>Spalte687</t>
  </si>
  <si>
    <t>Spalte688</t>
  </si>
  <si>
    <t>Spalte689</t>
  </si>
  <si>
    <t>Spalte690</t>
  </si>
  <si>
    <t>Spalte691</t>
  </si>
  <si>
    <t>Spalte692</t>
  </si>
  <si>
    <t>Spalte693</t>
  </si>
  <si>
    <t>Spalte694</t>
  </si>
  <si>
    <t>Spalte695</t>
  </si>
  <si>
    <t>Spalte696</t>
  </si>
  <si>
    <t>Spalte697</t>
  </si>
  <si>
    <t>Spalte698</t>
  </si>
  <si>
    <t>Spalte699</t>
  </si>
  <si>
    <t>Spalte700</t>
  </si>
  <si>
    <t>Spalte701</t>
  </si>
  <si>
    <t>Spalte702</t>
  </si>
  <si>
    <t>Spalte703</t>
  </si>
  <si>
    <t>Spalte704</t>
  </si>
  <si>
    <t>Spalte705</t>
  </si>
  <si>
    <t>Spalte706</t>
  </si>
  <si>
    <t>Spalte707</t>
  </si>
  <si>
    <t>Spalte708</t>
  </si>
  <si>
    <t>Spalte709</t>
  </si>
  <si>
    <t>Spalte710</t>
  </si>
  <si>
    <t>Spalte711</t>
  </si>
  <si>
    <t>Spalte712</t>
  </si>
  <si>
    <t>Spalte713</t>
  </si>
  <si>
    <t>Spalte714</t>
  </si>
  <si>
    <t>Spalte715</t>
  </si>
  <si>
    <t>Spalte716</t>
  </si>
  <si>
    <t>Spalte717</t>
  </si>
  <si>
    <t>Spalte718</t>
  </si>
  <si>
    <t>Spalte719</t>
  </si>
  <si>
    <t>Spalte720</t>
  </si>
  <si>
    <t>Spalte721</t>
  </si>
  <si>
    <t>Spalte722</t>
  </si>
  <si>
    <t>Spalte723</t>
  </si>
  <si>
    <t>Spalte724</t>
  </si>
  <si>
    <t>Spalte725</t>
  </si>
  <si>
    <t>Spalte726</t>
  </si>
  <si>
    <t>Spalte727</t>
  </si>
  <si>
    <t>Spalte728</t>
  </si>
  <si>
    <t>Spalte729</t>
  </si>
  <si>
    <t>Spalte730</t>
  </si>
  <si>
    <t>Spalte731</t>
  </si>
  <si>
    <t>Spalte732</t>
  </si>
  <si>
    <t>Spalte733</t>
  </si>
  <si>
    <t>Spalte734</t>
  </si>
  <si>
    <t>Spalte735</t>
  </si>
  <si>
    <t>Spalte736</t>
  </si>
  <si>
    <t>Spalte737</t>
  </si>
  <si>
    <t>Spalte738</t>
  </si>
  <si>
    <t>Spalte739</t>
  </si>
  <si>
    <t>Spalte740</t>
  </si>
  <si>
    <t>Spalte741</t>
  </si>
  <si>
    <t>Spalte742</t>
  </si>
  <si>
    <t>Spalte743</t>
  </si>
  <si>
    <t>Spalte744</t>
  </si>
  <si>
    <t>Spalte745</t>
  </si>
  <si>
    <t>Spalte746</t>
  </si>
  <si>
    <t>Spalte747</t>
  </si>
  <si>
    <t>Spalte748</t>
  </si>
  <si>
    <t>Spalte749</t>
  </si>
  <si>
    <t>Spalte750</t>
  </si>
  <si>
    <t>Spalte751</t>
  </si>
  <si>
    <t>Spalte752</t>
  </si>
  <si>
    <t>Spalte753</t>
  </si>
  <si>
    <t>Spalte754</t>
  </si>
  <si>
    <t>Spalte755</t>
  </si>
  <si>
    <t>Spalte756</t>
  </si>
  <si>
    <t>Spalte757</t>
  </si>
  <si>
    <t>Spalte758</t>
  </si>
  <si>
    <t>Spalte759</t>
  </si>
  <si>
    <t>Spalte760</t>
  </si>
  <si>
    <t>Spalte761</t>
  </si>
  <si>
    <t>Spalte762</t>
  </si>
  <si>
    <t>Spalte763</t>
  </si>
  <si>
    <t>Spalte764</t>
  </si>
  <si>
    <t>Spalte765</t>
  </si>
  <si>
    <t>Spalte766</t>
  </si>
  <si>
    <t>Spalte767</t>
  </si>
  <si>
    <t>Spalte768</t>
  </si>
  <si>
    <t>Spalte769</t>
  </si>
  <si>
    <t>Spalte770</t>
  </si>
  <si>
    <t>Spalte771</t>
  </si>
  <si>
    <t>Spalte772</t>
  </si>
  <si>
    <t>Spalte773</t>
  </si>
  <si>
    <t>Spalte774</t>
  </si>
  <si>
    <t>Spalte775</t>
  </si>
  <si>
    <t>Spalte776</t>
  </si>
  <si>
    <t>Spalte777</t>
  </si>
  <si>
    <t>Spalte778</t>
  </si>
  <si>
    <t>Spalte779</t>
  </si>
  <si>
    <t>Spalte780</t>
  </si>
  <si>
    <t>Spalte781</t>
  </si>
  <si>
    <t>Spalte782</t>
  </si>
  <si>
    <t>Spalte783</t>
  </si>
  <si>
    <t>Spalte784</t>
  </si>
  <si>
    <t>Spalte785</t>
  </si>
  <si>
    <t>Spalte786</t>
  </si>
  <si>
    <t>Spalte787</t>
  </si>
  <si>
    <t>Spalte788</t>
  </si>
  <si>
    <t>Spalte789</t>
  </si>
  <si>
    <t>Spalte790</t>
  </si>
  <si>
    <t>Spalte791</t>
  </si>
  <si>
    <t>Spalte792</t>
  </si>
  <si>
    <t>Spalte793</t>
  </si>
  <si>
    <t>Spalte794</t>
  </si>
  <si>
    <t>Spalte795</t>
  </si>
  <si>
    <t>Spalte796</t>
  </si>
  <si>
    <t>Spalte797</t>
  </si>
  <si>
    <t>Spalte798</t>
  </si>
  <si>
    <t>Spalte799</t>
  </si>
  <si>
    <t>Spalte800</t>
  </si>
  <si>
    <t>Spalte801</t>
  </si>
  <si>
    <t>Spalte802</t>
  </si>
  <si>
    <t>Spalte803</t>
  </si>
  <si>
    <t>Spalte804</t>
  </si>
  <si>
    <t>Spalte805</t>
  </si>
  <si>
    <t>Spalte806</t>
  </si>
  <si>
    <t>Spalte807</t>
  </si>
  <si>
    <t>Spalte808</t>
  </si>
  <si>
    <t>Spalte809</t>
  </si>
  <si>
    <t>Spalte810</t>
  </si>
  <si>
    <t>Spalte811</t>
  </si>
  <si>
    <t>Spalte812</t>
  </si>
  <si>
    <t>Spalte813</t>
  </si>
  <si>
    <t>Spalte814</t>
  </si>
  <si>
    <t>Spalte815</t>
  </si>
  <si>
    <t>Spalte816</t>
  </si>
  <si>
    <t>Spalte817</t>
  </si>
  <si>
    <t>Spalte818</t>
  </si>
  <si>
    <t>Spalte819</t>
  </si>
  <si>
    <t>Spalte820</t>
  </si>
  <si>
    <t>Spalte821</t>
  </si>
  <si>
    <t>Spalte822</t>
  </si>
  <si>
    <t>Spalte823</t>
  </si>
  <si>
    <t>Spalte824</t>
  </si>
  <si>
    <t>Spalte825</t>
  </si>
  <si>
    <t>Spalte826</t>
  </si>
  <si>
    <t>Spalte827</t>
  </si>
  <si>
    <t>Spalte828</t>
  </si>
  <si>
    <t>Spalte829</t>
  </si>
  <si>
    <t>Spalte830</t>
  </si>
  <si>
    <t>Spalte831</t>
  </si>
  <si>
    <t>Spalte832</t>
  </si>
  <si>
    <t>Spalte833</t>
  </si>
  <si>
    <t>Spalte834</t>
  </si>
  <si>
    <t>Spalte835</t>
  </si>
  <si>
    <t>Spalte836</t>
  </si>
  <si>
    <t>Spalte837</t>
  </si>
  <si>
    <t>Spalte838</t>
  </si>
  <si>
    <t>Spalte839</t>
  </si>
  <si>
    <t>Spalte840</t>
  </si>
  <si>
    <t>Spalte841</t>
  </si>
  <si>
    <t>Spalte842</t>
  </si>
  <si>
    <t>Spalte843</t>
  </si>
  <si>
    <t>Spalte844</t>
  </si>
  <si>
    <t>Spalte845</t>
  </si>
  <si>
    <t>Spalte846</t>
  </si>
  <si>
    <t>Spalte847</t>
  </si>
  <si>
    <t>Spalte848</t>
  </si>
  <si>
    <t>Spalte849</t>
  </si>
  <si>
    <t>Spalte850</t>
  </si>
  <si>
    <t>Spalte851</t>
  </si>
  <si>
    <t>Spalte852</t>
  </si>
  <si>
    <t>Spalte853</t>
  </si>
  <si>
    <t>Spalte854</t>
  </si>
  <si>
    <t>Spalte855</t>
  </si>
  <si>
    <t>Spalte856</t>
  </si>
  <si>
    <t>Spalte857</t>
  </si>
  <si>
    <t>Spalte858</t>
  </si>
  <si>
    <t>Spalte859</t>
  </si>
  <si>
    <t>Spalte860</t>
  </si>
  <si>
    <t>Spalte861</t>
  </si>
  <si>
    <t>Spalte862</t>
  </si>
  <si>
    <t>Spalte863</t>
  </si>
  <si>
    <t>Spalte864</t>
  </si>
  <si>
    <t>Spalte865</t>
  </si>
  <si>
    <t>Spalte866</t>
  </si>
  <si>
    <t>Spalte867</t>
  </si>
  <si>
    <t>Spalte868</t>
  </si>
  <si>
    <t>Spalte869</t>
  </si>
  <si>
    <t>Spalte870</t>
  </si>
  <si>
    <t>Spalte871</t>
  </si>
  <si>
    <t>Spalte872</t>
  </si>
  <si>
    <t>Spalte873</t>
  </si>
  <si>
    <t>Spalte874</t>
  </si>
  <si>
    <t>Spalte875</t>
  </si>
  <si>
    <t>Spalte876</t>
  </si>
  <si>
    <t>Spalte877</t>
  </si>
  <si>
    <t>Spalte878</t>
  </si>
  <si>
    <t>Spalte879</t>
  </si>
  <si>
    <t>Spalte880</t>
  </si>
  <si>
    <t>Spalte881</t>
  </si>
  <si>
    <t>Spalte882</t>
  </si>
  <si>
    <t>Spalte883</t>
  </si>
  <si>
    <t>Spalte884</t>
  </si>
  <si>
    <t>Spalte885</t>
  </si>
  <si>
    <t>Spalte886</t>
  </si>
  <si>
    <t>Spalte887</t>
  </si>
  <si>
    <t>Spalte888</t>
  </si>
  <si>
    <t>Spalte889</t>
  </si>
  <si>
    <t>Spalte890</t>
  </si>
  <si>
    <t>Spalte891</t>
  </si>
  <si>
    <t>Spalte892</t>
  </si>
  <si>
    <t>Spalte893</t>
  </si>
  <si>
    <t>Spalte894</t>
  </si>
  <si>
    <t>Spalte895</t>
  </si>
  <si>
    <t>Spalte896</t>
  </si>
  <si>
    <t>Spalte897</t>
  </si>
  <si>
    <t>Spalte898</t>
  </si>
  <si>
    <t>Spalte899</t>
  </si>
  <si>
    <t>Spalte900</t>
  </si>
  <si>
    <t>Spalte901</t>
  </si>
  <si>
    <t>Spalte902</t>
  </si>
  <si>
    <t>Spalte903</t>
  </si>
  <si>
    <t>Spalte904</t>
  </si>
  <si>
    <t>Spalte905</t>
  </si>
  <si>
    <t>Spalte906</t>
  </si>
  <si>
    <t>Spalte907</t>
  </si>
  <si>
    <t>Spalte908</t>
  </si>
  <si>
    <t>Spalte909</t>
  </si>
  <si>
    <t>Spalte910</t>
  </si>
  <si>
    <t>Spalte911</t>
  </si>
  <si>
    <t>Spalte912</t>
  </si>
  <si>
    <t>Spalte913</t>
  </si>
  <si>
    <t>Spalte914</t>
  </si>
  <si>
    <t>Spalte915</t>
  </si>
  <si>
    <t>Spalte916</t>
  </si>
  <si>
    <t>Spalte917</t>
  </si>
  <si>
    <t>Spalte918</t>
  </si>
  <si>
    <t>Spalte919</t>
  </si>
  <si>
    <t>Spalte920</t>
  </si>
  <si>
    <t>Spalte921</t>
  </si>
  <si>
    <t>Spalte922</t>
  </si>
  <si>
    <t>Spalte923</t>
  </si>
  <si>
    <t>Spalte924</t>
  </si>
  <si>
    <t>Spalte925</t>
  </si>
  <si>
    <t>Spalte926</t>
  </si>
  <si>
    <t>Spalte927</t>
  </si>
  <si>
    <t>Spalte928</t>
  </si>
  <si>
    <t>Spalte929</t>
  </si>
  <si>
    <t>Spalte930</t>
  </si>
  <si>
    <t>Spalte931</t>
  </si>
  <si>
    <t>Spalte932</t>
  </si>
  <si>
    <t>Spalte933</t>
  </si>
  <si>
    <t>Spalte934</t>
  </si>
  <si>
    <t>Spalte935</t>
  </si>
  <si>
    <t>Spalte936</t>
  </si>
  <si>
    <t>Spalte937</t>
  </si>
  <si>
    <t>Spalte938</t>
  </si>
  <si>
    <t>Spalte939</t>
  </si>
  <si>
    <t>Spalte940</t>
  </si>
  <si>
    <t>Spalte941</t>
  </si>
  <si>
    <t>Spalte942</t>
  </si>
  <si>
    <t>Spalte943</t>
  </si>
  <si>
    <t>Spalte944</t>
  </si>
  <si>
    <t>Spalte945</t>
  </si>
  <si>
    <t>Spalte946</t>
  </si>
  <si>
    <t>Spalte947</t>
  </si>
  <si>
    <t>Spalte948</t>
  </si>
  <si>
    <t>Spalte949</t>
  </si>
  <si>
    <t>Spalte950</t>
  </si>
  <si>
    <t>Spalte951</t>
  </si>
  <si>
    <t>Spalte952</t>
  </si>
  <si>
    <t>Spalte953</t>
  </si>
  <si>
    <t>Spalte954</t>
  </si>
  <si>
    <t>Spalte955</t>
  </si>
  <si>
    <t>Spalte956</t>
  </si>
  <si>
    <t>Spalte957</t>
  </si>
  <si>
    <t>Spalte958</t>
  </si>
  <si>
    <t>Spalte959</t>
  </si>
  <si>
    <t>Spalte960</t>
  </si>
  <si>
    <t>Spalte961</t>
  </si>
  <si>
    <t>Spalte962</t>
  </si>
  <si>
    <t>Spalte963</t>
  </si>
  <si>
    <t>Spalte964</t>
  </si>
  <si>
    <t>Spalte965</t>
  </si>
  <si>
    <t>Spalte966</t>
  </si>
  <si>
    <t>Spalte967</t>
  </si>
  <si>
    <t>Spalte968</t>
  </si>
  <si>
    <t>Spalte969</t>
  </si>
  <si>
    <t>Spalte970</t>
  </si>
  <si>
    <t>Spalte971</t>
  </si>
  <si>
    <t>Spalte972</t>
  </si>
  <si>
    <t>Spalte973</t>
  </si>
  <si>
    <t>Spalte974</t>
  </si>
  <si>
    <t>Spalte975</t>
  </si>
  <si>
    <t>Spalte976</t>
  </si>
  <si>
    <t>Spalte977</t>
  </si>
  <si>
    <t>Spalte978</t>
  </si>
  <si>
    <t>Spalte979</t>
  </si>
  <si>
    <t>Spalte980</t>
  </si>
  <si>
    <t>Spalte981</t>
  </si>
  <si>
    <t>Spalte982</t>
  </si>
  <si>
    <t>Spalte983</t>
  </si>
  <si>
    <t>Spalte984</t>
  </si>
  <si>
    <t>Spalte985</t>
  </si>
  <si>
    <t>Spalte986</t>
  </si>
  <si>
    <t>Spalte987</t>
  </si>
  <si>
    <t>Spalte988</t>
  </si>
  <si>
    <t>Spalte989</t>
  </si>
  <si>
    <t>Spalte990</t>
  </si>
  <si>
    <t>Spalte991</t>
  </si>
  <si>
    <t>Spalte992</t>
  </si>
  <si>
    <t>Spalte993</t>
  </si>
  <si>
    <t>Spalte994</t>
  </si>
  <si>
    <t>Spalte995</t>
  </si>
  <si>
    <t>Spalte996</t>
  </si>
  <si>
    <t>Spalte997</t>
  </si>
  <si>
    <t>Spalte998</t>
  </si>
  <si>
    <t>Spalte999</t>
  </si>
  <si>
    <t>Spalte1000</t>
  </si>
  <si>
    <t>Spalte1001</t>
  </si>
  <si>
    <t>Spalte1002</t>
  </si>
  <si>
    <t>Spalte1003</t>
  </si>
  <si>
    <t>Spalte1004</t>
  </si>
  <si>
    <t>Spalte1005</t>
  </si>
  <si>
    <t>Spalte1006</t>
  </si>
  <si>
    <t>Spalte1007</t>
  </si>
  <si>
    <t>Spalte1008</t>
  </si>
  <si>
    <t>Spalte1009</t>
  </si>
  <si>
    <t>Spalte1010</t>
  </si>
  <si>
    <t>Spalte1011</t>
  </si>
  <si>
    <t>Spalte1012</t>
  </si>
  <si>
    <t>Spalte1013</t>
  </si>
  <si>
    <t>Spalte1014</t>
  </si>
  <si>
    <t>Spalte1015</t>
  </si>
  <si>
    <t>Spalte1016</t>
  </si>
  <si>
    <t>Spalte1017</t>
  </si>
  <si>
    <t>Spalte1018</t>
  </si>
  <si>
    <t>Spalte1019</t>
  </si>
  <si>
    <t>Spalte1020</t>
  </si>
  <si>
    <t>Spalte1021</t>
  </si>
  <si>
    <t>Spalte1022</t>
  </si>
  <si>
    <t>Spalte1023</t>
  </si>
  <si>
    <t>Spalte1024</t>
  </si>
  <si>
    <t>Spalte1025</t>
  </si>
  <si>
    <t>Spalte1026</t>
  </si>
  <si>
    <t>Spalte1027</t>
  </si>
  <si>
    <t>Spalte1028</t>
  </si>
  <si>
    <t>Spalte1029</t>
  </si>
  <si>
    <t>Spalte1030</t>
  </si>
  <si>
    <t>Spalte1031</t>
  </si>
  <si>
    <t>Spalte1032</t>
  </si>
  <si>
    <t>Spalte1033</t>
  </si>
  <si>
    <t>Spalte1034</t>
  </si>
  <si>
    <t>Spalte1035</t>
  </si>
  <si>
    <t>Spalte1036</t>
  </si>
  <si>
    <t>Spalte1037</t>
  </si>
  <si>
    <t>Spalte1038</t>
  </si>
  <si>
    <t>Spalte1039</t>
  </si>
  <si>
    <t>Spalte1040</t>
  </si>
  <si>
    <t>Spalte1041</t>
  </si>
  <si>
    <t>Spalte1042</t>
  </si>
  <si>
    <t>Spalte1043</t>
  </si>
  <si>
    <t>Spalte1044</t>
  </si>
  <si>
    <t>Spalte1045</t>
  </si>
  <si>
    <t>Spalte1046</t>
  </si>
  <si>
    <t>Spalte1047</t>
  </si>
  <si>
    <t>Spalte1048</t>
  </si>
  <si>
    <t>Spalte1049</t>
  </si>
  <si>
    <t>Spalte1050</t>
  </si>
  <si>
    <t>Spalte1051</t>
  </si>
  <si>
    <t>Spalte1052</t>
  </si>
  <si>
    <t>Spalte1053</t>
  </si>
  <si>
    <t>Spalte1054</t>
  </si>
  <si>
    <t>Spalte1055</t>
  </si>
  <si>
    <t>Spalte1056</t>
  </si>
  <si>
    <t>Spalte1057</t>
  </si>
  <si>
    <t>Spalte1058</t>
  </si>
  <si>
    <t>Spalte1059</t>
  </si>
  <si>
    <t>Spalte1060</t>
  </si>
  <si>
    <t>Spalte1061</t>
  </si>
  <si>
    <t>Spalte1062</t>
  </si>
  <si>
    <t>Spalte1063</t>
  </si>
  <si>
    <t>Spalte1064</t>
  </si>
  <si>
    <t>Spalte1065</t>
  </si>
  <si>
    <t>Spalte1066</t>
  </si>
  <si>
    <t>Spalte1067</t>
  </si>
  <si>
    <t>Spalte1068</t>
  </si>
  <si>
    <t>Spalte1069</t>
  </si>
  <si>
    <t>Spalte1070</t>
  </si>
  <si>
    <t>Spalte1071</t>
  </si>
  <si>
    <t>Spalte1072</t>
  </si>
  <si>
    <t>Spalte1073</t>
  </si>
  <si>
    <t>Spalte1074</t>
  </si>
  <si>
    <t>Spalte1075</t>
  </si>
  <si>
    <t>Spalte1076</t>
  </si>
  <si>
    <t>Spalte1077</t>
  </si>
  <si>
    <t>Spalte1078</t>
  </si>
  <si>
    <t>Spalte1079</t>
  </si>
  <si>
    <t>Spalte1080</t>
  </si>
  <si>
    <t>Spalte1081</t>
  </si>
  <si>
    <t>Spalte1082</t>
  </si>
  <si>
    <t>Spalte1083</t>
  </si>
  <si>
    <t>Spalte1084</t>
  </si>
  <si>
    <t>Spalte1085</t>
  </si>
  <si>
    <t>Spalte1086</t>
  </si>
  <si>
    <t>Spalte1087</t>
  </si>
  <si>
    <t>Spalte1088</t>
  </si>
  <si>
    <t>Spalte1089</t>
  </si>
  <si>
    <t>Spalte1090</t>
  </si>
  <si>
    <t>Spalte1091</t>
  </si>
  <si>
    <t>Spalte1092</t>
  </si>
  <si>
    <t>Spalte1093</t>
  </si>
  <si>
    <t>Spalte1094</t>
  </si>
  <si>
    <t>Spalte1095</t>
  </si>
  <si>
    <t>Spalte1096</t>
  </si>
  <si>
    <t>Spalte1097</t>
  </si>
  <si>
    <t>Spalte1098</t>
  </si>
  <si>
    <t>Spalte1099</t>
  </si>
  <si>
    <t>Spalte1100</t>
  </si>
  <si>
    <t>Spalte1101</t>
  </si>
  <si>
    <t>Spalte1102</t>
  </si>
  <si>
    <t>Spalte1103</t>
  </si>
  <si>
    <t>Spalte1104</t>
  </si>
  <si>
    <t>Spalte1105</t>
  </si>
  <si>
    <t>Spalte1106</t>
  </si>
  <si>
    <t>Spalte1107</t>
  </si>
  <si>
    <t>Spalte1108</t>
  </si>
  <si>
    <t>Spalte1109</t>
  </si>
  <si>
    <t>Spalte1110</t>
  </si>
  <si>
    <t>Spalte1111</t>
  </si>
  <si>
    <t>Spalte1112</t>
  </si>
  <si>
    <t>Spalte1113</t>
  </si>
  <si>
    <t>Spalte1114</t>
  </si>
  <si>
    <t>Spalte1115</t>
  </si>
  <si>
    <t>Spalte1116</t>
  </si>
  <si>
    <t>Spalte1117</t>
  </si>
  <si>
    <t>Spalte1118</t>
  </si>
  <si>
    <t>Spalte1119</t>
  </si>
  <si>
    <t>Spalte1120</t>
  </si>
  <si>
    <t>Spalte1121</t>
  </si>
  <si>
    <t>Spalte1122</t>
  </si>
  <si>
    <t>Spalte1123</t>
  </si>
  <si>
    <t>Spalte1124</t>
  </si>
  <si>
    <t>Spalte1125</t>
  </si>
  <si>
    <t>Spalte1126</t>
  </si>
  <si>
    <t>Spalte1127</t>
  </si>
  <si>
    <t>Spalte1128</t>
  </si>
  <si>
    <t>Spalte1129</t>
  </si>
  <si>
    <t>Spalte1130</t>
  </si>
  <si>
    <t>Spalte1131</t>
  </si>
  <si>
    <t>Spalte1132</t>
  </si>
  <si>
    <t>Spalte1133</t>
  </si>
  <si>
    <t>Spalte1134</t>
  </si>
  <si>
    <t>Spalte1135</t>
  </si>
  <si>
    <t>Spalte1136</t>
  </si>
  <si>
    <t>Spalte1137</t>
  </si>
  <si>
    <t>Spalte1138</t>
  </si>
  <si>
    <t>Spalte1139</t>
  </si>
  <si>
    <t>Spalte1140</t>
  </si>
  <si>
    <t>Spalte1141</t>
  </si>
  <si>
    <t>Spalte1142</t>
  </si>
  <si>
    <t>Spalte1143</t>
  </si>
  <si>
    <t>Spalte1144</t>
  </si>
  <si>
    <t>Spalte1145</t>
  </si>
  <si>
    <t>Spalte1146</t>
  </si>
  <si>
    <t>Spalte1147</t>
  </si>
  <si>
    <t>Spalte1148</t>
  </si>
  <si>
    <t>Spalte1149</t>
  </si>
  <si>
    <t>Spalte1150</t>
  </si>
  <si>
    <t>Spalte1151</t>
  </si>
  <si>
    <t>Spalte1152</t>
  </si>
  <si>
    <t>Spalte1153</t>
  </si>
  <si>
    <t>Spalte1154</t>
  </si>
  <si>
    <t>Spalte1155</t>
  </si>
  <si>
    <t>Spalte1156</t>
  </si>
  <si>
    <t>Spalte1157</t>
  </si>
  <si>
    <t>Spalte1158</t>
  </si>
  <si>
    <t>Spalte1159</t>
  </si>
  <si>
    <t>Spalte1160</t>
  </si>
  <si>
    <t>Spalte1161</t>
  </si>
  <si>
    <t>Spalte1162</t>
  </si>
  <si>
    <t>Spalte1163</t>
  </si>
  <si>
    <t>Spalte1164</t>
  </si>
  <si>
    <t>Spalte1165</t>
  </si>
  <si>
    <t>Spalte1166</t>
  </si>
  <si>
    <t>Spalte1167</t>
  </si>
  <si>
    <t>Spalte1168</t>
  </si>
  <si>
    <t>Spalte1169</t>
  </si>
  <si>
    <t>Spalte1170</t>
  </si>
  <si>
    <t>Spalte1171</t>
  </si>
  <si>
    <t>Spalte1172</t>
  </si>
  <si>
    <t>Spalte1173</t>
  </si>
  <si>
    <t>Spalte1174</t>
  </si>
  <si>
    <t>Spalte1175</t>
  </si>
  <si>
    <t>Spalte1176</t>
  </si>
  <si>
    <t>Spalte1177</t>
  </si>
  <si>
    <t>Spalte1178</t>
  </si>
  <si>
    <t>Spalte1179</t>
  </si>
  <si>
    <t>Spalte1180</t>
  </si>
  <si>
    <t>Spalte1181</t>
  </si>
  <si>
    <t>Spalte1182</t>
  </si>
  <si>
    <t>Spalte1183</t>
  </si>
  <si>
    <t>Spalte1184</t>
  </si>
  <si>
    <t>Spalte1185</t>
  </si>
  <si>
    <t>Spalte1186</t>
  </si>
  <si>
    <t>Spalte1187</t>
  </si>
  <si>
    <t>Spalte1188</t>
  </si>
  <si>
    <t>Spalte1189</t>
  </si>
  <si>
    <t>Spalte1190</t>
  </si>
  <si>
    <t>Spalte1191</t>
  </si>
  <si>
    <t>Spalte1192</t>
  </si>
  <si>
    <t>Spalte1193</t>
  </si>
  <si>
    <t>Spalte1194</t>
  </si>
  <si>
    <t>Spalte1195</t>
  </si>
  <si>
    <t>Spalte1196</t>
  </si>
  <si>
    <t>Spalte1197</t>
  </si>
  <si>
    <t>Spalte1198</t>
  </si>
  <si>
    <t>Spalte1199</t>
  </si>
  <si>
    <t>Spalte1200</t>
  </si>
  <si>
    <t>Spalte1201</t>
  </si>
  <si>
    <t>Spalte1202</t>
  </si>
  <si>
    <t>Spalte1203</t>
  </si>
  <si>
    <t>Spalte1204</t>
  </si>
  <si>
    <t>Spalte1205</t>
  </si>
  <si>
    <t>Spalte1206</t>
  </si>
  <si>
    <t>Spalte1207</t>
  </si>
  <si>
    <t>Spalte1208</t>
  </si>
  <si>
    <t>Spalte1209</t>
  </si>
  <si>
    <t>Spalte1210</t>
  </si>
  <si>
    <t>Spalte1211</t>
  </si>
  <si>
    <t>Spalte1212</t>
  </si>
  <si>
    <t>Spalte1213</t>
  </si>
  <si>
    <t>Spalte1214</t>
  </si>
  <si>
    <t>Spalte1215</t>
  </si>
  <si>
    <t>Spalte1216</t>
  </si>
  <si>
    <t>Spalte1217</t>
  </si>
  <si>
    <t>Spalte1218</t>
  </si>
  <si>
    <t>Spalte1219</t>
  </si>
  <si>
    <t>Spalte1220</t>
  </si>
  <si>
    <t>Spalte1221</t>
  </si>
  <si>
    <t>Spalte1222</t>
  </si>
  <si>
    <t>Spalte1223</t>
  </si>
  <si>
    <t>Spalte1224</t>
  </si>
  <si>
    <t>Spalte1225</t>
  </si>
  <si>
    <t>Spalte1226</t>
  </si>
  <si>
    <t>Spalte1227</t>
  </si>
  <si>
    <t>Spalte1228</t>
  </si>
  <si>
    <t>Spalte1229</t>
  </si>
  <si>
    <t>Spalte1230</t>
  </si>
  <si>
    <t>Spalte1231</t>
  </si>
  <si>
    <t>Spalte1232</t>
  </si>
  <si>
    <t>Spalte1233</t>
  </si>
  <si>
    <t>Spalte1234</t>
  </si>
  <si>
    <t>Spalte1235</t>
  </si>
  <si>
    <t>Spalte1236</t>
  </si>
  <si>
    <t>Spalte1237</t>
  </si>
  <si>
    <t>Spalte1238</t>
  </si>
  <si>
    <t>Spalte1239</t>
  </si>
  <si>
    <t>Spalte1240</t>
  </si>
  <si>
    <t>Spalte1241</t>
  </si>
  <si>
    <t>Spalte1242</t>
  </si>
  <si>
    <t>Spalte1243</t>
  </si>
  <si>
    <t>Spalte1244</t>
  </si>
  <si>
    <t>Spalte1245</t>
  </si>
  <si>
    <t>Spalte1246</t>
  </si>
  <si>
    <t>Spalte1247</t>
  </si>
  <si>
    <t>Spalte1248</t>
  </si>
  <si>
    <t>Spalte1249</t>
  </si>
  <si>
    <t>Spalte1250</t>
  </si>
  <si>
    <t>Spalte1251</t>
  </si>
  <si>
    <t>Spalte1252</t>
  </si>
  <si>
    <t>Spalte1253</t>
  </si>
  <si>
    <t>Spalte1254</t>
  </si>
  <si>
    <t>Spalte1255</t>
  </si>
  <si>
    <t>Spalte1256</t>
  </si>
  <si>
    <t>Spalte1257</t>
  </si>
  <si>
    <t>Spalte1258</t>
  </si>
  <si>
    <t>Spalte1259</t>
  </si>
  <si>
    <t>Spalte1260</t>
  </si>
  <si>
    <t>Spalte1261</t>
  </si>
  <si>
    <t>Spalte1262</t>
  </si>
  <si>
    <t>Spalte1263</t>
  </si>
  <si>
    <t>Spalte1264</t>
  </si>
  <si>
    <t>Spalte1265</t>
  </si>
  <si>
    <t>Spalte1266</t>
  </si>
  <si>
    <t>Spalte1267</t>
  </si>
  <si>
    <t>Spalte1268</t>
  </si>
  <si>
    <t>Spalte1269</t>
  </si>
  <si>
    <t>Spalte1270</t>
  </si>
  <si>
    <t>Spalte1271</t>
  </si>
  <si>
    <t>Spalte1272</t>
  </si>
  <si>
    <t>Spalte1273</t>
  </si>
  <si>
    <t>Spalte1274</t>
  </si>
  <si>
    <t>Spalte1275</t>
  </si>
  <si>
    <t>Spalte1276</t>
  </si>
  <si>
    <t>Spalte1277</t>
  </si>
  <si>
    <t>Spalte1278</t>
  </si>
  <si>
    <t>Spalte1279</t>
  </si>
  <si>
    <t>Spalte1280</t>
  </si>
  <si>
    <t>Spalte1281</t>
  </si>
  <si>
    <t>Spalte1282</t>
  </si>
  <si>
    <t>Spalte1283</t>
  </si>
  <si>
    <t>Spalte1284</t>
  </si>
  <si>
    <t>Spalte1285</t>
  </si>
  <si>
    <t>Spalte1286</t>
  </si>
  <si>
    <t>Spalte1287</t>
  </si>
  <si>
    <t>Spalte1288</t>
  </si>
  <si>
    <t>Spalte1289</t>
  </si>
  <si>
    <t>Spalte1290</t>
  </si>
  <si>
    <t>Spalte1291</t>
  </si>
  <si>
    <t>Spalte1292</t>
  </si>
  <si>
    <t>Spalte1293</t>
  </si>
  <si>
    <t>Spalte1294</t>
  </si>
  <si>
    <t>Spalte1295</t>
  </si>
  <si>
    <t>Spalte1296</t>
  </si>
  <si>
    <t>Spalte1297</t>
  </si>
  <si>
    <t>Spalte1298</t>
  </si>
  <si>
    <t>Spalte1299</t>
  </si>
  <si>
    <t>Spalte1300</t>
  </si>
  <si>
    <t>Spalte1301</t>
  </si>
  <si>
    <t>Spalte1302</t>
  </si>
  <si>
    <t>Spalte1303</t>
  </si>
  <si>
    <t>Spalte1304</t>
  </si>
  <si>
    <t>Spalte1305</t>
  </si>
  <si>
    <t>Spalte1306</t>
  </si>
  <si>
    <t>Spalte1307</t>
  </si>
  <si>
    <t>Spalte1308</t>
  </si>
  <si>
    <t>Spalte1309</t>
  </si>
  <si>
    <t>Spalte1310</t>
  </si>
  <si>
    <t>Spalte1311</t>
  </si>
  <si>
    <t>Spalte1312</t>
  </si>
  <si>
    <t>Spalte1313</t>
  </si>
  <si>
    <t>Spalte1314</t>
  </si>
  <si>
    <t>Spalte1315</t>
  </si>
  <si>
    <t>Spalte1316</t>
  </si>
  <si>
    <t>Spalte1317</t>
  </si>
  <si>
    <t>Spalte1318</t>
  </si>
  <si>
    <t>Spalte1319</t>
  </si>
  <si>
    <t>Spalte1320</t>
  </si>
  <si>
    <t>Spalte1321</t>
  </si>
  <si>
    <t>Spalte1322</t>
  </si>
  <si>
    <t>Spalte1323</t>
  </si>
  <si>
    <t>Spalte1324</t>
  </si>
  <si>
    <t>Spalte1325</t>
  </si>
  <si>
    <t>Spalte1326</t>
  </si>
  <si>
    <t>Spalte1327</t>
  </si>
  <si>
    <t>Spalte1328</t>
  </si>
  <si>
    <t>Spalte1329</t>
  </si>
  <si>
    <t>Spalte1330</t>
  </si>
  <si>
    <t>Spalte1331</t>
  </si>
  <si>
    <t>Spalte1332</t>
  </si>
  <si>
    <t>Spalte1333</t>
  </si>
  <si>
    <t>Spalte1334</t>
  </si>
  <si>
    <t>Spalte1335</t>
  </si>
  <si>
    <t>Spalte1336</t>
  </si>
  <si>
    <t>Spalte1337</t>
  </si>
  <si>
    <t>Spalte1338</t>
  </si>
  <si>
    <t>Spalte1339</t>
  </si>
  <si>
    <t>Spalte1340</t>
  </si>
  <si>
    <t>Spalte1341</t>
  </si>
  <si>
    <t>Spalte1342</t>
  </si>
  <si>
    <t>Spalte1343</t>
  </si>
  <si>
    <t>Spalte1344</t>
  </si>
  <si>
    <t>Spalte1345</t>
  </si>
  <si>
    <t>Spalte1346</t>
  </si>
  <si>
    <t>Spalte1347</t>
  </si>
  <si>
    <t>Spalte1348</t>
  </si>
  <si>
    <t>Spalte1349</t>
  </si>
  <si>
    <t>Spalte1350</t>
  </si>
  <si>
    <t>Spalte1351</t>
  </si>
  <si>
    <t>Spalte1352</t>
  </si>
  <si>
    <t>Spalte1353</t>
  </si>
  <si>
    <t>Spalte1354</t>
  </si>
  <si>
    <t>Spalte1355</t>
  </si>
  <si>
    <t>Spalte1356</t>
  </si>
  <si>
    <t>Spalte1357</t>
  </si>
  <si>
    <t>Spalte1358</t>
  </si>
  <si>
    <t>Spalte1359</t>
  </si>
  <si>
    <t>Spalte1360</t>
  </si>
  <si>
    <t>Spalte1361</t>
  </si>
  <si>
    <t>Spalte1362</t>
  </si>
  <si>
    <t>Spalte1363</t>
  </si>
  <si>
    <t>Spalte1364</t>
  </si>
  <si>
    <t>Spalte1365</t>
  </si>
  <si>
    <t>Spalte1366</t>
  </si>
  <si>
    <t>Spalte1367</t>
  </si>
  <si>
    <t>Spalte1368</t>
  </si>
  <si>
    <t>Spalte1369</t>
  </si>
  <si>
    <t>Spalte1370</t>
  </si>
  <si>
    <t>Spalte1371</t>
  </si>
  <si>
    <t>Spalte1372</t>
  </si>
  <si>
    <t>Spalte1373</t>
  </si>
  <si>
    <t>Spalte1374</t>
  </si>
  <si>
    <t>Spalte1375</t>
  </si>
  <si>
    <t>Spalte1376</t>
  </si>
  <si>
    <t>Spalte1377</t>
  </si>
  <si>
    <t>Spalte1378</t>
  </si>
  <si>
    <t>Spalte1379</t>
  </si>
  <si>
    <t>Spalte1380</t>
  </si>
  <si>
    <t>Spalte1381</t>
  </si>
  <si>
    <t>Spalte1382</t>
  </si>
  <si>
    <t>Spalte1383</t>
  </si>
  <si>
    <t>Spalte1384</t>
  </si>
  <si>
    <t>Spalte1385</t>
  </si>
  <si>
    <t>Spalte1386</t>
  </si>
  <si>
    <t>Spalte1387</t>
  </si>
  <si>
    <t>Spalte1388</t>
  </si>
  <si>
    <t>Spalte1389</t>
  </si>
  <si>
    <t>Spalte1390</t>
  </si>
  <si>
    <t>Spalte1391</t>
  </si>
  <si>
    <t>Spalte1392</t>
  </si>
  <si>
    <t>Spalte1393</t>
  </si>
  <si>
    <t>Spalte1394</t>
  </si>
  <si>
    <t>Spalte1395</t>
  </si>
  <si>
    <t>Spalte1396</t>
  </si>
  <si>
    <t>Spalte1397</t>
  </si>
  <si>
    <t>Spalte1398</t>
  </si>
  <si>
    <t>Spalte1399</t>
  </si>
  <si>
    <t>Spalte1400</t>
  </si>
  <si>
    <t>Spalte1401</t>
  </si>
  <si>
    <t>Spalte1402</t>
  </si>
  <si>
    <t>Spalte1403</t>
  </si>
  <si>
    <t>Spalte1404</t>
  </si>
  <si>
    <t>Spalte1405</t>
  </si>
  <si>
    <t>Spalte1406</t>
  </si>
  <si>
    <t>Spalte1407</t>
  </si>
  <si>
    <t>Spalte1408</t>
  </si>
  <si>
    <t>Spalte1409</t>
  </si>
  <si>
    <t>Spalte1410</t>
  </si>
  <si>
    <t>Spalte1411</t>
  </si>
  <si>
    <t>Spalte1412</t>
  </si>
  <si>
    <t>Spalte1413</t>
  </si>
  <si>
    <t>Spalte1414</t>
  </si>
  <si>
    <t>Spalte1415</t>
  </si>
  <si>
    <t>Spalte1416</t>
  </si>
  <si>
    <t>Spalte1417</t>
  </si>
  <si>
    <t>Spalte1418</t>
  </si>
  <si>
    <t>Spalte1419</t>
  </si>
  <si>
    <t>Spalte1420</t>
  </si>
  <si>
    <t>Spalte1421</t>
  </si>
  <si>
    <t>Spalte1422</t>
  </si>
  <si>
    <t>Spalte1423</t>
  </si>
  <si>
    <t>Spalte1424</t>
  </si>
  <si>
    <t>Spalte1425</t>
  </si>
  <si>
    <t>Spalte1426</t>
  </si>
  <si>
    <t>Spalte1427</t>
  </si>
  <si>
    <t>Spalte1428</t>
  </si>
  <si>
    <t>Spalte1429</t>
  </si>
  <si>
    <t>Spalte1430</t>
  </si>
  <si>
    <t>Spalte1431</t>
  </si>
  <si>
    <t>Spalte1432</t>
  </si>
  <si>
    <t>Spalte1433</t>
  </si>
  <si>
    <t>Spalte1434</t>
  </si>
  <si>
    <t>Spalte1435</t>
  </si>
  <si>
    <t>Spalte1436</t>
  </si>
  <si>
    <t>Spalte1437</t>
  </si>
  <si>
    <t>Spalte1438</t>
  </si>
  <si>
    <t>Spalte1439</t>
  </si>
  <si>
    <t>Spalte1440</t>
  </si>
  <si>
    <t>Spalte1441</t>
  </si>
  <si>
    <t>Spalte1442</t>
  </si>
  <si>
    <t>Spalte1443</t>
  </si>
  <si>
    <t>Spalte1444</t>
  </si>
  <si>
    <t>Spalte1445</t>
  </si>
  <si>
    <t>Spalte1446</t>
  </si>
  <si>
    <t>Spalte1447</t>
  </si>
  <si>
    <t>Spalte1448</t>
  </si>
  <si>
    <t>Spalte1449</t>
  </si>
  <si>
    <t>Spalte1450</t>
  </si>
  <si>
    <t>Spalte1451</t>
  </si>
  <si>
    <t>Spalte1452</t>
  </si>
  <si>
    <t>Spalte1453</t>
  </si>
  <si>
    <t>Spalte1454</t>
  </si>
  <si>
    <t>Spalte1455</t>
  </si>
  <si>
    <t>Spalte1456</t>
  </si>
  <si>
    <t>Spalte1457</t>
  </si>
  <si>
    <t>Spalte1458</t>
  </si>
  <si>
    <t>Spalte1459</t>
  </si>
  <si>
    <t>Spalte1460</t>
  </si>
  <si>
    <t>Spalte1461</t>
  </si>
  <si>
    <t>Spalte1462</t>
  </si>
  <si>
    <t>Spalte1463</t>
  </si>
  <si>
    <t>Spalte1464</t>
  </si>
  <si>
    <t>Spalte1465</t>
  </si>
  <si>
    <t>Spalte1466</t>
  </si>
  <si>
    <t>Spalte1467</t>
  </si>
  <si>
    <t>Spalte1468</t>
  </si>
  <si>
    <t>Spalte1469</t>
  </si>
  <si>
    <t>Spalte1470</t>
  </si>
  <si>
    <t>Spalte1471</t>
  </si>
  <si>
    <t>Spalte1472</t>
  </si>
  <si>
    <t>Spalte1473</t>
  </si>
  <si>
    <t>Spalte1474</t>
  </si>
  <si>
    <t>Spalte1475</t>
  </si>
  <si>
    <t>Spalte1476</t>
  </si>
  <si>
    <t>Spalte1477</t>
  </si>
  <si>
    <t>Spalte1478</t>
  </si>
  <si>
    <t>Spalte1479</t>
  </si>
  <si>
    <t>Spalte1480</t>
  </si>
  <si>
    <t>Spalte1481</t>
  </si>
  <si>
    <t>Spalte1482</t>
  </si>
  <si>
    <t>Spalte1483</t>
  </si>
  <si>
    <t>Spalte1484</t>
  </si>
  <si>
    <t>Spalte1485</t>
  </si>
  <si>
    <t>Spalte1486</t>
  </si>
  <si>
    <t>Spalte1487</t>
  </si>
  <si>
    <t>Spalte1488</t>
  </si>
  <si>
    <t>Spalte1489</t>
  </si>
  <si>
    <t>Spalte1490</t>
  </si>
  <si>
    <t>Spalte1491</t>
  </si>
  <si>
    <t>Spalte1492</t>
  </si>
  <si>
    <t>Spalte1493</t>
  </si>
  <si>
    <t>Spalte1494</t>
  </si>
  <si>
    <t>Spalte1495</t>
  </si>
  <si>
    <t>Spalte1496</t>
  </si>
  <si>
    <t>Spalte1497</t>
  </si>
  <si>
    <t>Spalte1498</t>
  </si>
  <si>
    <t>Spalte1499</t>
  </si>
  <si>
    <t>Spalte1500</t>
  </si>
  <si>
    <t>Spalte1501</t>
  </si>
  <si>
    <t>Spalte1502</t>
  </si>
  <si>
    <t>Spalte1503</t>
  </si>
  <si>
    <t>Spalte1504</t>
  </si>
  <si>
    <t>Spalte1505</t>
  </si>
  <si>
    <t>Spalte1506</t>
  </si>
  <si>
    <t>Spalte1507</t>
  </si>
  <si>
    <t>Spalte1508</t>
  </si>
  <si>
    <t>Spalte1509</t>
  </si>
  <si>
    <t>Spalte1510</t>
  </si>
  <si>
    <t>Spalte1511</t>
  </si>
  <si>
    <t>Spalte1512</t>
  </si>
  <si>
    <t>Spalte1513</t>
  </si>
  <si>
    <t>Spalte1514</t>
  </si>
  <si>
    <t>Spalte1515</t>
  </si>
  <si>
    <t>Spalte1516</t>
  </si>
  <si>
    <t>Spalte1517</t>
  </si>
  <si>
    <t>Spalte1518</t>
  </si>
  <si>
    <t>Spalte1519</t>
  </si>
  <si>
    <t>Spalte1520</t>
  </si>
  <si>
    <t>Spalte1521</t>
  </si>
  <si>
    <t>Spalte1522</t>
  </si>
  <si>
    <t>Spalte1523</t>
  </si>
  <si>
    <t>Spalte1524</t>
  </si>
  <si>
    <t>Spalte1525</t>
  </si>
  <si>
    <t>Spalte1526</t>
  </si>
  <si>
    <t>Spalte1527</t>
  </si>
  <si>
    <t>Spalte1528</t>
  </si>
  <si>
    <t>Spalte1529</t>
  </si>
  <si>
    <t>Spalte1530</t>
  </si>
  <si>
    <t>Spalte1531</t>
  </si>
  <si>
    <t>Spalte1532</t>
  </si>
  <si>
    <t>Spalte1533</t>
  </si>
  <si>
    <t>Spalte1534</t>
  </si>
  <si>
    <t>Spalte1535</t>
  </si>
  <si>
    <t>Spalte1536</t>
  </si>
  <si>
    <t>Spalte1537</t>
  </si>
  <si>
    <t>Spalte1538</t>
  </si>
  <si>
    <t>Spalte1539</t>
  </si>
  <si>
    <t>Spalte1540</t>
  </si>
  <si>
    <t>Spalte1541</t>
  </si>
  <si>
    <t>Spalte1542</t>
  </si>
  <si>
    <t>Spalte1543</t>
  </si>
  <si>
    <t>Spalte1544</t>
  </si>
  <si>
    <t>Spalte1545</t>
  </si>
  <si>
    <t>Spalte1546</t>
  </si>
  <si>
    <t>Spalte1547</t>
  </si>
  <si>
    <t>Spalte1548</t>
  </si>
  <si>
    <t>Spalte1549</t>
  </si>
  <si>
    <t>Spalte1550</t>
  </si>
  <si>
    <t>Spalte1551</t>
  </si>
  <si>
    <t>Spalte1552</t>
  </si>
  <si>
    <t>Spalte1553</t>
  </si>
  <si>
    <t>Spalte1554</t>
  </si>
  <si>
    <t>Spalte1555</t>
  </si>
  <si>
    <t>Spalte1556</t>
  </si>
  <si>
    <t>Spalte1557</t>
  </si>
  <si>
    <t>Spalte1558</t>
  </si>
  <si>
    <t>Spalte1559</t>
  </si>
  <si>
    <t>Spalte1560</t>
  </si>
  <si>
    <t>Spalte1561</t>
  </si>
  <si>
    <t>Spalte1562</t>
  </si>
  <si>
    <t>Spalte1563</t>
  </si>
  <si>
    <t>Spalte1564</t>
  </si>
  <si>
    <t>Spalte1565</t>
  </si>
  <si>
    <t>Spalte1566</t>
  </si>
  <si>
    <t>Spalte1567</t>
  </si>
  <si>
    <t>Spalte1568</t>
  </si>
  <si>
    <t>Spalte1569</t>
  </si>
  <si>
    <t>Spalte1570</t>
  </si>
  <si>
    <t>Spalte1571</t>
  </si>
  <si>
    <t>Spalte1572</t>
  </si>
  <si>
    <t>Spalte1573</t>
  </si>
  <si>
    <t>Spalte1574</t>
  </si>
  <si>
    <t>Spalte1575</t>
  </si>
  <si>
    <t>Spalte1576</t>
  </si>
  <si>
    <t>Spalte1577</t>
  </si>
  <si>
    <t>Spalte1578</t>
  </si>
  <si>
    <t>Spalte1579</t>
  </si>
  <si>
    <t>Spalte1580</t>
  </si>
  <si>
    <t>Spalte1581</t>
  </si>
  <si>
    <t>Spalte1582</t>
  </si>
  <si>
    <t>Spalte1583</t>
  </si>
  <si>
    <t>Spalte1584</t>
  </si>
  <si>
    <t>Spalte1585</t>
  </si>
  <si>
    <t>Spalte1586</t>
  </si>
  <si>
    <t>Spalte1587</t>
  </si>
  <si>
    <t>Spalte1588</t>
  </si>
  <si>
    <t>Spalte1589</t>
  </si>
  <si>
    <t>Spalte1590</t>
  </si>
  <si>
    <t>Spalte1591</t>
  </si>
  <si>
    <t>Spalte1592</t>
  </si>
  <si>
    <t>Spalte1593</t>
  </si>
  <si>
    <t>Spalte1594</t>
  </si>
  <si>
    <t>Spalte1595</t>
  </si>
  <si>
    <t>Spalte1596</t>
  </si>
  <si>
    <t>Spalte1597</t>
  </si>
  <si>
    <t>Spalte1598</t>
  </si>
  <si>
    <t>Spalte1599</t>
  </si>
  <si>
    <t>Spalte1600</t>
  </si>
  <si>
    <t>Spalte1601</t>
  </si>
  <si>
    <t>Spalte1602</t>
  </si>
  <si>
    <t>Spalte1603</t>
  </si>
  <si>
    <t>Spalte1604</t>
  </si>
  <si>
    <t>Spalte1605</t>
  </si>
  <si>
    <t>Spalte1606</t>
  </si>
  <si>
    <t>Spalte1607</t>
  </si>
  <si>
    <t>Spalte1608</t>
  </si>
  <si>
    <t>Spalte1609</t>
  </si>
  <si>
    <t>Spalte1610</t>
  </si>
  <si>
    <t>Spalte1611</t>
  </si>
  <si>
    <t>Spalte1612</t>
  </si>
  <si>
    <t>Spalte1613</t>
  </si>
  <si>
    <t>Spalte1614</t>
  </si>
  <si>
    <t>Spalte1615</t>
  </si>
  <si>
    <t>Spalte1616</t>
  </si>
  <si>
    <t>Spalte1617</t>
  </si>
  <si>
    <t>Spalte1618</t>
  </si>
  <si>
    <t>Spalte1619</t>
  </si>
  <si>
    <t>Spalte1620</t>
  </si>
  <si>
    <t>Spalte1621</t>
  </si>
  <si>
    <t>Spalte1622</t>
  </si>
  <si>
    <t>Spalte1623</t>
  </si>
  <si>
    <t>Spalte1624</t>
  </si>
  <si>
    <t>Spalte1625</t>
  </si>
  <si>
    <t>Spalte1626</t>
  </si>
  <si>
    <t>Spalte1627</t>
  </si>
  <si>
    <t>Spalte1628</t>
  </si>
  <si>
    <t>Spalte1629</t>
  </si>
  <si>
    <t>Spalte1630</t>
  </si>
  <si>
    <t>Spalte1631</t>
  </si>
  <si>
    <t>Spalte1632</t>
  </si>
  <si>
    <t>Spalte1633</t>
  </si>
  <si>
    <t>Spalte1634</t>
  </si>
  <si>
    <t>Spalte1635</t>
  </si>
  <si>
    <t>Spalte1636</t>
  </si>
  <si>
    <t>Spalte1637</t>
  </si>
  <si>
    <t>Spalte1638</t>
  </si>
  <si>
    <t>Spalte1639</t>
  </si>
  <si>
    <t>Spalte1640</t>
  </si>
  <si>
    <t>Spalte1641</t>
  </si>
  <si>
    <t>Spalte1642</t>
  </si>
  <si>
    <t>Spalte1643</t>
  </si>
  <si>
    <t>Spalte1644</t>
  </si>
  <si>
    <t>Spalte1645</t>
  </si>
  <si>
    <t>Spalte1646</t>
  </si>
  <si>
    <t>Spalte1647</t>
  </si>
  <si>
    <t>Spalte1648</t>
  </si>
  <si>
    <t>Spalte1649</t>
  </si>
  <si>
    <t>Spalte1650</t>
  </si>
  <si>
    <t>Spalte1651</t>
  </si>
  <si>
    <t>Spalte1652</t>
  </si>
  <si>
    <t>Spalte1653</t>
  </si>
  <si>
    <t>Spalte1654</t>
  </si>
  <si>
    <t>Spalte1655</t>
  </si>
  <si>
    <t>Spalte1656</t>
  </si>
  <si>
    <t>Spalte1657</t>
  </si>
  <si>
    <t>Spalte1658</t>
  </si>
  <si>
    <t>Spalte1659</t>
  </si>
  <si>
    <t>Spalte1660</t>
  </si>
  <si>
    <t>Spalte1661</t>
  </si>
  <si>
    <t>Spalte1662</t>
  </si>
  <si>
    <t>Spalte1663</t>
  </si>
  <si>
    <t>Spalte1664</t>
  </si>
  <si>
    <t>Spalte1665</t>
  </si>
  <si>
    <t>Spalte1666</t>
  </si>
  <si>
    <t>Spalte1667</t>
  </si>
  <si>
    <t>Spalte1668</t>
  </si>
  <si>
    <t>Spalte1669</t>
  </si>
  <si>
    <t>Spalte1670</t>
  </si>
  <si>
    <t>Spalte1671</t>
  </si>
  <si>
    <t>Spalte1672</t>
  </si>
  <si>
    <t>Spalte1673</t>
  </si>
  <si>
    <t>Spalte1674</t>
  </si>
  <si>
    <t>Spalte1675</t>
  </si>
  <si>
    <t>Spalte1676</t>
  </si>
  <si>
    <t>Spalte1677</t>
  </si>
  <si>
    <t>Spalte1678</t>
  </si>
  <si>
    <t>Spalte1679</t>
  </si>
  <si>
    <t>Spalte1680</t>
  </si>
  <si>
    <t>Spalte1681</t>
  </si>
  <si>
    <t>Spalte1682</t>
  </si>
  <si>
    <t>Spalte1683</t>
  </si>
  <si>
    <t>Spalte1684</t>
  </si>
  <si>
    <t>Spalte1685</t>
  </si>
  <si>
    <t>Spalte1686</t>
  </si>
  <si>
    <t>Spalte1687</t>
  </si>
  <si>
    <t>Spalte1688</t>
  </si>
  <si>
    <t>Spalte1689</t>
  </si>
  <si>
    <t>Spalte1690</t>
  </si>
  <si>
    <t>Spalte1691</t>
  </si>
  <si>
    <t>Spalte1692</t>
  </si>
  <si>
    <t>Spalte1693</t>
  </si>
  <si>
    <t>Spalte1694</t>
  </si>
  <si>
    <t>Spalte1695</t>
  </si>
  <si>
    <t>Spalte1696</t>
  </si>
  <si>
    <t>Spalte1697</t>
  </si>
  <si>
    <t>Spalte1698</t>
  </si>
  <si>
    <t>Spalte1699</t>
  </si>
  <si>
    <t>Spalte1700</t>
  </si>
  <si>
    <t>Spalte1701</t>
  </si>
  <si>
    <t>Spalte1702</t>
  </si>
  <si>
    <t>Spalte1703</t>
  </si>
  <si>
    <t>Spalte1704</t>
  </si>
  <si>
    <t>Spalte1705</t>
  </si>
  <si>
    <t>Spalte1706</t>
  </si>
  <si>
    <t>Spalte1707</t>
  </si>
  <si>
    <t>Spalte1708</t>
  </si>
  <si>
    <t>Spalte1709</t>
  </si>
  <si>
    <t>Spalte1710</t>
  </si>
  <si>
    <t>Spalte1711</t>
  </si>
  <si>
    <t>Spalte1712</t>
  </si>
  <si>
    <t>Spalte1713</t>
  </si>
  <si>
    <t>Spalte1714</t>
  </si>
  <si>
    <t>Spalte1715</t>
  </si>
  <si>
    <t>Spalte1716</t>
  </si>
  <si>
    <t>Spalte1717</t>
  </si>
  <si>
    <t>Spalte1718</t>
  </si>
  <si>
    <t>Spalte1719</t>
  </si>
  <si>
    <t>Spalte1720</t>
  </si>
  <si>
    <t>Spalte1721</t>
  </si>
  <si>
    <t>Spalte1722</t>
  </si>
  <si>
    <t>Spalte1723</t>
  </si>
  <si>
    <t>Spalte1724</t>
  </si>
  <si>
    <t>Spalte1725</t>
  </si>
  <si>
    <t>Spalte1726</t>
  </si>
  <si>
    <t>Spalte1727</t>
  </si>
  <si>
    <t>Spalte1728</t>
  </si>
  <si>
    <t>Spalte1729</t>
  </si>
  <si>
    <t>Spalte1730</t>
  </si>
  <si>
    <t>Spalte1731</t>
  </si>
  <si>
    <t>Spalte1732</t>
  </si>
  <si>
    <t>Spalte1733</t>
  </si>
  <si>
    <t>Spalte1734</t>
  </si>
  <si>
    <t>Spalte1735</t>
  </si>
  <si>
    <t>Spalte1736</t>
  </si>
  <si>
    <t>Spalte1737</t>
  </si>
  <si>
    <t>Spalte1738</t>
  </si>
  <si>
    <t>Spalte1739</t>
  </si>
  <si>
    <t>Spalte1740</t>
  </si>
  <si>
    <t>Spalte1741</t>
  </si>
  <si>
    <t>Spalte1742</t>
  </si>
  <si>
    <t>Spalte1743</t>
  </si>
  <si>
    <t>Spalte1744</t>
  </si>
  <si>
    <t>Spalte1745</t>
  </si>
  <si>
    <t>Spalte1746</t>
  </si>
  <si>
    <t>Spalte1747</t>
  </si>
  <si>
    <t>Spalte1748</t>
  </si>
  <si>
    <t>Spalte1749</t>
  </si>
  <si>
    <t>Spalte1750</t>
  </si>
  <si>
    <t>Spalte1751</t>
  </si>
  <si>
    <t>Spalte1752</t>
  </si>
  <si>
    <t>Spalte1753</t>
  </si>
  <si>
    <t>Spalte1754</t>
  </si>
  <si>
    <t>Spalte1755</t>
  </si>
  <si>
    <t>Spalte1756</t>
  </si>
  <si>
    <t>Spalte1757</t>
  </si>
  <si>
    <t>Spalte1758</t>
  </si>
  <si>
    <t>Spalte1759</t>
  </si>
  <si>
    <t>Spalte1760</t>
  </si>
  <si>
    <t>Spalte1761</t>
  </si>
  <si>
    <t>Spalte1762</t>
  </si>
  <si>
    <t>Spalte1763</t>
  </si>
  <si>
    <t>Spalte1764</t>
  </si>
  <si>
    <t>Spalte1765</t>
  </si>
  <si>
    <t>Spalte1766</t>
  </si>
  <si>
    <t>Spalte1767</t>
  </si>
  <si>
    <t>Spalte1768</t>
  </si>
  <si>
    <t>Spalte1769</t>
  </si>
  <si>
    <t>Spalte1770</t>
  </si>
  <si>
    <t>Spalte1771</t>
  </si>
  <si>
    <t>Spalte1772</t>
  </si>
  <si>
    <t>Spalte1773</t>
  </si>
  <si>
    <t>Spalte1774</t>
  </si>
  <si>
    <t>Spalte1775</t>
  </si>
  <si>
    <t>Spalte1776</t>
  </si>
  <si>
    <t>Spalte1777</t>
  </si>
  <si>
    <t>Spalte1778</t>
  </si>
  <si>
    <t>Spalte1779</t>
  </si>
  <si>
    <t>Spalte1780</t>
  </si>
  <si>
    <t>Spalte1781</t>
  </si>
  <si>
    <t>Spalte1782</t>
  </si>
  <si>
    <t>Spalte1783</t>
  </si>
  <si>
    <t>Spalte1784</t>
  </si>
  <si>
    <t>Spalte1785</t>
  </si>
  <si>
    <t>Spalte1786</t>
  </si>
  <si>
    <t>Spalte1787</t>
  </si>
  <si>
    <t>Spalte1788</t>
  </si>
  <si>
    <t>Spalte1789</t>
  </si>
  <si>
    <t>Spalte1790</t>
  </si>
  <si>
    <t>Spalte1791</t>
  </si>
  <si>
    <t>Spalte1792</t>
  </si>
  <si>
    <t>Spalte1793</t>
  </si>
  <si>
    <t>Spalte1794</t>
  </si>
  <si>
    <t>Spalte1795</t>
  </si>
  <si>
    <t>Spalte1796</t>
  </si>
  <si>
    <t>Spalte1797</t>
  </si>
  <si>
    <t>Spalte1798</t>
  </si>
  <si>
    <t>Spalte1799</t>
  </si>
  <si>
    <t>Spalte1800</t>
  </si>
  <si>
    <t>Spalte1801</t>
  </si>
  <si>
    <t>Spalte1802</t>
  </si>
  <si>
    <t>Spalte1803</t>
  </si>
  <si>
    <t>Spalte1804</t>
  </si>
  <si>
    <t>Spalte1805</t>
  </si>
  <si>
    <t>Spalte1806</t>
  </si>
  <si>
    <t>Spalte1807</t>
  </si>
  <si>
    <t>Spalte1808</t>
  </si>
  <si>
    <t>Spalte1809</t>
  </si>
  <si>
    <t>Spalte1810</t>
  </si>
  <si>
    <t>Spalte1811</t>
  </si>
  <si>
    <t>Spalte1812</t>
  </si>
  <si>
    <t>Spalte1813</t>
  </si>
  <si>
    <t>Spalte1814</t>
  </si>
  <si>
    <t>Spalte1815</t>
  </si>
  <si>
    <t>Spalte1816</t>
  </si>
  <si>
    <t>Spalte1817</t>
  </si>
  <si>
    <t>Spalte1818</t>
  </si>
  <si>
    <t>Spalte1819</t>
  </si>
  <si>
    <t>Spalte1820</t>
  </si>
  <si>
    <t>Spalte1821</t>
  </si>
  <si>
    <t>Spalte1822</t>
  </si>
  <si>
    <t>Spalte1823</t>
  </si>
  <si>
    <t>Spalte1824</t>
  </si>
  <si>
    <t>Spalte1825</t>
  </si>
  <si>
    <t>Spalte1826</t>
  </si>
  <si>
    <t>Spalte1827</t>
  </si>
  <si>
    <t>Spalte1828</t>
  </si>
  <si>
    <t>Spalte1829</t>
  </si>
  <si>
    <t>Spalte1830</t>
  </si>
  <si>
    <t>Spalte1831</t>
  </si>
  <si>
    <t>Spalte1832</t>
  </si>
  <si>
    <t>Spalte1833</t>
  </si>
  <si>
    <t>Spalte1834</t>
  </si>
  <si>
    <t>Spalte1835</t>
  </si>
  <si>
    <t>Spalte1836</t>
  </si>
  <si>
    <t>Spalte1837</t>
  </si>
  <si>
    <t>Spalte1838</t>
  </si>
  <si>
    <t>Spalte1839</t>
  </si>
  <si>
    <t>Spalte1840</t>
  </si>
  <si>
    <t>Spalte1841</t>
  </si>
  <si>
    <t>Spalte1842</t>
  </si>
  <si>
    <t>Spalte1843</t>
  </si>
  <si>
    <t>Spalte1844</t>
  </si>
  <si>
    <t>Spalte1845</t>
  </si>
  <si>
    <t>Spalte1846</t>
  </si>
  <si>
    <t>Spalte1847</t>
  </si>
  <si>
    <t>Spalte1848</t>
  </si>
  <si>
    <t>Spalte1849</t>
  </si>
  <si>
    <t>Spalte1850</t>
  </si>
  <si>
    <t>Spalte1851</t>
  </si>
  <si>
    <t>Spalte1852</t>
  </si>
  <si>
    <t>Spalte1853</t>
  </si>
  <si>
    <t>Spalte1854</t>
  </si>
  <si>
    <t>Spalte1855</t>
  </si>
  <si>
    <t>Spalte1856</t>
  </si>
  <si>
    <t>Spalte1857</t>
  </si>
  <si>
    <t>Spalte1858</t>
  </si>
  <si>
    <t>Spalte1859</t>
  </si>
  <si>
    <t>Spalte1860</t>
  </si>
  <si>
    <t>Spalte1861</t>
  </si>
  <si>
    <t>Spalte1862</t>
  </si>
  <si>
    <t>Spalte1863</t>
  </si>
  <si>
    <t>Spalte1864</t>
  </si>
  <si>
    <t>Spalte1865</t>
  </si>
  <si>
    <t>Spalte1866</t>
  </si>
  <si>
    <t>Spalte1867</t>
  </si>
  <si>
    <t>Spalte1868</t>
  </si>
  <si>
    <t>Spalte1869</t>
  </si>
  <si>
    <t>Spalte1870</t>
  </si>
  <si>
    <t>Spalte1871</t>
  </si>
  <si>
    <t>Spalte1872</t>
  </si>
  <si>
    <t>Spalte1873</t>
  </si>
  <si>
    <t>Spalte1874</t>
  </si>
  <si>
    <t>Spalte1875</t>
  </si>
  <si>
    <t>Spalte1876</t>
  </si>
  <si>
    <t>Spalte1877</t>
  </si>
  <si>
    <t>Spalte1878</t>
  </si>
  <si>
    <t>Spalte1879</t>
  </si>
  <si>
    <t>Spalte1880</t>
  </si>
  <si>
    <t>Spalte1881</t>
  </si>
  <si>
    <t>Spalte1882</t>
  </si>
  <si>
    <t>Spalte1883</t>
  </si>
  <si>
    <t>Spalte1884</t>
  </si>
  <si>
    <t>Spalte1885</t>
  </si>
  <si>
    <t>Spalte1886</t>
  </si>
  <si>
    <t>Spalte1887</t>
  </si>
  <si>
    <t>Spalte1888</t>
  </si>
  <si>
    <t>Spalte1889</t>
  </si>
  <si>
    <t>Spalte1890</t>
  </si>
  <si>
    <t>Spalte1891</t>
  </si>
  <si>
    <t>Spalte1892</t>
  </si>
  <si>
    <t>Spalte1893</t>
  </si>
  <si>
    <t>Spalte1894</t>
  </si>
  <si>
    <t>Spalte1895</t>
  </si>
  <si>
    <t>Spalte1896</t>
  </si>
  <si>
    <t>Spalte1897</t>
  </si>
  <si>
    <t>Spalte1898</t>
  </si>
  <si>
    <t>Spalte1899</t>
  </si>
  <si>
    <t>Spalte1900</t>
  </si>
  <si>
    <t>Spalte1901</t>
  </si>
  <si>
    <t>Spalte1902</t>
  </si>
  <si>
    <t>Spalte1903</t>
  </si>
  <si>
    <t>Spalte1904</t>
  </si>
  <si>
    <t>Spalte1905</t>
  </si>
  <si>
    <t>Spalte1906</t>
  </si>
  <si>
    <t>Spalte1907</t>
  </si>
  <si>
    <t>Spalte1908</t>
  </si>
  <si>
    <t>Spalte1909</t>
  </si>
  <si>
    <t>Spalte1910</t>
  </si>
  <si>
    <t>Spalte1911</t>
  </si>
  <si>
    <t>Spalte1912</t>
  </si>
  <si>
    <t>Spalte1913</t>
  </si>
  <si>
    <t>Spalte1914</t>
  </si>
  <si>
    <t>Spalte1915</t>
  </si>
  <si>
    <t>Spalte1916</t>
  </si>
  <si>
    <t>Spalte1917</t>
  </si>
  <si>
    <t>Spalte1918</t>
  </si>
  <si>
    <t>Spalte1919</t>
  </si>
  <si>
    <t>Spalte1920</t>
  </si>
  <si>
    <t>Spalte1921</t>
  </si>
  <si>
    <t>Spalte1922</t>
  </si>
  <si>
    <t>Spalte1923</t>
  </si>
  <si>
    <t>Spalte1924</t>
  </si>
  <si>
    <t>Spalte1925</t>
  </si>
  <si>
    <t>Spalte1926</t>
  </si>
  <si>
    <t>Spalte1927</t>
  </si>
  <si>
    <t>Spalte1928</t>
  </si>
  <si>
    <t>Spalte1929</t>
  </si>
  <si>
    <t>Spalte1930</t>
  </si>
  <si>
    <t>Spalte1931</t>
  </si>
  <si>
    <t>Spalte1932</t>
  </si>
  <si>
    <t>Spalte1933</t>
  </si>
  <si>
    <t>Spalte1934</t>
  </si>
  <si>
    <t>Spalte1935</t>
  </si>
  <si>
    <t>Spalte1936</t>
  </si>
  <si>
    <t>Spalte1937</t>
  </si>
  <si>
    <t>Spalte1938</t>
  </si>
  <si>
    <t>Spalte1939</t>
  </si>
  <si>
    <t>Spalte1940</t>
  </si>
  <si>
    <t>Spalte1941</t>
  </si>
  <si>
    <t>Spalte1942</t>
  </si>
  <si>
    <t>Spalte1943</t>
  </si>
  <si>
    <t>Spalte1944</t>
  </si>
  <si>
    <t>Spalte1945</t>
  </si>
  <si>
    <t>Spalte1946</t>
  </si>
  <si>
    <t>Spalte1947</t>
  </si>
  <si>
    <t>Spalte1948</t>
  </si>
  <si>
    <t>Spalte1949</t>
  </si>
  <si>
    <t>Spalte1950</t>
  </si>
  <si>
    <t>Spalte1951</t>
  </si>
  <si>
    <t>Spalte1952</t>
  </si>
  <si>
    <t>Spalte1953</t>
  </si>
  <si>
    <t>Spalte1954</t>
  </si>
  <si>
    <t>Spalte1955</t>
  </si>
  <si>
    <t>Spalte1956</t>
  </si>
  <si>
    <t>Spalte1957</t>
  </si>
  <si>
    <t>Spalte1958</t>
  </si>
  <si>
    <t>Spalte1959</t>
  </si>
  <si>
    <t>Spalte1960</t>
  </si>
  <si>
    <t>Spalte1961</t>
  </si>
  <si>
    <t>Spalte1962</t>
  </si>
  <si>
    <t>Spalte1963</t>
  </si>
  <si>
    <t>Spalte1964</t>
  </si>
  <si>
    <t>Spalte1965</t>
  </si>
  <si>
    <t>Spalte1966</t>
  </si>
  <si>
    <t>Spalte1967</t>
  </si>
  <si>
    <t>Spalte1968</t>
  </si>
  <si>
    <t>Spalte1969</t>
  </si>
  <si>
    <t>Spalte1970</t>
  </si>
  <si>
    <t>Spalte1971</t>
  </si>
  <si>
    <t>Spalte1972</t>
  </si>
  <si>
    <t>Spalte1973</t>
  </si>
  <si>
    <t>Spalte1974</t>
  </si>
  <si>
    <t>Spalte1975</t>
  </si>
  <si>
    <t>Spalte1976</t>
  </si>
  <si>
    <t>Spalte1977</t>
  </si>
  <si>
    <t>Spalte1978</t>
  </si>
  <si>
    <t>Spalte1979</t>
  </si>
  <si>
    <t>Spalte1980</t>
  </si>
  <si>
    <t>Spalte1981</t>
  </si>
  <si>
    <t>Spalte1982</t>
  </si>
  <si>
    <t>Spalte1983</t>
  </si>
  <si>
    <t>Spalte1984</t>
  </si>
  <si>
    <t>Spalte1985</t>
  </si>
  <si>
    <t>Spalte1986</t>
  </si>
  <si>
    <t>Spalte1987</t>
  </si>
  <si>
    <t>Spalte1988</t>
  </si>
  <si>
    <t>Spalte1989</t>
  </si>
  <si>
    <t>Spalte1990</t>
  </si>
  <si>
    <t>Spalte1991</t>
  </si>
  <si>
    <t>Spalte1992</t>
  </si>
  <si>
    <t>Spalte1993</t>
  </si>
  <si>
    <t>Spalte1994</t>
  </si>
  <si>
    <t>Spalte1995</t>
  </si>
  <si>
    <t>Spalte1996</t>
  </si>
  <si>
    <t>Spalte1997</t>
  </si>
  <si>
    <t>Spalte1998</t>
  </si>
  <si>
    <t>Spalte1999</t>
  </si>
  <si>
    <t>Spalte2000</t>
  </si>
  <si>
    <t>Spalte2001</t>
  </si>
  <si>
    <t>Spalte2002</t>
  </si>
  <si>
    <t>Spalte2003</t>
  </si>
  <si>
    <t>Spalte2004</t>
  </si>
  <si>
    <t>Spalte2005</t>
  </si>
  <si>
    <t>Spalte2006</t>
  </si>
  <si>
    <t>Spalte2007</t>
  </si>
  <si>
    <t>Spalte2008</t>
  </si>
  <si>
    <t>Spalte2009</t>
  </si>
  <si>
    <t>Spalte2010</t>
  </si>
  <si>
    <t>Spalte2011</t>
  </si>
  <si>
    <t>Spalte2012</t>
  </si>
  <si>
    <t>Spalte2013</t>
  </si>
  <si>
    <t>Spalte2014</t>
  </si>
  <si>
    <t>Spalte2015</t>
  </si>
  <si>
    <t>Spalte2016</t>
  </si>
  <si>
    <t>Spalte2017</t>
  </si>
  <si>
    <t>Spalte2018</t>
  </si>
  <si>
    <t>Spalte2019</t>
  </si>
  <si>
    <t>Spalte2020</t>
  </si>
  <si>
    <t>Spalte2021</t>
  </si>
  <si>
    <t>Spalte2022</t>
  </si>
  <si>
    <t>Spalte2023</t>
  </si>
  <si>
    <t>Spalte2024</t>
  </si>
  <si>
    <t>Spalte2025</t>
  </si>
  <si>
    <t>Spalte2026</t>
  </si>
  <si>
    <t>Spalte2027</t>
  </si>
  <si>
    <t>Spalte2028</t>
  </si>
  <si>
    <t>Spalte2029</t>
  </si>
  <si>
    <t>Spalte2030</t>
  </si>
  <si>
    <t>Spalte2031</t>
  </si>
  <si>
    <t>Spalte2032</t>
  </si>
  <si>
    <t>Spalte2033</t>
  </si>
  <si>
    <t>Spalte2034</t>
  </si>
  <si>
    <t>Spalte2035</t>
  </si>
  <si>
    <t>Spalte2036</t>
  </si>
  <si>
    <t>Spalte2037</t>
  </si>
  <si>
    <t>Spalte2038</t>
  </si>
  <si>
    <t>Spalte2039</t>
  </si>
  <si>
    <t>Spalte2040</t>
  </si>
  <si>
    <t>Spalte2041</t>
  </si>
  <si>
    <t>Spalte2042</t>
  </si>
  <si>
    <t>Spalte2043</t>
  </si>
  <si>
    <t>Spalte2044</t>
  </si>
  <si>
    <t>Spalte2045</t>
  </si>
  <si>
    <t>Spalte2046</t>
  </si>
  <si>
    <t>Spalte2047</t>
  </si>
  <si>
    <t>Spalte2048</t>
  </si>
  <si>
    <t>Spalte2049</t>
  </si>
  <si>
    <t>Spalte2050</t>
  </si>
  <si>
    <t>Spalte2051</t>
  </si>
  <si>
    <t>Spalte2052</t>
  </si>
  <si>
    <t>Spalte2053</t>
  </si>
  <si>
    <t>Spalte2054</t>
  </si>
  <si>
    <t>Spalte2055</t>
  </si>
  <si>
    <t>Spalte2056</t>
  </si>
  <si>
    <t>Spalte2057</t>
  </si>
  <si>
    <t>Spalte2058</t>
  </si>
  <si>
    <t>Spalte2059</t>
  </si>
  <si>
    <t>Spalte2060</t>
  </si>
  <si>
    <t>Spalte2061</t>
  </si>
  <si>
    <t>Spalte2062</t>
  </si>
  <si>
    <t>Spalte2063</t>
  </si>
  <si>
    <t>Spalte2064</t>
  </si>
  <si>
    <t>Spalte2065</t>
  </si>
  <si>
    <t>Spalte2066</t>
  </si>
  <si>
    <t>Spalte2067</t>
  </si>
  <si>
    <t>Spalte2068</t>
  </si>
  <si>
    <t>Spalte2069</t>
  </si>
  <si>
    <t>Spalte2070</t>
  </si>
  <si>
    <t>Spalte2071</t>
  </si>
  <si>
    <t>Spalte2072</t>
  </si>
  <si>
    <t>Spalte2073</t>
  </si>
  <si>
    <t>Spalte2074</t>
  </si>
  <si>
    <t>Spalte2075</t>
  </si>
  <si>
    <t>Spalte2076</t>
  </si>
  <si>
    <t>Spalte2077</t>
  </si>
  <si>
    <t>Spalte2078</t>
  </si>
  <si>
    <t>Spalte2079</t>
  </si>
  <si>
    <t>Spalte2080</t>
  </si>
  <si>
    <t>Spalte2081</t>
  </si>
  <si>
    <t>Spalte2082</t>
  </si>
  <si>
    <t>Spalte2083</t>
  </si>
  <si>
    <t>Spalte2084</t>
  </si>
  <si>
    <t>Spalte2085</t>
  </si>
  <si>
    <t>Spalte2086</t>
  </si>
  <si>
    <t>Spalte2087</t>
  </si>
  <si>
    <t>Spalte2088</t>
  </si>
  <si>
    <t>Spalte2089</t>
  </si>
  <si>
    <t>Spalte2090</t>
  </si>
  <si>
    <t>Spalte2091</t>
  </si>
  <si>
    <t>Spalte2092</t>
  </si>
  <si>
    <t>Spalte2093</t>
  </si>
  <si>
    <t>Spalte2094</t>
  </si>
  <si>
    <t>Spalte2095</t>
  </si>
  <si>
    <t>Spalte2096</t>
  </si>
  <si>
    <t>Spalte2097</t>
  </si>
  <si>
    <t>Spalte2098</t>
  </si>
  <si>
    <t>Spalte2099</t>
  </si>
  <si>
    <t>Spalte2100</t>
  </si>
  <si>
    <t>Spalte2101</t>
  </si>
  <si>
    <t>Spalte2102</t>
  </si>
  <si>
    <t>Spalte2103</t>
  </si>
  <si>
    <t>Spalte2104</t>
  </si>
  <si>
    <t>Spalte2105</t>
  </si>
  <si>
    <t>Spalte2106</t>
  </si>
  <si>
    <t>Spalte2107</t>
  </si>
  <si>
    <t>Spalte2108</t>
  </si>
  <si>
    <t>Spalte2109</t>
  </si>
  <si>
    <t>Spalte2110</t>
  </si>
  <si>
    <t>Spalte2111</t>
  </si>
  <si>
    <t>Spalte2112</t>
  </si>
  <si>
    <t>Spalte2113</t>
  </si>
  <si>
    <t>Spalte2114</t>
  </si>
  <si>
    <t>Spalte2115</t>
  </si>
  <si>
    <t>Spalte2116</t>
  </si>
  <si>
    <t>Spalte2117</t>
  </si>
  <si>
    <t>Spalte2118</t>
  </si>
  <si>
    <t>Spalte2119</t>
  </si>
  <si>
    <t>Spalte2120</t>
  </si>
  <si>
    <t>Spalte2121</t>
  </si>
  <si>
    <t>Spalte2122</t>
  </si>
  <si>
    <t>Spalte2123</t>
  </si>
  <si>
    <t>Spalte2124</t>
  </si>
  <si>
    <t>Spalte2125</t>
  </si>
  <si>
    <t>Spalte2126</t>
  </si>
  <si>
    <t>Spalte2127</t>
  </si>
  <si>
    <t>Spalte2128</t>
  </si>
  <si>
    <t>Spalte2129</t>
  </si>
  <si>
    <t>Spalte2130</t>
  </si>
  <si>
    <t>Spalte2131</t>
  </si>
  <si>
    <t>Spalte2132</t>
  </si>
  <si>
    <t>Spalte2133</t>
  </si>
  <si>
    <t>Spalte2134</t>
  </si>
  <si>
    <t>Spalte2135</t>
  </si>
  <si>
    <t>Spalte2136</t>
  </si>
  <si>
    <t>Spalte2137</t>
  </si>
  <si>
    <t>Spalte2138</t>
  </si>
  <si>
    <t>Spalte2139</t>
  </si>
  <si>
    <t>Spalte2140</t>
  </si>
  <si>
    <t>Spalte2141</t>
  </si>
  <si>
    <t>Spalte2142</t>
  </si>
  <si>
    <t>Spalte2143</t>
  </si>
  <si>
    <t>Spalte2144</t>
  </si>
  <si>
    <t>Spalte2145</t>
  </si>
  <si>
    <t>Spalte2146</t>
  </si>
  <si>
    <t>Spalte2147</t>
  </si>
  <si>
    <t>Spalte2148</t>
  </si>
  <si>
    <t>Spalte2149</t>
  </si>
  <si>
    <t>Spalte2150</t>
  </si>
  <si>
    <t>Spalte2151</t>
  </si>
  <si>
    <t>Spalte2152</t>
  </si>
  <si>
    <t>Spalte2153</t>
  </si>
  <si>
    <t>Spalte2154</t>
  </si>
  <si>
    <t>Spalte2155</t>
  </si>
  <si>
    <t>Spalte2156</t>
  </si>
  <si>
    <t>Spalte2157</t>
  </si>
  <si>
    <t>Spalte2158</t>
  </si>
  <si>
    <t>Spalte2159</t>
  </si>
  <si>
    <t>Spalte2160</t>
  </si>
  <si>
    <t>Spalte2161</t>
  </si>
  <si>
    <t>Spalte2162</t>
  </si>
  <si>
    <t>Spalte2163</t>
  </si>
  <si>
    <t>Spalte2164</t>
  </si>
  <si>
    <t>Spalte2165</t>
  </si>
  <si>
    <t>Spalte2166</t>
  </si>
  <si>
    <t>Spalte2167</t>
  </si>
  <si>
    <t>Spalte2168</t>
  </si>
  <si>
    <t>Spalte2169</t>
  </si>
  <si>
    <t>Spalte2170</t>
  </si>
  <si>
    <t>Spalte2171</t>
  </si>
  <si>
    <t>Spalte2172</t>
  </si>
  <si>
    <t>Spalte2173</t>
  </si>
  <si>
    <t>Spalte2174</t>
  </si>
  <si>
    <t>Spalte2175</t>
  </si>
  <si>
    <t>Spalte2176</t>
  </si>
  <si>
    <t>Spalte2177</t>
  </si>
  <si>
    <t>Spalte2178</t>
  </si>
  <si>
    <t>Spalte2179</t>
  </si>
  <si>
    <t>Spalte2180</t>
  </si>
  <si>
    <t>Spalte2181</t>
  </si>
  <si>
    <t>Spalte2182</t>
  </si>
  <si>
    <t>Spalte2183</t>
  </si>
  <si>
    <t>Spalte2184</t>
  </si>
  <si>
    <t>Spalte2185</t>
  </si>
  <si>
    <t>Spalte2186</t>
  </si>
  <si>
    <t>Spalte2187</t>
  </si>
  <si>
    <t>Spalte2188</t>
  </si>
  <si>
    <t>Spalte2189</t>
  </si>
  <si>
    <t>Spalte2190</t>
  </si>
  <si>
    <t>Spalte2191</t>
  </si>
  <si>
    <t>Spalte2192</t>
  </si>
  <si>
    <t>Spalte2193</t>
  </si>
  <si>
    <t>Spalte2194</t>
  </si>
  <si>
    <t>Spalte2195</t>
  </si>
  <si>
    <t>Spalte2196</t>
  </si>
  <si>
    <t>Spalte2197</t>
  </si>
  <si>
    <t>Spalte2198</t>
  </si>
  <si>
    <t>Spalte2199</t>
  </si>
  <si>
    <t>Spalte2200</t>
  </si>
  <si>
    <t>Spalte2201</t>
  </si>
  <si>
    <t>Spalte2202</t>
  </si>
  <si>
    <t>Spalte2203</t>
  </si>
  <si>
    <t>Spalte2204</t>
  </si>
  <si>
    <t>Spalte2205</t>
  </si>
  <si>
    <t>Spalte2206</t>
  </si>
  <si>
    <t>Spalte2207</t>
  </si>
  <si>
    <t>Spalte2208</t>
  </si>
  <si>
    <t>Spalte2209</t>
  </si>
  <si>
    <t>Spalte2210</t>
  </si>
  <si>
    <t>Spalte2211</t>
  </si>
  <si>
    <t>Spalte2212</t>
  </si>
  <si>
    <t>Spalte2213</t>
  </si>
  <si>
    <t>Spalte2214</t>
  </si>
  <si>
    <t>Spalte2215</t>
  </si>
  <si>
    <t>Spalte2216</t>
  </si>
  <si>
    <t>Spalte2217</t>
  </si>
  <si>
    <t>Spalte2218</t>
  </si>
  <si>
    <t>Spalte2219</t>
  </si>
  <si>
    <t>Spalte2220</t>
  </si>
  <si>
    <t>Spalte2221</t>
  </si>
  <si>
    <t>Spalte2222</t>
  </si>
  <si>
    <t>Spalte2223</t>
  </si>
  <si>
    <t>Spalte2224</t>
  </si>
  <si>
    <t>Spalte2225</t>
  </si>
  <si>
    <t>Spalte2226</t>
  </si>
  <si>
    <t>Spalte2227</t>
  </si>
  <si>
    <t>Spalte2228</t>
  </si>
  <si>
    <t>Spalte2229</t>
  </si>
  <si>
    <t>Spalte2230</t>
  </si>
  <si>
    <t>Spalte2231</t>
  </si>
  <si>
    <t>Spalte2232</t>
  </si>
  <si>
    <t>Spalte2233</t>
  </si>
  <si>
    <t>Spalte2234</t>
  </si>
  <si>
    <t>Spalte2235</t>
  </si>
  <si>
    <t>Spalte2236</t>
  </si>
  <si>
    <t>Spalte2237</t>
  </si>
  <si>
    <t>Spalte2238</t>
  </si>
  <si>
    <t>Spalte2239</t>
  </si>
  <si>
    <t>Spalte2240</t>
  </si>
  <si>
    <t>Spalte2241</t>
  </si>
  <si>
    <t>Spalte2242</t>
  </si>
  <si>
    <t>Spalte2243</t>
  </si>
  <si>
    <t>Spalte2244</t>
  </si>
  <si>
    <t>Spalte2245</t>
  </si>
  <si>
    <t>Spalte2246</t>
  </si>
  <si>
    <t>Spalte2247</t>
  </si>
  <si>
    <t>Spalte2248</t>
  </si>
  <si>
    <t>Spalte2249</t>
  </si>
  <si>
    <t>Spalte2250</t>
  </si>
  <si>
    <t>Spalte2251</t>
  </si>
  <si>
    <t>Spalte2252</t>
  </si>
  <si>
    <t>Spalte2253</t>
  </si>
  <si>
    <t>Spalte2254</t>
  </si>
  <si>
    <t>Spalte2255</t>
  </si>
  <si>
    <t>Spalte2256</t>
  </si>
  <si>
    <t>Spalte2257</t>
  </si>
  <si>
    <t>Spalte2258</t>
  </si>
  <si>
    <t>Spalte2259</t>
  </si>
  <si>
    <t>Spalte2260</t>
  </si>
  <si>
    <t>Spalte2261</t>
  </si>
  <si>
    <t>Spalte2262</t>
  </si>
  <si>
    <t>Spalte2263</t>
  </si>
  <si>
    <t>Spalte2264</t>
  </si>
  <si>
    <t>Spalte2265</t>
  </si>
  <si>
    <t>Spalte2266</t>
  </si>
  <si>
    <t>Spalte2267</t>
  </si>
  <si>
    <t>Spalte2268</t>
  </si>
  <si>
    <t>Spalte2269</t>
  </si>
  <si>
    <t>Spalte2270</t>
  </si>
  <si>
    <t>Spalte2271</t>
  </si>
  <si>
    <t>Spalte2272</t>
  </si>
  <si>
    <t>Spalte2273</t>
  </si>
  <si>
    <t>Spalte2274</t>
  </si>
  <si>
    <t>Spalte2275</t>
  </si>
  <si>
    <t>Spalte2276</t>
  </si>
  <si>
    <t>Spalte2277</t>
  </si>
  <si>
    <t>Spalte2278</t>
  </si>
  <si>
    <t>Spalte2279</t>
  </si>
  <si>
    <t>Spalte2280</t>
  </si>
  <si>
    <t>Spalte2281</t>
  </si>
  <si>
    <t>Spalte2282</t>
  </si>
  <si>
    <t>Spalte2283</t>
  </si>
  <si>
    <t>Spalte2284</t>
  </si>
  <si>
    <t>Spalte2285</t>
  </si>
  <si>
    <t>Spalte2286</t>
  </si>
  <si>
    <t>Spalte2287</t>
  </si>
  <si>
    <t>Spalte2288</t>
  </si>
  <si>
    <t>Spalte2289</t>
  </si>
  <si>
    <t>Spalte2290</t>
  </si>
  <si>
    <t>Spalte2291</t>
  </si>
  <si>
    <t>Spalte2292</t>
  </si>
  <si>
    <t>Spalte2293</t>
  </si>
  <si>
    <t>Spalte2294</t>
  </si>
  <si>
    <t>Spalte2295</t>
  </si>
  <si>
    <t>Spalte2296</t>
  </si>
  <si>
    <t>Spalte2297</t>
  </si>
  <si>
    <t>Spalte2298</t>
  </si>
  <si>
    <t>Spalte2299</t>
  </si>
  <si>
    <t>Spalte2300</t>
  </si>
  <si>
    <t>Spalte2301</t>
  </si>
  <si>
    <t>Spalte2302</t>
  </si>
  <si>
    <t>Spalte2303</t>
  </si>
  <si>
    <t>Spalte2304</t>
  </si>
  <si>
    <t>Spalte2305</t>
  </si>
  <si>
    <t>Spalte2306</t>
  </si>
  <si>
    <t>Spalte2307</t>
  </si>
  <si>
    <t>Spalte2308</t>
  </si>
  <si>
    <t>Spalte2309</t>
  </si>
  <si>
    <t>Spalte2310</t>
  </si>
  <si>
    <t>Spalte2311</t>
  </si>
  <si>
    <t>Spalte2312</t>
  </si>
  <si>
    <t>Spalte2313</t>
  </si>
  <si>
    <t>Spalte2314</t>
  </si>
  <si>
    <t>Spalte2315</t>
  </si>
  <si>
    <t>Spalte2316</t>
  </si>
  <si>
    <t>Spalte2317</t>
  </si>
  <si>
    <t>Spalte2318</t>
  </si>
  <si>
    <t>Spalte2319</t>
  </si>
  <si>
    <t>Spalte2320</t>
  </si>
  <si>
    <t>Spalte2321</t>
  </si>
  <si>
    <t>Spalte2322</t>
  </si>
  <si>
    <t>Spalte2323</t>
  </si>
  <si>
    <t>Spalte2324</t>
  </si>
  <si>
    <t>Spalte2325</t>
  </si>
  <si>
    <t>Spalte2326</t>
  </si>
  <si>
    <t>Spalte2327</t>
  </si>
  <si>
    <t>Spalte2328</t>
  </si>
  <si>
    <t>Spalte2329</t>
  </si>
  <si>
    <t>Spalte2330</t>
  </si>
  <si>
    <t>Spalte2331</t>
  </si>
  <si>
    <t>Spalte2332</t>
  </si>
  <si>
    <t>Spalte2333</t>
  </si>
  <si>
    <t>Spalte2334</t>
  </si>
  <si>
    <t>Spalte2335</t>
  </si>
  <si>
    <t>Spalte2336</t>
  </si>
  <si>
    <t>Spalte2337</t>
  </si>
  <si>
    <t>Spalte2338</t>
  </si>
  <si>
    <t>Spalte2339</t>
  </si>
  <si>
    <t>Spalte2340</t>
  </si>
  <si>
    <t>Spalte2341</t>
  </si>
  <si>
    <t>Spalte2342</t>
  </si>
  <si>
    <t>Spalte2343</t>
  </si>
  <si>
    <t>Spalte2344</t>
  </si>
  <si>
    <t>Spalte2345</t>
  </si>
  <si>
    <t>Spalte2346</t>
  </si>
  <si>
    <t>Spalte2347</t>
  </si>
  <si>
    <t>Spalte2348</t>
  </si>
  <si>
    <t>Spalte2349</t>
  </si>
  <si>
    <t>Spalte2350</t>
  </si>
  <si>
    <t>Spalte2351</t>
  </si>
  <si>
    <t>Spalte2352</t>
  </si>
  <si>
    <t>Spalte2353</t>
  </si>
  <si>
    <t>Spalte2354</t>
  </si>
  <si>
    <t>Spalte2355</t>
  </si>
  <si>
    <t>Spalte2356</t>
  </si>
  <si>
    <t>Spalte2357</t>
  </si>
  <si>
    <t>Spalte2358</t>
  </si>
  <si>
    <t>Spalte2359</t>
  </si>
  <si>
    <t>Spalte2360</t>
  </si>
  <si>
    <t>Spalte2361</t>
  </si>
  <si>
    <t>Spalte2362</t>
  </si>
  <si>
    <t>Spalte2363</t>
  </si>
  <si>
    <t>Spalte2364</t>
  </si>
  <si>
    <t>Spalte2365</t>
  </si>
  <si>
    <t>Spalte2366</t>
  </si>
  <si>
    <t>Spalte2367</t>
  </si>
  <si>
    <t>Spalte2368</t>
  </si>
  <si>
    <t>Spalte2369</t>
  </si>
  <si>
    <t>Spalte2370</t>
  </si>
  <si>
    <t>Spalte2371</t>
  </si>
  <si>
    <t>Spalte2372</t>
  </si>
  <si>
    <t>Spalte2373</t>
  </si>
  <si>
    <t>Spalte2374</t>
  </si>
  <si>
    <t>Spalte2375</t>
  </si>
  <si>
    <t>Spalte2376</t>
  </si>
  <si>
    <t>Spalte2377</t>
  </si>
  <si>
    <t>Spalte2378</t>
  </si>
  <si>
    <t>Spalte2379</t>
  </si>
  <si>
    <t>Spalte2380</t>
  </si>
  <si>
    <t>Spalte2381</t>
  </si>
  <si>
    <t>Spalte2382</t>
  </si>
  <si>
    <t>Spalte2383</t>
  </si>
  <si>
    <t>Spalte2384</t>
  </si>
  <si>
    <t>Spalte2385</t>
  </si>
  <si>
    <t>Spalte2386</t>
  </si>
  <si>
    <t>Spalte2387</t>
  </si>
  <si>
    <t>Spalte2388</t>
  </si>
  <si>
    <t>Spalte2389</t>
  </si>
  <si>
    <t>Spalte2390</t>
  </si>
  <si>
    <t>Spalte2391</t>
  </si>
  <si>
    <t>Spalte2392</t>
  </si>
  <si>
    <t>Spalte2393</t>
  </si>
  <si>
    <t>Spalte2394</t>
  </si>
  <si>
    <t>Spalte2395</t>
  </si>
  <si>
    <t>Spalte2396</t>
  </si>
  <si>
    <t>Spalte2397</t>
  </si>
  <si>
    <t>Spalte2398</t>
  </si>
  <si>
    <t>Spalte2399</t>
  </si>
  <si>
    <t>Spalte2400</t>
  </si>
  <si>
    <t>Spalte2401</t>
  </si>
  <si>
    <t>Spalte2402</t>
  </si>
  <si>
    <t>Spalte2403</t>
  </si>
  <si>
    <t>Spalte2404</t>
  </si>
  <si>
    <t>Spalte2405</t>
  </si>
  <si>
    <t>Spalte2406</t>
  </si>
  <si>
    <t>Spalte2407</t>
  </si>
  <si>
    <t>Spalte2408</t>
  </si>
  <si>
    <t>Spalte2409</t>
  </si>
  <si>
    <t>Spalte2410</t>
  </si>
  <si>
    <t>Spalte2411</t>
  </si>
  <si>
    <t>Spalte2412</t>
  </si>
  <si>
    <t>Spalte2413</t>
  </si>
  <si>
    <t>Spalte2414</t>
  </si>
  <si>
    <t>Spalte2415</t>
  </si>
  <si>
    <t>Spalte2416</t>
  </si>
  <si>
    <t>Spalte2417</t>
  </si>
  <si>
    <t>Spalte2418</t>
  </si>
  <si>
    <t>Spalte2419</t>
  </si>
  <si>
    <t>Spalte2420</t>
  </si>
  <si>
    <t>Spalte2421</t>
  </si>
  <si>
    <t>Spalte2422</t>
  </si>
  <si>
    <t>Spalte2423</t>
  </si>
  <si>
    <t>Spalte2424</t>
  </si>
  <si>
    <t>Spalte2425</t>
  </si>
  <si>
    <t>Spalte2426</t>
  </si>
  <si>
    <t>Spalte2427</t>
  </si>
  <si>
    <t>Spalte2428</t>
  </si>
  <si>
    <t>Spalte2429</t>
  </si>
  <si>
    <t>Spalte2430</t>
  </si>
  <si>
    <t>Spalte2431</t>
  </si>
  <si>
    <t>Spalte2432</t>
  </si>
  <si>
    <t>Spalte2433</t>
  </si>
  <si>
    <t>Spalte2434</t>
  </si>
  <si>
    <t>Spalte2435</t>
  </si>
  <si>
    <t>Spalte2436</t>
  </si>
  <si>
    <t>Spalte2437</t>
  </si>
  <si>
    <t>Spalte2438</t>
  </si>
  <si>
    <t>Spalte2439</t>
  </si>
  <si>
    <t>Spalte2440</t>
  </si>
  <si>
    <t>Spalte2441</t>
  </si>
  <si>
    <t>Spalte2442</t>
  </si>
  <si>
    <t>Spalte2443</t>
  </si>
  <si>
    <t>Spalte2444</t>
  </si>
  <si>
    <t>Spalte2445</t>
  </si>
  <si>
    <t>Spalte2446</t>
  </si>
  <si>
    <t>Spalte2447</t>
  </si>
  <si>
    <t>Spalte2448</t>
  </si>
  <si>
    <t>Spalte2449</t>
  </si>
  <si>
    <t>Spalte2450</t>
  </si>
  <si>
    <t>Spalte2451</t>
  </si>
  <si>
    <t>Spalte2452</t>
  </si>
  <si>
    <t>Spalte2453</t>
  </si>
  <si>
    <t>Spalte2454</t>
  </si>
  <si>
    <t>Spalte2455</t>
  </si>
  <si>
    <t>Spalte2456</t>
  </si>
  <si>
    <t>Spalte2457</t>
  </si>
  <si>
    <t>Spalte2458</t>
  </si>
  <si>
    <t>Spalte2459</t>
  </si>
  <si>
    <t>Spalte2460</t>
  </si>
  <si>
    <t>Spalte2461</t>
  </si>
  <si>
    <t>Spalte2462</t>
  </si>
  <si>
    <t>Spalte2463</t>
  </si>
  <si>
    <t>Spalte2464</t>
  </si>
  <si>
    <t>Spalte2465</t>
  </si>
  <si>
    <t>Spalte2466</t>
  </si>
  <si>
    <t>Spalte2467</t>
  </si>
  <si>
    <t>Spalte2468</t>
  </si>
  <si>
    <t>Spalte2469</t>
  </si>
  <si>
    <t>Spalte2470</t>
  </si>
  <si>
    <t>Spalte2471</t>
  </si>
  <si>
    <t>Spalte2472</t>
  </si>
  <si>
    <t>Spalte2473</t>
  </si>
  <si>
    <t>Spalte2474</t>
  </si>
  <si>
    <t>Spalte2475</t>
  </si>
  <si>
    <t>Spalte2476</t>
  </si>
  <si>
    <t>Spalte2477</t>
  </si>
  <si>
    <t>Spalte2478</t>
  </si>
  <si>
    <t>Spalte2479</t>
  </si>
  <si>
    <t>Spalte2480</t>
  </si>
  <si>
    <t>Spalte2481</t>
  </si>
  <si>
    <t>Spalte2482</t>
  </si>
  <si>
    <t>Spalte2483</t>
  </si>
  <si>
    <t>Spalte2484</t>
  </si>
  <si>
    <t>Spalte2485</t>
  </si>
  <si>
    <t>Spalte2486</t>
  </si>
  <si>
    <t>Spalte2487</t>
  </si>
  <si>
    <t>Spalte2488</t>
  </si>
  <si>
    <t>Spalte2489</t>
  </si>
  <si>
    <t>Spalte2490</t>
  </si>
  <si>
    <t>Spalte2491</t>
  </si>
  <si>
    <t>Spalte2492</t>
  </si>
  <si>
    <t>Spalte2493</t>
  </si>
  <si>
    <t>Spalte2494</t>
  </si>
  <si>
    <t>Spalte2495</t>
  </si>
  <si>
    <t>Spalte2496</t>
  </si>
  <si>
    <t>Spalte2497</t>
  </si>
  <si>
    <t>Spalte2498</t>
  </si>
  <si>
    <t>Spalte2499</t>
  </si>
  <si>
    <t>Spalte2500</t>
  </si>
  <si>
    <t>Spalte2501</t>
  </si>
  <si>
    <t>Spalte2502</t>
  </si>
  <si>
    <t>Spalte2503</t>
  </si>
  <si>
    <t>Spalte2504</t>
  </si>
  <si>
    <t>Spalte2505</t>
  </si>
  <si>
    <t>Spalte2506</t>
  </si>
  <si>
    <t>Spalte2507</t>
  </si>
  <si>
    <t>Spalte2508</t>
  </si>
  <si>
    <t>Spalte2509</t>
  </si>
  <si>
    <t>Spalte2510</t>
  </si>
  <si>
    <t>Spalte2511</t>
  </si>
  <si>
    <t>Spalte2512</t>
  </si>
  <si>
    <t>Spalte2513</t>
  </si>
  <si>
    <t>Spalte2514</t>
  </si>
  <si>
    <t>Spalte2515</t>
  </si>
  <si>
    <t>Spalte2516</t>
  </si>
  <si>
    <t>Spalte2517</t>
  </si>
  <si>
    <t>Spalte2518</t>
  </si>
  <si>
    <t>Spalte2519</t>
  </si>
  <si>
    <t>Spalte2520</t>
  </si>
  <si>
    <t>Spalte2521</t>
  </si>
  <si>
    <t>Spalte2522</t>
  </si>
  <si>
    <t>Spalte2523</t>
  </si>
  <si>
    <t>Spalte2524</t>
  </si>
  <si>
    <t>Spalte2525</t>
  </si>
  <si>
    <t>Spalte2526</t>
  </si>
  <si>
    <t>Spalte2527</t>
  </si>
  <si>
    <t>Spalte2528</t>
  </si>
  <si>
    <t>Spalte2529</t>
  </si>
  <si>
    <t>Spalte2530</t>
  </si>
  <si>
    <t>Spalte2531</t>
  </si>
  <si>
    <t>Spalte2532</t>
  </si>
  <si>
    <t>Spalte2533</t>
  </si>
  <si>
    <t>Spalte2534</t>
  </si>
  <si>
    <t>Spalte2535</t>
  </si>
  <si>
    <t>Spalte2536</t>
  </si>
  <si>
    <t>Spalte2537</t>
  </si>
  <si>
    <t>Spalte2538</t>
  </si>
  <si>
    <t>Spalte2539</t>
  </si>
  <si>
    <t>Spalte2540</t>
  </si>
  <si>
    <t>Spalte2541</t>
  </si>
  <si>
    <t>Spalte2542</t>
  </si>
  <si>
    <t>Spalte2543</t>
  </si>
  <si>
    <t>Spalte2544</t>
  </si>
  <si>
    <t>Spalte2545</t>
  </si>
  <si>
    <t>Spalte2546</t>
  </si>
  <si>
    <t>Spalte2547</t>
  </si>
  <si>
    <t>Spalte2548</t>
  </si>
  <si>
    <t>Spalte2549</t>
  </si>
  <si>
    <t>Spalte2550</t>
  </si>
  <si>
    <t>Spalte2551</t>
  </si>
  <si>
    <t>Spalte2552</t>
  </si>
  <si>
    <t>Spalte2553</t>
  </si>
  <si>
    <t>Spalte2554</t>
  </si>
  <si>
    <t>Spalte2555</t>
  </si>
  <si>
    <t>Spalte2556</t>
  </si>
  <si>
    <t>Spalte2557</t>
  </si>
  <si>
    <t>Spalte2558</t>
  </si>
  <si>
    <t>Spalte2559</t>
  </si>
  <si>
    <t>Spalte2560</t>
  </si>
  <si>
    <t>Spalte2561</t>
  </si>
  <si>
    <t>Spalte2562</t>
  </si>
  <si>
    <t>Spalte2563</t>
  </si>
  <si>
    <t>Spalte2564</t>
  </si>
  <si>
    <t>Spalte2565</t>
  </si>
  <si>
    <t>Spalte2566</t>
  </si>
  <si>
    <t>Spalte2567</t>
  </si>
  <si>
    <t>Spalte2568</t>
  </si>
  <si>
    <t>Spalte2569</t>
  </si>
  <si>
    <t>Spalte2570</t>
  </si>
  <si>
    <t>Spalte2571</t>
  </si>
  <si>
    <t>Spalte2572</t>
  </si>
  <si>
    <t>Spalte2573</t>
  </si>
  <si>
    <t>Spalte2574</t>
  </si>
  <si>
    <t>Spalte2575</t>
  </si>
  <si>
    <t>Spalte2576</t>
  </si>
  <si>
    <t>Spalte2577</t>
  </si>
  <si>
    <t>Spalte2578</t>
  </si>
  <si>
    <t>Spalte2579</t>
  </si>
  <si>
    <t>Spalte2580</t>
  </si>
  <si>
    <t>Spalte2581</t>
  </si>
  <si>
    <t>Spalte2582</t>
  </si>
  <si>
    <t>Spalte2583</t>
  </si>
  <si>
    <t>Spalte2584</t>
  </si>
  <si>
    <t>Spalte2585</t>
  </si>
  <si>
    <t>Spalte2586</t>
  </si>
  <si>
    <t>Spalte2587</t>
  </si>
  <si>
    <t>Spalte2588</t>
  </si>
  <si>
    <t>Spalte2589</t>
  </si>
  <si>
    <t>Spalte2590</t>
  </si>
  <si>
    <t>Spalte2591</t>
  </si>
  <si>
    <t>Spalte2592</t>
  </si>
  <si>
    <t>Spalte2593</t>
  </si>
  <si>
    <t>Spalte2594</t>
  </si>
  <si>
    <t>Spalte2595</t>
  </si>
  <si>
    <t>Spalte2596</t>
  </si>
  <si>
    <t>Spalte2597</t>
  </si>
  <si>
    <t>Spalte2598</t>
  </si>
  <si>
    <t>Spalte2599</t>
  </si>
  <si>
    <t>Spalte2600</t>
  </si>
  <si>
    <t>Spalte2601</t>
  </si>
  <si>
    <t>Spalte2602</t>
  </si>
  <si>
    <t>Spalte2603</t>
  </si>
  <si>
    <t>Spalte2604</t>
  </si>
  <si>
    <t>Spalte2605</t>
  </si>
  <si>
    <t>Spalte2606</t>
  </si>
  <si>
    <t>Spalte2607</t>
  </si>
  <si>
    <t>Spalte2608</t>
  </si>
  <si>
    <t>Spalte2609</t>
  </si>
  <si>
    <t>Spalte2610</t>
  </si>
  <si>
    <t>Spalte2611</t>
  </si>
  <si>
    <t>Spalte2612</t>
  </si>
  <si>
    <t>Spalte2613</t>
  </si>
  <si>
    <t>Spalte2614</t>
  </si>
  <si>
    <t>Spalte2615</t>
  </si>
  <si>
    <t>Spalte2616</t>
  </si>
  <si>
    <t>Spalte2617</t>
  </si>
  <si>
    <t>Spalte2618</t>
  </si>
  <si>
    <t>Spalte2619</t>
  </si>
  <si>
    <t>Spalte2620</t>
  </si>
  <si>
    <t>Spalte2621</t>
  </si>
  <si>
    <t>Spalte2622</t>
  </si>
  <si>
    <t>Spalte2623</t>
  </si>
  <si>
    <t>Spalte2624</t>
  </si>
  <si>
    <t>Spalte2625</t>
  </si>
  <si>
    <t>Spalte2626</t>
  </si>
  <si>
    <t>Spalte2627</t>
  </si>
  <si>
    <t>Spalte2628</t>
  </si>
  <si>
    <t>Spalte2629</t>
  </si>
  <si>
    <t>Spalte2630</t>
  </si>
  <si>
    <t>Spalte2631</t>
  </si>
  <si>
    <t>Spalte2632</t>
  </si>
  <si>
    <t>Spalte2633</t>
  </si>
  <si>
    <t>Spalte2634</t>
  </si>
  <si>
    <t>Spalte2635</t>
  </si>
  <si>
    <t>Spalte2636</t>
  </si>
  <si>
    <t>Spalte2637</t>
  </si>
  <si>
    <t>Spalte2638</t>
  </si>
  <si>
    <t>Spalte2639</t>
  </si>
  <si>
    <t>Spalte2640</t>
  </si>
  <si>
    <t>Spalte2641</t>
  </si>
  <si>
    <t>Spalte2642</t>
  </si>
  <si>
    <t>Spalte2643</t>
  </si>
  <si>
    <t>Spalte2644</t>
  </si>
  <si>
    <t>Spalte2645</t>
  </si>
  <si>
    <t>Spalte2646</t>
  </si>
  <si>
    <t>Spalte2647</t>
  </si>
  <si>
    <t>Spalte2648</t>
  </si>
  <si>
    <t>Spalte2649</t>
  </si>
  <si>
    <t>Spalte2650</t>
  </si>
  <si>
    <t>Spalte2651</t>
  </si>
  <si>
    <t>Spalte2652</t>
  </si>
  <si>
    <t>Spalte2653</t>
  </si>
  <si>
    <t>Spalte2654</t>
  </si>
  <si>
    <t>Spalte2655</t>
  </si>
  <si>
    <t>Spalte2656</t>
  </si>
  <si>
    <t>Spalte2657</t>
  </si>
  <si>
    <t>Spalte2658</t>
  </si>
  <si>
    <t>Spalte2659</t>
  </si>
  <si>
    <t>Spalte2660</t>
  </si>
  <si>
    <t>Spalte2661</t>
  </si>
  <si>
    <t>Spalte2662</t>
  </si>
  <si>
    <t>Spalte2663</t>
  </si>
  <si>
    <t>Spalte2664</t>
  </si>
  <si>
    <t>Spalte2665</t>
  </si>
  <si>
    <t>Spalte2666</t>
  </si>
  <si>
    <t>Spalte2667</t>
  </si>
  <si>
    <t>Spalte2668</t>
  </si>
  <si>
    <t>Spalte2669</t>
  </si>
  <si>
    <t>Spalte2670</t>
  </si>
  <si>
    <t>Spalte2671</t>
  </si>
  <si>
    <t>Spalte2672</t>
  </si>
  <si>
    <t>Spalte2673</t>
  </si>
  <si>
    <t>Spalte2674</t>
  </si>
  <si>
    <t>Spalte2675</t>
  </si>
  <si>
    <t>Spalte2676</t>
  </si>
  <si>
    <t>Spalte2677</t>
  </si>
  <si>
    <t>Spalte2678</t>
  </si>
  <si>
    <t>Spalte2679</t>
  </si>
  <si>
    <t>Spalte2680</t>
  </si>
  <si>
    <t>Spalte2681</t>
  </si>
  <si>
    <t>Spalte2682</t>
  </si>
  <si>
    <t>Spalte2683</t>
  </si>
  <si>
    <t>Spalte2684</t>
  </si>
  <si>
    <t>Spalte2685</t>
  </si>
  <si>
    <t>Spalte2686</t>
  </si>
  <si>
    <t>Spalte2687</t>
  </si>
  <si>
    <t>Spalte2688</t>
  </si>
  <si>
    <t>Spalte2689</t>
  </si>
  <si>
    <t>Spalte2690</t>
  </si>
  <si>
    <t>Spalte2691</t>
  </si>
  <si>
    <t>Spalte2692</t>
  </si>
  <si>
    <t>Spalte2693</t>
  </si>
  <si>
    <t>Spalte2694</t>
  </si>
  <si>
    <t>Spalte2695</t>
  </si>
  <si>
    <t>Spalte2696</t>
  </si>
  <si>
    <t>Spalte2697</t>
  </si>
  <si>
    <t>Spalte2698</t>
  </si>
  <si>
    <t>Spalte2699</t>
  </si>
  <si>
    <t>Spalte2700</t>
  </si>
  <si>
    <t>Spalte2701</t>
  </si>
  <si>
    <t>Spalte2702</t>
  </si>
  <si>
    <t>Spalte2703</t>
  </si>
  <si>
    <t>Spalte2704</t>
  </si>
  <si>
    <t>Spalte2705</t>
  </si>
  <si>
    <t>Spalte2706</t>
  </si>
  <si>
    <t>Spalte2707</t>
  </si>
  <si>
    <t>Spalte2708</t>
  </si>
  <si>
    <t>Spalte2709</t>
  </si>
  <si>
    <t>Spalte2710</t>
  </si>
  <si>
    <t>Spalte2711</t>
  </si>
  <si>
    <t>Spalte2712</t>
  </si>
  <si>
    <t>Spalte2713</t>
  </si>
  <si>
    <t>Spalte2714</t>
  </si>
  <si>
    <t>Spalte2715</t>
  </si>
  <si>
    <t>Spalte2716</t>
  </si>
  <si>
    <t>Spalte2717</t>
  </si>
  <si>
    <t>Spalte2718</t>
  </si>
  <si>
    <t>Spalte2719</t>
  </si>
  <si>
    <t>Spalte2720</t>
  </si>
  <si>
    <t>Spalte2721</t>
  </si>
  <si>
    <t>Spalte2722</t>
  </si>
  <si>
    <t>Spalte2723</t>
  </si>
  <si>
    <t>Spalte2724</t>
  </si>
  <si>
    <t>Spalte2725</t>
  </si>
  <si>
    <t>Spalte2726</t>
  </si>
  <si>
    <t>Spalte2727</t>
  </si>
  <si>
    <t>Spalte2728</t>
  </si>
  <si>
    <t>Spalte2729</t>
  </si>
  <si>
    <t>Spalte2730</t>
  </si>
  <si>
    <t>Spalte2731</t>
  </si>
  <si>
    <t>Spalte2732</t>
  </si>
  <si>
    <t>Spalte2733</t>
  </si>
  <si>
    <t>Spalte2734</t>
  </si>
  <si>
    <t>Spalte2735</t>
  </si>
  <si>
    <t>Spalte2736</t>
  </si>
  <si>
    <t>Spalte2737</t>
  </si>
  <si>
    <t>Spalte2738</t>
  </si>
  <si>
    <t>Spalte2739</t>
  </si>
  <si>
    <t>Spalte2740</t>
  </si>
  <si>
    <t>Spalte2741</t>
  </si>
  <si>
    <t>Spalte2742</t>
  </si>
  <si>
    <t>Spalte2743</t>
  </si>
  <si>
    <t>Spalte2744</t>
  </si>
  <si>
    <t>Spalte2745</t>
  </si>
  <si>
    <t>Spalte2746</t>
  </si>
  <si>
    <t>Spalte2747</t>
  </si>
  <si>
    <t>Spalte2748</t>
  </si>
  <si>
    <t>Spalte2749</t>
  </si>
  <si>
    <t>Spalte2750</t>
  </si>
  <si>
    <t>Spalte2751</t>
  </si>
  <si>
    <t>Spalte2752</t>
  </si>
  <si>
    <t>Spalte2753</t>
  </si>
  <si>
    <t>Spalte2754</t>
  </si>
  <si>
    <t>Spalte2755</t>
  </si>
  <si>
    <t>Spalte2756</t>
  </si>
  <si>
    <t>Spalte2757</t>
  </si>
  <si>
    <t>Spalte2758</t>
  </si>
  <si>
    <t>Spalte2759</t>
  </si>
  <si>
    <t>Spalte2760</t>
  </si>
  <si>
    <t>Spalte2761</t>
  </si>
  <si>
    <t>Spalte2762</t>
  </si>
  <si>
    <t>Spalte2763</t>
  </si>
  <si>
    <t>Spalte2764</t>
  </si>
  <si>
    <t>Spalte2765</t>
  </si>
  <si>
    <t>Spalte2766</t>
  </si>
  <si>
    <t>Spalte2767</t>
  </si>
  <si>
    <t>Spalte2768</t>
  </si>
  <si>
    <t>Spalte2769</t>
  </si>
  <si>
    <t>Spalte2770</t>
  </si>
  <si>
    <t>Spalte2771</t>
  </si>
  <si>
    <t>Spalte2772</t>
  </si>
  <si>
    <t>Spalte2773</t>
  </si>
  <si>
    <t>Spalte2774</t>
  </si>
  <si>
    <t>Spalte2775</t>
  </si>
  <si>
    <t>Spalte2776</t>
  </si>
  <si>
    <t>Spalte2777</t>
  </si>
  <si>
    <t>Spalte2778</t>
  </si>
  <si>
    <t>Spalte2779</t>
  </si>
  <si>
    <t>Spalte2780</t>
  </si>
  <si>
    <t>Spalte2781</t>
  </si>
  <si>
    <t>Spalte2782</t>
  </si>
  <si>
    <t>Spalte2783</t>
  </si>
  <si>
    <t>Spalte2784</t>
  </si>
  <si>
    <t>Spalte2785</t>
  </si>
  <si>
    <t>Spalte2786</t>
  </si>
  <si>
    <t>Spalte2787</t>
  </si>
  <si>
    <t>Spalte2788</t>
  </si>
  <si>
    <t>Spalte2789</t>
  </si>
  <si>
    <t>Spalte2790</t>
  </si>
  <si>
    <t>Spalte2791</t>
  </si>
  <si>
    <t>Spalte2792</t>
  </si>
  <si>
    <t>Spalte2793</t>
  </si>
  <si>
    <t>Spalte2794</t>
  </si>
  <si>
    <t>Spalte2795</t>
  </si>
  <si>
    <t>Spalte2796</t>
  </si>
  <si>
    <t>Spalte2797</t>
  </si>
  <si>
    <t>Spalte2798</t>
  </si>
  <si>
    <t>Spalte2799</t>
  </si>
  <si>
    <t>Spalte2800</t>
  </si>
  <si>
    <t>Spalte2801</t>
  </si>
  <si>
    <t>Spalte2802</t>
  </si>
  <si>
    <t>Spalte2803</t>
  </si>
  <si>
    <t>Spalte2804</t>
  </si>
  <si>
    <t>Spalte2805</t>
  </si>
  <si>
    <t>Spalte2806</t>
  </si>
  <si>
    <t>Spalte2807</t>
  </si>
  <si>
    <t>Spalte2808</t>
  </si>
  <si>
    <t>Spalte2809</t>
  </si>
  <si>
    <t>Spalte2810</t>
  </si>
  <si>
    <t>Spalte2811</t>
  </si>
  <si>
    <t>Spalte2812</t>
  </si>
  <si>
    <t>Spalte2813</t>
  </si>
  <si>
    <t>Spalte2814</t>
  </si>
  <si>
    <t>Spalte2815</t>
  </si>
  <si>
    <t>Spalte2816</t>
  </si>
  <si>
    <t>Spalte2817</t>
  </si>
  <si>
    <t>Spalte2818</t>
  </si>
  <si>
    <t>Spalte2819</t>
  </si>
  <si>
    <t>Spalte2820</t>
  </si>
  <si>
    <t>Spalte2821</t>
  </si>
  <si>
    <t>Spalte2822</t>
  </si>
  <si>
    <t>Spalte2823</t>
  </si>
  <si>
    <t>Spalte2824</t>
  </si>
  <si>
    <t>Spalte2825</t>
  </si>
  <si>
    <t>Spalte2826</t>
  </si>
  <si>
    <t>Spalte2827</t>
  </si>
  <si>
    <t>Spalte2828</t>
  </si>
  <si>
    <t>Spalte2829</t>
  </si>
  <si>
    <t>Spalte2830</t>
  </si>
  <si>
    <t>Spalte2831</t>
  </si>
  <si>
    <t>Spalte2832</t>
  </si>
  <si>
    <t>Spalte2833</t>
  </si>
  <si>
    <t>Spalte2834</t>
  </si>
  <si>
    <t>Spalte2835</t>
  </si>
  <si>
    <t>Spalte2836</t>
  </si>
  <si>
    <t>Spalte2837</t>
  </si>
  <si>
    <t>Spalte2838</t>
  </si>
  <si>
    <t>Spalte2839</t>
  </si>
  <si>
    <t>Spalte2840</t>
  </si>
  <si>
    <t>Spalte2841</t>
  </si>
  <si>
    <t>Spalte2842</t>
  </si>
  <si>
    <t>Spalte2843</t>
  </si>
  <si>
    <t>Spalte2844</t>
  </si>
  <si>
    <t>Spalte2845</t>
  </si>
  <si>
    <t>Spalte2846</t>
  </si>
  <si>
    <t>Spalte2847</t>
  </si>
  <si>
    <t>Spalte2848</t>
  </si>
  <si>
    <t>Spalte2849</t>
  </si>
  <si>
    <t>Spalte2850</t>
  </si>
  <si>
    <t>Spalte2851</t>
  </si>
  <si>
    <t>Spalte2852</t>
  </si>
  <si>
    <t>Spalte2853</t>
  </si>
  <si>
    <t>Spalte2854</t>
  </si>
  <si>
    <t>Spalte2855</t>
  </si>
  <si>
    <t>Spalte2856</t>
  </si>
  <si>
    <t>Spalte2857</t>
  </si>
  <si>
    <t>Spalte2858</t>
  </si>
  <si>
    <t>Spalte2859</t>
  </si>
  <si>
    <t>Spalte2860</t>
  </si>
  <si>
    <t>Spalte2861</t>
  </si>
  <si>
    <t>Spalte2862</t>
  </si>
  <si>
    <t>Spalte2863</t>
  </si>
  <si>
    <t>Spalte2864</t>
  </si>
  <si>
    <t>Spalte2865</t>
  </si>
  <si>
    <t>Spalte2866</t>
  </si>
  <si>
    <t>Spalte2867</t>
  </si>
  <si>
    <t>Spalte2868</t>
  </si>
  <si>
    <t>Spalte2869</t>
  </si>
  <si>
    <t>Spalte2870</t>
  </si>
  <si>
    <t>Spalte2871</t>
  </si>
  <si>
    <t>Spalte2872</t>
  </si>
  <si>
    <t>Spalte2873</t>
  </si>
  <si>
    <t>Spalte2874</t>
  </si>
  <si>
    <t>Spalte2875</t>
  </si>
  <si>
    <t>Spalte2876</t>
  </si>
  <si>
    <t>Spalte2877</t>
  </si>
  <si>
    <t>Spalte2878</t>
  </si>
  <si>
    <t>Spalte2879</t>
  </si>
  <si>
    <t>Spalte2880</t>
  </si>
  <si>
    <t>Spalte2881</t>
  </si>
  <si>
    <t>Spalte2882</t>
  </si>
  <si>
    <t>Spalte2883</t>
  </si>
  <si>
    <t>Spalte2884</t>
  </si>
  <si>
    <t>Spalte2885</t>
  </si>
  <si>
    <t>Spalte2886</t>
  </si>
  <si>
    <t>Spalte2887</t>
  </si>
  <si>
    <t>Spalte2888</t>
  </si>
  <si>
    <t>Spalte2889</t>
  </si>
  <si>
    <t>Spalte2890</t>
  </si>
  <si>
    <t>Spalte2891</t>
  </si>
  <si>
    <t>Spalte2892</t>
  </si>
  <si>
    <t>Spalte2893</t>
  </si>
  <si>
    <t>Spalte2894</t>
  </si>
  <si>
    <t>Spalte2895</t>
  </si>
  <si>
    <t>Spalte2896</t>
  </si>
  <si>
    <t>Spalte2897</t>
  </si>
  <si>
    <t>Spalte2898</t>
  </si>
  <si>
    <t>Spalte2899</t>
  </si>
  <si>
    <t>Spalte2900</t>
  </si>
  <si>
    <t>Spalte2901</t>
  </si>
  <si>
    <t>Spalte2902</t>
  </si>
  <si>
    <t>Spalte2903</t>
  </si>
  <si>
    <t>Spalte2904</t>
  </si>
  <si>
    <t>Spalte2905</t>
  </si>
  <si>
    <t>Spalte2906</t>
  </si>
  <si>
    <t>Spalte2907</t>
  </si>
  <si>
    <t>Spalte2908</t>
  </si>
  <si>
    <t>Spalte2909</t>
  </si>
  <si>
    <t>Spalte2910</t>
  </si>
  <si>
    <t>Spalte2911</t>
  </si>
  <si>
    <t>Spalte2912</t>
  </si>
  <si>
    <t>Spalte2913</t>
  </si>
  <si>
    <t>Spalte2914</t>
  </si>
  <si>
    <t>Spalte2915</t>
  </si>
  <si>
    <t>Spalte2916</t>
  </si>
  <si>
    <t>Spalte2917</t>
  </si>
  <si>
    <t>Spalte2918</t>
  </si>
  <si>
    <t>Spalte2919</t>
  </si>
  <si>
    <t>Spalte2920</t>
  </si>
  <si>
    <t>Spalte2921</t>
  </si>
  <si>
    <t>Spalte2922</t>
  </si>
  <si>
    <t>Spalte2923</t>
  </si>
  <si>
    <t>Spalte2924</t>
  </si>
  <si>
    <t>Spalte2925</t>
  </si>
  <si>
    <t>Spalte2926</t>
  </si>
  <si>
    <t>Spalte2927</t>
  </si>
  <si>
    <t>Spalte2928</t>
  </si>
  <si>
    <t>Spalte2929</t>
  </si>
  <si>
    <t>Spalte2930</t>
  </si>
  <si>
    <t>Spalte2931</t>
  </si>
  <si>
    <t>Spalte2932</t>
  </si>
  <si>
    <t>Spalte2933</t>
  </si>
  <si>
    <t>Spalte2934</t>
  </si>
  <si>
    <t>Spalte2935</t>
  </si>
  <si>
    <t>Spalte2936</t>
  </si>
  <si>
    <t>Spalte2937</t>
  </si>
  <si>
    <t>Spalte2938</t>
  </si>
  <si>
    <t>Spalte2939</t>
  </si>
  <si>
    <t>Spalte2940</t>
  </si>
  <si>
    <t>Spalte2941</t>
  </si>
  <si>
    <t>Spalte2942</t>
  </si>
  <si>
    <t>Spalte2943</t>
  </si>
  <si>
    <t>Spalte2944</t>
  </si>
  <si>
    <t>Spalte2945</t>
  </si>
  <si>
    <t>Spalte2946</t>
  </si>
  <si>
    <t>Spalte2947</t>
  </si>
  <si>
    <t>Spalte2948</t>
  </si>
  <si>
    <t>Spalte2949</t>
  </si>
  <si>
    <t>Spalte2950</t>
  </si>
  <si>
    <t>Spalte2951</t>
  </si>
  <si>
    <t>Spalte2952</t>
  </si>
  <si>
    <t>Spalte2953</t>
  </si>
  <si>
    <t>Spalte2954</t>
  </si>
  <si>
    <t>Spalte2955</t>
  </si>
  <si>
    <t>Spalte2956</t>
  </si>
  <si>
    <t>Spalte2957</t>
  </si>
  <si>
    <t>Spalte2958</t>
  </si>
  <si>
    <t>Spalte2959</t>
  </si>
  <si>
    <t>Spalte2960</t>
  </si>
  <si>
    <t>Spalte2961</t>
  </si>
  <si>
    <t>Spalte2962</t>
  </si>
  <si>
    <t>Spalte2963</t>
  </si>
  <si>
    <t>Spalte2964</t>
  </si>
  <si>
    <t>Spalte2965</t>
  </si>
  <si>
    <t>Spalte2966</t>
  </si>
  <si>
    <t>Spalte2967</t>
  </si>
  <si>
    <t>Spalte2968</t>
  </si>
  <si>
    <t>Spalte2969</t>
  </si>
  <si>
    <t>Spalte2970</t>
  </si>
  <si>
    <t>Spalte2971</t>
  </si>
  <si>
    <t>Spalte2972</t>
  </si>
  <si>
    <t>Spalte2973</t>
  </si>
  <si>
    <t>Spalte2974</t>
  </si>
  <si>
    <t>Spalte2975</t>
  </si>
  <si>
    <t>Spalte2976</t>
  </si>
  <si>
    <t>Spalte2977</t>
  </si>
  <si>
    <t>Spalte2978</t>
  </si>
  <si>
    <t>Spalte2979</t>
  </si>
  <si>
    <t>Spalte2980</t>
  </si>
  <si>
    <t>Spalte2981</t>
  </si>
  <si>
    <t>Spalte2982</t>
  </si>
  <si>
    <t>Spalte2983</t>
  </si>
  <si>
    <t>Spalte2984</t>
  </si>
  <si>
    <t>Spalte2985</t>
  </si>
  <si>
    <t>Spalte2986</t>
  </si>
  <si>
    <t>Spalte2987</t>
  </si>
  <si>
    <t>Spalte2988</t>
  </si>
  <si>
    <t>Spalte2989</t>
  </si>
  <si>
    <t>Spalte2990</t>
  </si>
  <si>
    <t>Spalte2991</t>
  </si>
  <si>
    <t>Spalte2992</t>
  </si>
  <si>
    <t>Spalte2993</t>
  </si>
  <si>
    <t>Spalte2994</t>
  </si>
  <si>
    <t>Spalte2995</t>
  </si>
  <si>
    <t>Spalte2996</t>
  </si>
  <si>
    <t>Spalte2997</t>
  </si>
  <si>
    <t>Spalte2998</t>
  </si>
  <si>
    <t>Spalte2999</t>
  </si>
  <si>
    <t>Spalte3000</t>
  </si>
  <si>
    <t>Spalte3001</t>
  </si>
  <si>
    <t>Spalte3002</t>
  </si>
  <si>
    <t>Spalte3003</t>
  </si>
  <si>
    <t>Spalte3004</t>
  </si>
  <si>
    <t>Spalte3005</t>
  </si>
  <si>
    <t>Spalte3006</t>
  </si>
  <si>
    <t>Spalte3007</t>
  </si>
  <si>
    <t>Spalte3008</t>
  </si>
  <si>
    <t>Spalte3009</t>
  </si>
  <si>
    <t>Spalte3010</t>
  </si>
  <si>
    <t>Spalte3011</t>
  </si>
  <si>
    <t>Spalte3012</t>
  </si>
  <si>
    <t>Spalte3013</t>
  </si>
  <si>
    <t>Spalte3014</t>
  </si>
  <si>
    <t>Spalte3015</t>
  </si>
  <si>
    <t>Spalte3016</t>
  </si>
  <si>
    <t>Spalte3017</t>
  </si>
  <si>
    <t>Spalte3018</t>
  </si>
  <si>
    <t>Spalte3019</t>
  </si>
  <si>
    <t>Spalte3020</t>
  </si>
  <si>
    <t>Spalte3021</t>
  </si>
  <si>
    <t>Spalte3022</t>
  </si>
  <si>
    <t>Spalte3023</t>
  </si>
  <si>
    <t>Spalte3024</t>
  </si>
  <si>
    <t>Spalte3025</t>
  </si>
  <si>
    <t>Spalte3026</t>
  </si>
  <si>
    <t>Spalte3027</t>
  </si>
  <si>
    <t>Spalte3028</t>
  </si>
  <si>
    <t>Spalte3029</t>
  </si>
  <si>
    <t>Spalte3030</t>
  </si>
  <si>
    <t>Spalte3031</t>
  </si>
  <si>
    <t>Spalte3032</t>
  </si>
  <si>
    <t>Spalte3033</t>
  </si>
  <si>
    <t>Spalte3034</t>
  </si>
  <si>
    <t>Spalte3035</t>
  </si>
  <si>
    <t>Spalte3036</t>
  </si>
  <si>
    <t>Spalte3037</t>
  </si>
  <si>
    <t>Spalte3038</t>
  </si>
  <si>
    <t>Spalte3039</t>
  </si>
  <si>
    <t>Spalte3040</t>
  </si>
  <si>
    <t>Spalte3041</t>
  </si>
  <si>
    <t>Spalte3042</t>
  </si>
  <si>
    <t>Spalte3043</t>
  </si>
  <si>
    <t>Spalte3044</t>
  </si>
  <si>
    <t>Spalte3045</t>
  </si>
  <si>
    <t>Spalte3046</t>
  </si>
  <si>
    <t>Spalte3047</t>
  </si>
  <si>
    <t>Spalte3048</t>
  </si>
  <si>
    <t>Spalte3049</t>
  </si>
  <si>
    <t>Spalte3050</t>
  </si>
  <si>
    <t>Spalte3051</t>
  </si>
  <si>
    <t>Spalte3052</t>
  </si>
  <si>
    <t>Spalte3053</t>
  </si>
  <si>
    <t>Spalte3054</t>
  </si>
  <si>
    <t>Spalte3055</t>
  </si>
  <si>
    <t>Spalte3056</t>
  </si>
  <si>
    <t>Spalte3057</t>
  </si>
  <si>
    <t>Spalte3058</t>
  </si>
  <si>
    <t>Spalte3059</t>
  </si>
  <si>
    <t>Spalte3060</t>
  </si>
  <si>
    <t>Spalte3061</t>
  </si>
  <si>
    <t>Spalte3062</t>
  </si>
  <si>
    <t>Spalte3063</t>
  </si>
  <si>
    <t>Spalte3064</t>
  </si>
  <si>
    <t>Spalte3065</t>
  </si>
  <si>
    <t>Spalte3066</t>
  </si>
  <si>
    <t>Spalte3067</t>
  </si>
  <si>
    <t>Spalte3068</t>
  </si>
  <si>
    <t>Spalte3069</t>
  </si>
  <si>
    <t>Spalte3070</t>
  </si>
  <si>
    <t>Spalte3071</t>
  </si>
  <si>
    <t>Spalte3072</t>
  </si>
  <si>
    <t>Spalte3073</t>
  </si>
  <si>
    <t>Spalte3074</t>
  </si>
  <si>
    <t>Spalte3075</t>
  </si>
  <si>
    <t>Spalte3076</t>
  </si>
  <si>
    <t>Spalte3077</t>
  </si>
  <si>
    <t>Spalte3078</t>
  </si>
  <si>
    <t>Spalte3079</t>
  </si>
  <si>
    <t>Spalte3080</t>
  </si>
  <si>
    <t>Spalte3081</t>
  </si>
  <si>
    <t>Spalte3082</t>
  </si>
  <si>
    <t>Spalte3083</t>
  </si>
  <si>
    <t>Spalte3084</t>
  </si>
  <si>
    <t>Spalte3085</t>
  </si>
  <si>
    <t>Spalte3086</t>
  </si>
  <si>
    <t>Spalte3087</t>
  </si>
  <si>
    <t>Spalte3088</t>
  </si>
  <si>
    <t>Spalte3089</t>
  </si>
  <si>
    <t>Spalte3090</t>
  </si>
  <si>
    <t>Spalte3091</t>
  </si>
  <si>
    <t>Spalte3092</t>
  </si>
  <si>
    <t>Spalte3093</t>
  </si>
  <si>
    <t>Spalte3094</t>
  </si>
  <si>
    <t>Spalte3095</t>
  </si>
  <si>
    <t>Spalte3096</t>
  </si>
  <si>
    <t>Spalte3097</t>
  </si>
  <si>
    <t>Spalte3098</t>
  </si>
  <si>
    <t>Spalte3099</t>
  </si>
  <si>
    <t>Spalte3100</t>
  </si>
  <si>
    <t>Spalte3101</t>
  </si>
  <si>
    <t>Spalte3102</t>
  </si>
  <si>
    <t>Spalte3103</t>
  </si>
  <si>
    <t>Spalte3104</t>
  </si>
  <si>
    <t>Spalte3105</t>
  </si>
  <si>
    <t>Spalte3106</t>
  </si>
  <si>
    <t>Spalte3107</t>
  </si>
  <si>
    <t>Spalte3108</t>
  </si>
  <si>
    <t>Spalte3109</t>
  </si>
  <si>
    <t>Spalte3110</t>
  </si>
  <si>
    <t>Spalte3111</t>
  </si>
  <si>
    <t>Spalte3112</t>
  </si>
  <si>
    <t>Spalte3113</t>
  </si>
  <si>
    <t>Spalte3114</t>
  </si>
  <si>
    <t>Spalte3115</t>
  </si>
  <si>
    <t>Spalte3116</t>
  </si>
  <si>
    <t>Spalte3117</t>
  </si>
  <si>
    <t>Spalte3118</t>
  </si>
  <si>
    <t>Spalte3119</t>
  </si>
  <si>
    <t>Spalte3120</t>
  </si>
  <si>
    <t>Spalte3121</t>
  </si>
  <si>
    <t>Spalte3122</t>
  </si>
  <si>
    <t>Spalte3123</t>
  </si>
  <si>
    <t>Spalte3124</t>
  </si>
  <si>
    <t>Spalte3125</t>
  </si>
  <si>
    <t>Spalte3126</t>
  </si>
  <si>
    <t>Spalte3127</t>
  </si>
  <si>
    <t>Spalte3128</t>
  </si>
  <si>
    <t>Spalte3129</t>
  </si>
  <si>
    <t>Spalte3130</t>
  </si>
  <si>
    <t>Spalte3131</t>
  </si>
  <si>
    <t>Spalte3132</t>
  </si>
  <si>
    <t>Spalte3133</t>
  </si>
  <si>
    <t>Spalte3134</t>
  </si>
  <si>
    <t>Spalte3135</t>
  </si>
  <si>
    <t>Spalte3136</t>
  </si>
  <si>
    <t>Spalte3137</t>
  </si>
  <si>
    <t>Spalte3138</t>
  </si>
  <si>
    <t>Spalte3139</t>
  </si>
  <si>
    <t>Spalte3140</t>
  </si>
  <si>
    <t>Spalte3141</t>
  </si>
  <si>
    <t>Spalte3142</t>
  </si>
  <si>
    <t>Spalte3143</t>
  </si>
  <si>
    <t>Spalte3144</t>
  </si>
  <si>
    <t>Spalte3145</t>
  </si>
  <si>
    <t>Spalte3146</t>
  </si>
  <si>
    <t>Spalte3147</t>
  </si>
  <si>
    <t>Spalte3148</t>
  </si>
  <si>
    <t>Spalte3149</t>
  </si>
  <si>
    <t>Spalte3150</t>
  </si>
  <si>
    <t>Spalte3151</t>
  </si>
  <si>
    <t>Spalte3152</t>
  </si>
  <si>
    <t>Spalte3153</t>
  </si>
  <si>
    <t>Spalte3154</t>
  </si>
  <si>
    <t>Spalte3155</t>
  </si>
  <si>
    <t>Spalte3156</t>
  </si>
  <si>
    <t>Spalte3157</t>
  </si>
  <si>
    <t>Spalte3158</t>
  </si>
  <si>
    <t>Spalte3159</t>
  </si>
  <si>
    <t>Spalte3160</t>
  </si>
  <si>
    <t>Spalte3161</t>
  </si>
  <si>
    <t>Spalte3162</t>
  </si>
  <si>
    <t>Spalte3163</t>
  </si>
  <si>
    <t>Spalte3164</t>
  </si>
  <si>
    <t>Spalte3165</t>
  </si>
  <si>
    <t>Spalte3166</t>
  </si>
  <si>
    <t>Spalte3167</t>
  </si>
  <si>
    <t>Spalte3168</t>
  </si>
  <si>
    <t>Spalte3169</t>
  </si>
  <si>
    <t>Spalte3170</t>
  </si>
  <si>
    <t>Spalte3171</t>
  </si>
  <si>
    <t>Spalte3172</t>
  </si>
  <si>
    <t>Spalte3173</t>
  </si>
  <si>
    <t>Spalte3174</t>
  </si>
  <si>
    <t>Spalte3175</t>
  </si>
  <si>
    <t>Spalte3176</t>
  </si>
  <si>
    <t>Spalte3177</t>
  </si>
  <si>
    <t>Spalte3178</t>
  </si>
  <si>
    <t>Spalte3179</t>
  </si>
  <si>
    <t>Spalte3180</t>
  </si>
  <si>
    <t>Spalte3181</t>
  </si>
  <si>
    <t>Spalte3182</t>
  </si>
  <si>
    <t>Spalte3183</t>
  </si>
  <si>
    <t>Spalte3184</t>
  </si>
  <si>
    <t>Spalte3185</t>
  </si>
  <si>
    <t>Spalte3186</t>
  </si>
  <si>
    <t>Spalte3187</t>
  </si>
  <si>
    <t>Spalte3188</t>
  </si>
  <si>
    <t>Spalte3189</t>
  </si>
  <si>
    <t>Spalte3190</t>
  </si>
  <si>
    <t>Spalte3191</t>
  </si>
  <si>
    <t>Spalte3192</t>
  </si>
  <si>
    <t>Spalte3193</t>
  </si>
  <si>
    <t>Spalte3194</t>
  </si>
  <si>
    <t>Spalte3195</t>
  </si>
  <si>
    <t>Spalte3196</t>
  </si>
  <si>
    <t>Spalte3197</t>
  </si>
  <si>
    <t>Spalte3198</t>
  </si>
  <si>
    <t>Spalte3199</t>
  </si>
  <si>
    <t>Spalte3200</t>
  </si>
  <si>
    <t>Spalte3201</t>
  </si>
  <si>
    <t>Spalte3202</t>
  </si>
  <si>
    <t>Spalte3203</t>
  </si>
  <si>
    <t>Spalte3204</t>
  </si>
  <si>
    <t>Spalte3205</t>
  </si>
  <si>
    <t>Spalte3206</t>
  </si>
  <si>
    <t>Spalte3207</t>
  </si>
  <si>
    <t>Spalte3208</t>
  </si>
  <si>
    <t>Spalte3209</t>
  </si>
  <si>
    <t>Spalte3210</t>
  </si>
  <si>
    <t>Spalte3211</t>
  </si>
  <si>
    <t>Spalte3212</t>
  </si>
  <si>
    <t>Spalte3213</t>
  </si>
  <si>
    <t>Spalte3214</t>
  </si>
  <si>
    <t>Spalte3215</t>
  </si>
  <si>
    <t>Spalte3216</t>
  </si>
  <si>
    <t>Spalte3217</t>
  </si>
  <si>
    <t>Spalte3218</t>
  </si>
  <si>
    <t>Spalte3219</t>
  </si>
  <si>
    <t>Spalte3220</t>
  </si>
  <si>
    <t>Spalte3221</t>
  </si>
  <si>
    <t>Spalte3222</t>
  </si>
  <si>
    <t>Spalte3223</t>
  </si>
  <si>
    <t>Spalte3224</t>
  </si>
  <si>
    <t>Spalte3225</t>
  </si>
  <si>
    <t>Spalte3226</t>
  </si>
  <si>
    <t>Spalte3227</t>
  </si>
  <si>
    <t>Spalte3228</t>
  </si>
  <si>
    <t>Spalte3229</t>
  </si>
  <si>
    <t>Spalte3230</t>
  </si>
  <si>
    <t>Spalte3231</t>
  </si>
  <si>
    <t>Spalte3232</t>
  </si>
  <si>
    <t>Spalte3233</t>
  </si>
  <si>
    <t>Spalte3234</t>
  </si>
  <si>
    <t>Spalte3235</t>
  </si>
  <si>
    <t>Spalte3236</t>
  </si>
  <si>
    <t>Spalte3237</t>
  </si>
  <si>
    <t>Spalte3238</t>
  </si>
  <si>
    <t>Spalte3239</t>
  </si>
  <si>
    <t>Spalte3240</t>
  </si>
  <si>
    <t>Spalte3241</t>
  </si>
  <si>
    <t>Spalte3242</t>
  </si>
  <si>
    <t>Spalte3243</t>
  </si>
  <si>
    <t>Spalte3244</t>
  </si>
  <si>
    <t>Spalte3245</t>
  </si>
  <si>
    <t>Spalte3246</t>
  </si>
  <si>
    <t>Spalte3247</t>
  </si>
  <si>
    <t>Spalte3248</t>
  </si>
  <si>
    <t>Spalte3249</t>
  </si>
  <si>
    <t>Spalte3250</t>
  </si>
  <si>
    <t>Spalte3251</t>
  </si>
  <si>
    <t>Spalte3252</t>
  </si>
  <si>
    <t>Spalte3253</t>
  </si>
  <si>
    <t>Spalte3254</t>
  </si>
  <si>
    <t>Spalte3255</t>
  </si>
  <si>
    <t>Spalte3256</t>
  </si>
  <si>
    <t>Spalte3257</t>
  </si>
  <si>
    <t>Spalte3258</t>
  </si>
  <si>
    <t>Spalte3259</t>
  </si>
  <si>
    <t>Spalte3260</t>
  </si>
  <si>
    <t>Spalte3261</t>
  </si>
  <si>
    <t>Spalte3262</t>
  </si>
  <si>
    <t>Spalte3263</t>
  </si>
  <si>
    <t>Spalte3264</t>
  </si>
  <si>
    <t>Spalte3265</t>
  </si>
  <si>
    <t>Spalte3266</t>
  </si>
  <si>
    <t>Spalte3267</t>
  </si>
  <si>
    <t>Spalte3268</t>
  </si>
  <si>
    <t>Spalte3269</t>
  </si>
  <si>
    <t>Spalte3270</t>
  </si>
  <si>
    <t>Spalte3271</t>
  </si>
  <si>
    <t>Spalte3272</t>
  </si>
  <si>
    <t>Spalte3273</t>
  </si>
  <si>
    <t>Spalte3274</t>
  </si>
  <si>
    <t>Spalte3275</t>
  </si>
  <si>
    <t>Spalte3276</t>
  </si>
  <si>
    <t>Spalte3277</t>
  </si>
  <si>
    <t>Spalte3278</t>
  </si>
  <si>
    <t>Spalte3279</t>
  </si>
  <si>
    <t>Spalte3280</t>
  </si>
  <si>
    <t>Spalte3281</t>
  </si>
  <si>
    <t>Spalte3282</t>
  </si>
  <si>
    <t>Spalte3283</t>
  </si>
  <si>
    <t>Spalte3284</t>
  </si>
  <si>
    <t>Spalte3285</t>
  </si>
  <si>
    <t>Spalte3286</t>
  </si>
  <si>
    <t>Spalte3287</t>
  </si>
  <si>
    <t>Spalte3288</t>
  </si>
  <si>
    <t>Spalte3289</t>
  </si>
  <si>
    <t>Spalte3290</t>
  </si>
  <si>
    <t>Spalte3291</t>
  </si>
  <si>
    <t>Spalte3292</t>
  </si>
  <si>
    <t>Spalte3293</t>
  </si>
  <si>
    <t>Spalte3294</t>
  </si>
  <si>
    <t>Spalte3295</t>
  </si>
  <si>
    <t>Spalte3296</t>
  </si>
  <si>
    <t>Spalte3297</t>
  </si>
  <si>
    <t>Spalte3298</t>
  </si>
  <si>
    <t>Spalte3299</t>
  </si>
  <si>
    <t>Spalte3300</t>
  </si>
  <si>
    <t>Spalte3301</t>
  </si>
  <si>
    <t>Spalte3302</t>
  </si>
  <si>
    <t>Spalte3303</t>
  </si>
  <si>
    <t>Spalte3304</t>
  </si>
  <si>
    <t>Spalte3305</t>
  </si>
  <si>
    <t>Spalte3306</t>
  </si>
  <si>
    <t>Spalte3307</t>
  </si>
  <si>
    <t>Spalte3308</t>
  </si>
  <si>
    <t>Spalte3309</t>
  </si>
  <si>
    <t>Spalte3310</t>
  </si>
  <si>
    <t>Spalte3311</t>
  </si>
  <si>
    <t>Spalte3312</t>
  </si>
  <si>
    <t>Spalte3313</t>
  </si>
  <si>
    <t>Spalte3314</t>
  </si>
  <si>
    <t>Spalte3315</t>
  </si>
  <si>
    <t>Spalte3316</t>
  </si>
  <si>
    <t>Spalte3317</t>
  </si>
  <si>
    <t>Spalte3318</t>
  </si>
  <si>
    <t>Spalte3319</t>
  </si>
  <si>
    <t>Spalte3320</t>
  </si>
  <si>
    <t>Spalte3321</t>
  </si>
  <si>
    <t>Spalte3322</t>
  </si>
  <si>
    <t>Spalte3323</t>
  </si>
  <si>
    <t>Spalte3324</t>
  </si>
  <si>
    <t>Spalte3325</t>
  </si>
  <si>
    <t>Spalte3326</t>
  </si>
  <si>
    <t>Spalte3327</t>
  </si>
  <si>
    <t>Spalte3328</t>
  </si>
  <si>
    <t>Spalte3329</t>
  </si>
  <si>
    <t>Spalte3330</t>
  </si>
  <si>
    <t>Spalte3331</t>
  </si>
  <si>
    <t>Spalte3332</t>
  </si>
  <si>
    <t>Spalte3333</t>
  </si>
  <si>
    <t>Spalte3334</t>
  </si>
  <si>
    <t>Spalte3335</t>
  </si>
  <si>
    <t>Spalte3336</t>
  </si>
  <si>
    <t>Spalte3337</t>
  </si>
  <si>
    <t>Spalte3338</t>
  </si>
  <si>
    <t>Spalte3339</t>
  </si>
  <si>
    <t>Spalte3340</t>
  </si>
  <si>
    <t>Spalte3341</t>
  </si>
  <si>
    <t>Spalte3342</t>
  </si>
  <si>
    <t>Spalte3343</t>
  </si>
  <si>
    <t>Spalte3344</t>
  </si>
  <si>
    <t>Spalte3345</t>
  </si>
  <si>
    <t>Spalte3346</t>
  </si>
  <si>
    <t>Spalte3347</t>
  </si>
  <si>
    <t>Spalte3348</t>
  </si>
  <si>
    <t>Spalte3349</t>
  </si>
  <si>
    <t>Spalte3350</t>
  </si>
  <si>
    <t>Spalte3351</t>
  </si>
  <si>
    <t>Spalte3352</t>
  </si>
  <si>
    <t>Spalte3353</t>
  </si>
  <si>
    <t>Spalte3354</t>
  </si>
  <si>
    <t>Spalte3355</t>
  </si>
  <si>
    <t>Spalte3356</t>
  </si>
  <si>
    <t>Spalte3357</t>
  </si>
  <si>
    <t>Spalte3358</t>
  </si>
  <si>
    <t>Spalte3359</t>
  </si>
  <si>
    <t>Spalte3360</t>
  </si>
  <si>
    <t>Spalte3361</t>
  </si>
  <si>
    <t>Spalte3362</t>
  </si>
  <si>
    <t>Spalte3363</t>
  </si>
  <si>
    <t>Spalte3364</t>
  </si>
  <si>
    <t>Spalte3365</t>
  </si>
  <si>
    <t>Spalte3366</t>
  </si>
  <si>
    <t>Spalte3367</t>
  </si>
  <si>
    <t>Spalte3368</t>
  </si>
  <si>
    <t>Spalte3369</t>
  </si>
  <si>
    <t>Spalte3370</t>
  </si>
  <si>
    <t>Spalte3371</t>
  </si>
  <si>
    <t>Spalte3372</t>
  </si>
  <si>
    <t>Spalte3373</t>
  </si>
  <si>
    <t>Spalte3374</t>
  </si>
  <si>
    <t>Spalte3375</t>
  </si>
  <si>
    <t>Spalte3376</t>
  </si>
  <si>
    <t>Spalte3377</t>
  </si>
  <si>
    <t>Spalte3378</t>
  </si>
  <si>
    <t>Spalte3379</t>
  </si>
  <si>
    <t>Spalte3380</t>
  </si>
  <si>
    <t>Spalte3381</t>
  </si>
  <si>
    <t>Spalte3382</t>
  </si>
  <si>
    <t>Spalte3383</t>
  </si>
  <si>
    <t>Spalte3384</t>
  </si>
  <si>
    <t>Spalte3385</t>
  </si>
  <si>
    <t>Spalte3386</t>
  </si>
  <si>
    <t>Spalte3387</t>
  </si>
  <si>
    <t>Spalte3388</t>
  </si>
  <si>
    <t>Spalte3389</t>
  </si>
  <si>
    <t>Spalte3390</t>
  </si>
  <si>
    <t>Spalte3391</t>
  </si>
  <si>
    <t>Spalte3392</t>
  </si>
  <si>
    <t>Spalte3393</t>
  </si>
  <si>
    <t>Spalte3394</t>
  </si>
  <si>
    <t>Spalte3395</t>
  </si>
  <si>
    <t>Spalte3396</t>
  </si>
  <si>
    <t>Spalte3397</t>
  </si>
  <si>
    <t>Spalte3398</t>
  </si>
  <si>
    <t>Spalte3399</t>
  </si>
  <si>
    <t>Spalte3400</t>
  </si>
  <si>
    <t>Spalte3401</t>
  </si>
  <si>
    <t>Spalte3402</t>
  </si>
  <si>
    <t>Spalte3403</t>
  </si>
  <si>
    <t>Spalte3404</t>
  </si>
  <si>
    <t>Spalte3405</t>
  </si>
  <si>
    <t>Spalte3406</t>
  </si>
  <si>
    <t>Spalte3407</t>
  </si>
  <si>
    <t>Spalte3408</t>
  </si>
  <si>
    <t>Spalte3409</t>
  </si>
  <si>
    <t>Spalte3410</t>
  </si>
  <si>
    <t>Spalte3411</t>
  </si>
  <si>
    <t>Spalte3412</t>
  </si>
  <si>
    <t>Spalte3413</t>
  </si>
  <si>
    <t>Spalte3414</t>
  </si>
  <si>
    <t>Spalte3415</t>
  </si>
  <si>
    <t>Spalte3416</t>
  </si>
  <si>
    <t>Spalte3417</t>
  </si>
  <si>
    <t>Spalte3418</t>
  </si>
  <si>
    <t>Spalte3419</t>
  </si>
  <si>
    <t>Spalte3420</t>
  </si>
  <si>
    <t>Spalte3421</t>
  </si>
  <si>
    <t>Spalte3422</t>
  </si>
  <si>
    <t>Spalte3423</t>
  </si>
  <si>
    <t>Spalte3424</t>
  </si>
  <si>
    <t>Spalte3425</t>
  </si>
  <si>
    <t>Spalte3426</t>
  </si>
  <si>
    <t>Spalte3427</t>
  </si>
  <si>
    <t>Spalte3428</t>
  </si>
  <si>
    <t>Spalte3429</t>
  </si>
  <si>
    <t>Spalte3430</t>
  </si>
  <si>
    <t>Spalte3431</t>
  </si>
  <si>
    <t>Spalte3432</t>
  </si>
  <si>
    <t>Spalte3433</t>
  </si>
  <si>
    <t>Spalte3434</t>
  </si>
  <si>
    <t>Spalte3435</t>
  </si>
  <si>
    <t>Spalte3436</t>
  </si>
  <si>
    <t>Spalte3437</t>
  </si>
  <si>
    <t>Spalte3438</t>
  </si>
  <si>
    <t>Spalte3439</t>
  </si>
  <si>
    <t>Spalte3440</t>
  </si>
  <si>
    <t>Spalte3441</t>
  </si>
  <si>
    <t>Spalte3442</t>
  </si>
  <si>
    <t>Spalte3443</t>
  </si>
  <si>
    <t>Spalte3444</t>
  </si>
  <si>
    <t>Spalte3445</t>
  </si>
  <si>
    <t>Spalte3446</t>
  </si>
  <si>
    <t>Spalte3447</t>
  </si>
  <si>
    <t>Spalte3448</t>
  </si>
  <si>
    <t>Spalte3449</t>
  </si>
  <si>
    <t>Spalte3450</t>
  </si>
  <si>
    <t>Spalte3451</t>
  </si>
  <si>
    <t>Spalte3452</t>
  </si>
  <si>
    <t>Spalte3453</t>
  </si>
  <si>
    <t>Spalte3454</t>
  </si>
  <si>
    <t>Spalte3455</t>
  </si>
  <si>
    <t>Spalte3456</t>
  </si>
  <si>
    <t>Spalte3457</t>
  </si>
  <si>
    <t>Spalte3458</t>
  </si>
  <si>
    <t>Spalte3459</t>
  </si>
  <si>
    <t>Spalte3460</t>
  </si>
  <si>
    <t>Spalte3461</t>
  </si>
  <si>
    <t>Spalte3462</t>
  </si>
  <si>
    <t>Spalte3463</t>
  </si>
  <si>
    <t>Spalte3464</t>
  </si>
  <si>
    <t>Spalte3465</t>
  </si>
  <si>
    <t>Spalte3466</t>
  </si>
  <si>
    <t>Spalte3467</t>
  </si>
  <si>
    <t>Spalte3468</t>
  </si>
  <si>
    <t>Spalte3469</t>
  </si>
  <si>
    <t>Spalte3470</t>
  </si>
  <si>
    <t>Spalte3471</t>
  </si>
  <si>
    <t>Spalte3472</t>
  </si>
  <si>
    <t>Spalte3473</t>
  </si>
  <si>
    <t>Spalte3474</t>
  </si>
  <si>
    <t>Spalte3475</t>
  </si>
  <si>
    <t>Spalte3476</t>
  </si>
  <si>
    <t>Spalte3477</t>
  </si>
  <si>
    <t>Spalte3478</t>
  </si>
  <si>
    <t>Spalte3479</t>
  </si>
  <si>
    <t>Spalte3480</t>
  </si>
  <si>
    <t>Spalte3481</t>
  </si>
  <si>
    <t>Spalte3482</t>
  </si>
  <si>
    <t>Spalte3483</t>
  </si>
  <si>
    <t>Spalte3484</t>
  </si>
  <si>
    <t>Spalte3485</t>
  </si>
  <si>
    <t>Spalte3486</t>
  </si>
  <si>
    <t>Spalte3487</t>
  </si>
  <si>
    <t>Spalte3488</t>
  </si>
  <si>
    <t>Spalte3489</t>
  </si>
  <si>
    <t>Spalte3490</t>
  </si>
  <si>
    <t>Spalte3491</t>
  </si>
  <si>
    <t>Spalte3492</t>
  </si>
  <si>
    <t>Spalte3493</t>
  </si>
  <si>
    <t>Spalte3494</t>
  </si>
  <si>
    <t>Spalte3495</t>
  </si>
  <si>
    <t>Spalte3496</t>
  </si>
  <si>
    <t>Spalte3497</t>
  </si>
  <si>
    <t>Spalte3498</t>
  </si>
  <si>
    <t>Spalte3499</t>
  </si>
  <si>
    <t>Spalte3500</t>
  </si>
  <si>
    <t>Spalte3501</t>
  </si>
  <si>
    <t>Spalte3502</t>
  </si>
  <si>
    <t>Spalte3503</t>
  </si>
  <si>
    <t>Spalte3504</t>
  </si>
  <si>
    <t>Spalte3505</t>
  </si>
  <si>
    <t>Spalte3506</t>
  </si>
  <si>
    <t>Spalte3507</t>
  </si>
  <si>
    <t>Spalte3508</t>
  </si>
  <si>
    <t>Spalte3509</t>
  </si>
  <si>
    <t>Spalte3510</t>
  </si>
  <si>
    <t>Spalte3511</t>
  </si>
  <si>
    <t>Spalte3512</t>
  </si>
  <si>
    <t>Spalte3513</t>
  </si>
  <si>
    <t>Spalte3514</t>
  </si>
  <si>
    <t>Spalte3515</t>
  </si>
  <si>
    <t>Spalte3516</t>
  </si>
  <si>
    <t>Spalte3517</t>
  </si>
  <si>
    <t>Spalte3518</t>
  </si>
  <si>
    <t>Spalte3519</t>
  </si>
  <si>
    <t>Spalte3520</t>
  </si>
  <si>
    <t>Spalte3521</t>
  </si>
  <si>
    <t>Spalte3522</t>
  </si>
  <si>
    <t>Spalte3523</t>
  </si>
  <si>
    <t>Spalte3524</t>
  </si>
  <si>
    <t>Spalte3525</t>
  </si>
  <si>
    <t>Spalte3526</t>
  </si>
  <si>
    <t>Spalte3527</t>
  </si>
  <si>
    <t>Spalte3528</t>
  </si>
  <si>
    <t>Spalte3529</t>
  </si>
  <si>
    <t>Spalte3530</t>
  </si>
  <si>
    <t>Spalte3531</t>
  </si>
  <si>
    <t>Spalte3532</t>
  </si>
  <si>
    <t>Spalte3533</t>
  </si>
  <si>
    <t>Spalte3534</t>
  </si>
  <si>
    <t>Spalte3535</t>
  </si>
  <si>
    <t>Spalte3536</t>
  </si>
  <si>
    <t>Spalte3537</t>
  </si>
  <si>
    <t>Spalte3538</t>
  </si>
  <si>
    <t>Spalte3539</t>
  </si>
  <si>
    <t>Spalte3540</t>
  </si>
  <si>
    <t>Spalte3541</t>
  </si>
  <si>
    <t>Spalte3542</t>
  </si>
  <si>
    <t>Spalte3543</t>
  </si>
  <si>
    <t>Spalte3544</t>
  </si>
  <si>
    <t>Spalte3545</t>
  </si>
  <si>
    <t>Spalte3546</t>
  </si>
  <si>
    <t>Spalte3547</t>
  </si>
  <si>
    <t>Spalte3548</t>
  </si>
  <si>
    <t>Spalte3549</t>
  </si>
  <si>
    <t>Spalte3550</t>
  </si>
  <si>
    <t>Spalte3551</t>
  </si>
  <si>
    <t>Spalte3552</t>
  </si>
  <si>
    <t>Spalte3553</t>
  </si>
  <si>
    <t>Spalte3554</t>
  </si>
  <si>
    <t>Spalte3555</t>
  </si>
  <si>
    <t>Spalte3556</t>
  </si>
  <si>
    <t>Spalte3557</t>
  </si>
  <si>
    <t>Spalte3558</t>
  </si>
  <si>
    <t>Spalte3559</t>
  </si>
  <si>
    <t>Spalte3560</t>
  </si>
  <si>
    <t>Spalte3561</t>
  </si>
  <si>
    <t>Spalte3562</t>
  </si>
  <si>
    <t>Spalte3563</t>
  </si>
  <si>
    <t>Spalte3564</t>
  </si>
  <si>
    <t>Spalte3565</t>
  </si>
  <si>
    <t>Spalte3566</t>
  </si>
  <si>
    <t>Spalte3567</t>
  </si>
  <si>
    <t>Spalte3568</t>
  </si>
  <si>
    <t>Spalte3569</t>
  </si>
  <si>
    <t>Spalte3570</t>
  </si>
  <si>
    <t>Spalte3571</t>
  </si>
  <si>
    <t>Spalte3572</t>
  </si>
  <si>
    <t>Spalte3573</t>
  </si>
  <si>
    <t>Spalte3574</t>
  </si>
  <si>
    <t>Spalte3575</t>
  </si>
  <si>
    <t>Spalte3576</t>
  </si>
  <si>
    <t>Spalte3577</t>
  </si>
  <si>
    <t>Spalte3578</t>
  </si>
  <si>
    <t>Spalte3579</t>
  </si>
  <si>
    <t>Spalte3580</t>
  </si>
  <si>
    <t>Spalte3581</t>
  </si>
  <si>
    <t>Spalte3582</t>
  </si>
  <si>
    <t>Spalte3583</t>
  </si>
  <si>
    <t>Spalte3584</t>
  </si>
  <si>
    <t>Spalte3585</t>
  </si>
  <si>
    <t>Spalte3586</t>
  </si>
  <si>
    <t>Spalte3587</t>
  </si>
  <si>
    <t>Spalte3588</t>
  </si>
  <si>
    <t>Spalte3589</t>
  </si>
  <si>
    <t>Spalte3590</t>
  </si>
  <si>
    <t>Spalte3591</t>
  </si>
  <si>
    <t>Spalte3592</t>
  </si>
  <si>
    <t>Spalte3593</t>
  </si>
  <si>
    <t>Spalte3594</t>
  </si>
  <si>
    <t>Spalte3595</t>
  </si>
  <si>
    <t>Spalte3596</t>
  </si>
  <si>
    <t>Spalte3597</t>
  </si>
  <si>
    <t>Spalte3598</t>
  </si>
  <si>
    <t>Spalte3599</t>
  </si>
  <si>
    <t>Spalte3600</t>
  </si>
  <si>
    <t>Spalte3601</t>
  </si>
  <si>
    <t>Spalte3602</t>
  </si>
  <si>
    <t>Spalte3603</t>
  </si>
  <si>
    <t>Spalte3604</t>
  </si>
  <si>
    <t>Spalte3605</t>
  </si>
  <si>
    <t>Spalte3606</t>
  </si>
  <si>
    <t>Spalte3607</t>
  </si>
  <si>
    <t>Spalte3608</t>
  </si>
  <si>
    <t>Spalte3609</t>
  </si>
  <si>
    <t>Spalte3610</t>
  </si>
  <si>
    <t>Spalte3611</t>
  </si>
  <si>
    <t>Spalte3612</t>
  </si>
  <si>
    <t>Spalte3613</t>
  </si>
  <si>
    <t>Spalte3614</t>
  </si>
  <si>
    <t>Spalte3615</t>
  </si>
  <si>
    <t>Spalte3616</t>
  </si>
  <si>
    <t>Spalte3617</t>
  </si>
  <si>
    <t>Spalte3618</t>
  </si>
  <si>
    <t>Spalte3619</t>
  </si>
  <si>
    <t>Spalte3620</t>
  </si>
  <si>
    <t>Spalte3621</t>
  </si>
  <si>
    <t>Spalte3622</t>
  </si>
  <si>
    <t>Spalte3623</t>
  </si>
  <si>
    <t>Spalte3624</t>
  </si>
  <si>
    <t>Spalte3625</t>
  </si>
  <si>
    <t>Spalte3626</t>
  </si>
  <si>
    <t>Spalte3627</t>
  </si>
  <si>
    <t>Spalte3628</t>
  </si>
  <si>
    <t>Spalte3629</t>
  </si>
  <si>
    <t>Spalte3630</t>
  </si>
  <si>
    <t>Spalte3631</t>
  </si>
  <si>
    <t>Spalte3632</t>
  </si>
  <si>
    <t>Spalte3633</t>
  </si>
  <si>
    <t>Spalte3634</t>
  </si>
  <si>
    <t>Spalte3635</t>
  </si>
  <si>
    <t>Spalte3636</t>
  </si>
  <si>
    <t>Spalte3637</t>
  </si>
  <si>
    <t>Spalte3638</t>
  </si>
  <si>
    <t>Spalte3639</t>
  </si>
  <si>
    <t>Spalte3640</t>
  </si>
  <si>
    <t>Spalte3641</t>
  </si>
  <si>
    <t>Spalte3642</t>
  </si>
  <si>
    <t>Spalte3643</t>
  </si>
  <si>
    <t>Spalte3644</t>
  </si>
  <si>
    <t>Spalte3645</t>
  </si>
  <si>
    <t>Spalte3646</t>
  </si>
  <si>
    <t>Spalte3647</t>
  </si>
  <si>
    <t>Spalte3648</t>
  </si>
  <si>
    <t>Spalte3649</t>
  </si>
  <si>
    <t>Spalte3650</t>
  </si>
  <si>
    <t>Spalte3651</t>
  </si>
  <si>
    <t>Spalte3652</t>
  </si>
  <si>
    <t>Spalte3653</t>
  </si>
  <si>
    <t>Spalte3654</t>
  </si>
  <si>
    <t>Spalte3655</t>
  </si>
  <si>
    <t>Spalte3656</t>
  </si>
  <si>
    <t>Spalte3657</t>
  </si>
  <si>
    <t>Spalte3658</t>
  </si>
  <si>
    <t>Spalte3659</t>
  </si>
  <si>
    <t>Spalte3660</t>
  </si>
  <si>
    <t>Spalte3661</t>
  </si>
  <si>
    <t>Spalte3662</t>
  </si>
  <si>
    <t>Spalte3663</t>
  </si>
  <si>
    <t>Spalte3664</t>
  </si>
  <si>
    <t>Spalte3665</t>
  </si>
  <si>
    <t>Spalte3666</t>
  </si>
  <si>
    <t>Spalte3667</t>
  </si>
  <si>
    <t>Spalte3668</t>
  </si>
  <si>
    <t>Spalte3669</t>
  </si>
  <si>
    <t>Spalte3670</t>
  </si>
  <si>
    <t>Spalte3671</t>
  </si>
  <si>
    <t>Spalte3672</t>
  </si>
  <si>
    <t>Spalte3673</t>
  </si>
  <si>
    <t>Spalte3674</t>
  </si>
  <si>
    <t>Spalte3675</t>
  </si>
  <si>
    <t>Spalte3676</t>
  </si>
  <si>
    <t>Spalte3677</t>
  </si>
  <si>
    <t>Spalte3678</t>
  </si>
  <si>
    <t>Spalte3679</t>
  </si>
  <si>
    <t>Spalte3680</t>
  </si>
  <si>
    <t>Spalte3681</t>
  </si>
  <si>
    <t>Spalte3682</t>
  </si>
  <si>
    <t>Spalte3683</t>
  </si>
  <si>
    <t>Spalte3684</t>
  </si>
  <si>
    <t>Spalte3685</t>
  </si>
  <si>
    <t>Spalte3686</t>
  </si>
  <si>
    <t>Spalte3687</t>
  </si>
  <si>
    <t>Spalte3688</t>
  </si>
  <si>
    <t>Spalte3689</t>
  </si>
  <si>
    <t>Spalte3690</t>
  </si>
  <si>
    <t>Spalte3691</t>
  </si>
  <si>
    <t>Spalte3692</t>
  </si>
  <si>
    <t>Spalte3693</t>
  </si>
  <si>
    <t>Spalte3694</t>
  </si>
  <si>
    <t>Spalte3695</t>
  </si>
  <si>
    <t>Spalte3696</t>
  </si>
  <si>
    <t>Spalte3697</t>
  </si>
  <si>
    <t>Spalte3698</t>
  </si>
  <si>
    <t>Spalte3699</t>
  </si>
  <si>
    <t>Spalte3700</t>
  </si>
  <si>
    <t>Spalte3701</t>
  </si>
  <si>
    <t>Spalte3702</t>
  </si>
  <si>
    <t>Spalte3703</t>
  </si>
  <si>
    <t>Spalte3704</t>
  </si>
  <si>
    <t>Spalte3705</t>
  </si>
  <si>
    <t>Spalte3706</t>
  </si>
  <si>
    <t>Spalte3707</t>
  </si>
  <si>
    <t>Spalte3708</t>
  </si>
  <si>
    <t>Spalte3709</t>
  </si>
  <si>
    <t>Spalte3710</t>
  </si>
  <si>
    <t>Spalte3711</t>
  </si>
  <si>
    <t>Spalte3712</t>
  </si>
  <si>
    <t>Spalte3713</t>
  </si>
  <si>
    <t>Spalte3714</t>
  </si>
  <si>
    <t>Spalte3715</t>
  </si>
  <si>
    <t>Spalte3716</t>
  </si>
  <si>
    <t>Spalte3717</t>
  </si>
  <si>
    <t>Spalte3718</t>
  </si>
  <si>
    <t>Spalte3719</t>
  </si>
  <si>
    <t>Spalte3720</t>
  </si>
  <si>
    <t>Spalte3721</t>
  </si>
  <si>
    <t>Spalte3722</t>
  </si>
  <si>
    <t>Spalte3723</t>
  </si>
  <si>
    <t>Spalte3724</t>
  </si>
  <si>
    <t>Spalte3725</t>
  </si>
  <si>
    <t>Spalte3726</t>
  </si>
  <si>
    <t>Spalte3727</t>
  </si>
  <si>
    <t>Spalte3728</t>
  </si>
  <si>
    <t>Spalte3729</t>
  </si>
  <si>
    <t>Spalte3730</t>
  </si>
  <si>
    <t>Spalte3731</t>
  </si>
  <si>
    <t>Spalte3732</t>
  </si>
  <si>
    <t>Spalte3733</t>
  </si>
  <si>
    <t>Spalte3734</t>
  </si>
  <si>
    <t>Spalte3735</t>
  </si>
  <si>
    <t>Spalte3736</t>
  </si>
  <si>
    <t>Spalte3737</t>
  </si>
  <si>
    <t>Spalte3738</t>
  </si>
  <si>
    <t>Spalte3739</t>
  </si>
  <si>
    <t>Spalte3740</t>
  </si>
  <si>
    <t>Spalte3741</t>
  </si>
  <si>
    <t>Spalte3742</t>
  </si>
  <si>
    <t>Spalte3743</t>
  </si>
  <si>
    <t>Spalte3744</t>
  </si>
  <si>
    <t>Spalte3745</t>
  </si>
  <si>
    <t>Spalte3746</t>
  </si>
  <si>
    <t>Spalte3747</t>
  </si>
  <si>
    <t>Spalte3748</t>
  </si>
  <si>
    <t>Spalte3749</t>
  </si>
  <si>
    <t>Spalte3750</t>
  </si>
  <si>
    <t>Spalte3751</t>
  </si>
  <si>
    <t>Spalte3752</t>
  </si>
  <si>
    <t>Spalte3753</t>
  </si>
  <si>
    <t>Spalte3754</t>
  </si>
  <si>
    <t>Spalte3755</t>
  </si>
  <si>
    <t>Spalte3756</t>
  </si>
  <si>
    <t>Spalte3757</t>
  </si>
  <si>
    <t>Spalte3758</t>
  </si>
  <si>
    <t>Spalte3759</t>
  </si>
  <si>
    <t>Spalte3760</t>
  </si>
  <si>
    <t>Spalte3761</t>
  </si>
  <si>
    <t>Spalte3762</t>
  </si>
  <si>
    <t>Spalte3763</t>
  </si>
  <si>
    <t>Spalte3764</t>
  </si>
  <si>
    <t>Spalte3765</t>
  </si>
  <si>
    <t>Spalte3766</t>
  </si>
  <si>
    <t>Spalte3767</t>
  </si>
  <si>
    <t>Spalte3768</t>
  </si>
  <si>
    <t>Spalte3769</t>
  </si>
  <si>
    <t>Spalte3770</t>
  </si>
  <si>
    <t>Spalte3771</t>
  </si>
  <si>
    <t>Spalte3772</t>
  </si>
  <si>
    <t>Spalte3773</t>
  </si>
  <si>
    <t>Spalte3774</t>
  </si>
  <si>
    <t>Spalte3775</t>
  </si>
  <si>
    <t>Spalte3776</t>
  </si>
  <si>
    <t>Spalte3777</t>
  </si>
  <si>
    <t>Spalte3778</t>
  </si>
  <si>
    <t>Spalte3779</t>
  </si>
  <si>
    <t>Spalte3780</t>
  </si>
  <si>
    <t>Spalte3781</t>
  </si>
  <si>
    <t>Spalte3782</t>
  </si>
  <si>
    <t>Spalte3783</t>
  </si>
  <si>
    <t>Spalte3784</t>
  </si>
  <si>
    <t>Spalte3785</t>
  </si>
  <si>
    <t>Spalte3786</t>
  </si>
  <si>
    <t>Spalte3787</t>
  </si>
  <si>
    <t>Spalte3788</t>
  </si>
  <si>
    <t>Spalte3789</t>
  </si>
  <si>
    <t>Spalte3790</t>
  </si>
  <si>
    <t>Spalte3791</t>
  </si>
  <si>
    <t>Spalte3792</t>
  </si>
  <si>
    <t>Spalte3793</t>
  </si>
  <si>
    <t>Spalte3794</t>
  </si>
  <si>
    <t>Spalte3795</t>
  </si>
  <si>
    <t>Spalte3796</t>
  </si>
  <si>
    <t>Spalte3797</t>
  </si>
  <si>
    <t>Spalte3798</t>
  </si>
  <si>
    <t>Spalte3799</t>
  </si>
  <si>
    <t>Spalte3800</t>
  </si>
  <si>
    <t>Spalte3801</t>
  </si>
  <si>
    <t>Spalte3802</t>
  </si>
  <si>
    <t>Spalte3803</t>
  </si>
  <si>
    <t>Spalte3804</t>
  </si>
  <si>
    <t>Spalte3805</t>
  </si>
  <si>
    <t>Spalte3806</t>
  </si>
  <si>
    <t>Spalte3807</t>
  </si>
  <si>
    <t>Spalte3808</t>
  </si>
  <si>
    <t>Spalte3809</t>
  </si>
  <si>
    <t>Spalte3810</t>
  </si>
  <si>
    <t>Spalte3811</t>
  </si>
  <si>
    <t>Spalte3812</t>
  </si>
  <si>
    <t>Spalte3813</t>
  </si>
  <si>
    <t>Spalte3814</t>
  </si>
  <si>
    <t>Spalte3815</t>
  </si>
  <si>
    <t>Spalte3816</t>
  </si>
  <si>
    <t>Spalte3817</t>
  </si>
  <si>
    <t>Spalte3818</t>
  </si>
  <si>
    <t>Spalte3819</t>
  </si>
  <si>
    <t>Spalte3820</t>
  </si>
  <si>
    <t>Spalte3821</t>
  </si>
  <si>
    <t>Spalte3822</t>
  </si>
  <si>
    <t>Spalte3823</t>
  </si>
  <si>
    <t>Spalte3824</t>
  </si>
  <si>
    <t>Spalte3825</t>
  </si>
  <si>
    <t>Spalte3826</t>
  </si>
  <si>
    <t>Spalte3827</t>
  </si>
  <si>
    <t>Spalte3828</t>
  </si>
  <si>
    <t>Spalte3829</t>
  </si>
  <si>
    <t>Spalte3830</t>
  </si>
  <si>
    <t>Spalte3831</t>
  </si>
  <si>
    <t>Spalte3832</t>
  </si>
  <si>
    <t>Spalte3833</t>
  </si>
  <si>
    <t>Spalte3834</t>
  </si>
  <si>
    <t>Spalte3835</t>
  </si>
  <si>
    <t>Spalte3836</t>
  </si>
  <si>
    <t>Spalte3837</t>
  </si>
  <si>
    <t>Spalte3838</t>
  </si>
  <si>
    <t>Spalte3839</t>
  </si>
  <si>
    <t>Spalte3840</t>
  </si>
  <si>
    <t>Spalte3841</t>
  </si>
  <si>
    <t>Spalte3842</t>
  </si>
  <si>
    <t>Spalte3843</t>
  </si>
  <si>
    <t>Spalte3844</t>
  </si>
  <si>
    <t>Spalte3845</t>
  </si>
  <si>
    <t>Spalte3846</t>
  </si>
  <si>
    <t>Spalte3847</t>
  </si>
  <si>
    <t>Spalte3848</t>
  </si>
  <si>
    <t>Spalte3849</t>
  </si>
  <si>
    <t>Spalte3850</t>
  </si>
  <si>
    <t>Spalte3851</t>
  </si>
  <si>
    <t>Spalte3852</t>
  </si>
  <si>
    <t>Spalte3853</t>
  </si>
  <si>
    <t>Spalte3854</t>
  </si>
  <si>
    <t>Spalte3855</t>
  </si>
  <si>
    <t>Spalte3856</t>
  </si>
  <si>
    <t>Spalte3857</t>
  </si>
  <si>
    <t>Spalte3858</t>
  </si>
  <si>
    <t>Spalte3859</t>
  </si>
  <si>
    <t>Spalte3860</t>
  </si>
  <si>
    <t>Spalte3861</t>
  </si>
  <si>
    <t>Spalte3862</t>
  </si>
  <si>
    <t>Spalte3863</t>
  </si>
  <si>
    <t>Spalte3864</t>
  </si>
  <si>
    <t>Spalte3865</t>
  </si>
  <si>
    <t>Spalte3866</t>
  </si>
  <si>
    <t>Spalte3867</t>
  </si>
  <si>
    <t>Spalte3868</t>
  </si>
  <si>
    <t>Spalte3869</t>
  </si>
  <si>
    <t>Spalte3870</t>
  </si>
  <si>
    <t>Spalte3871</t>
  </si>
  <si>
    <t>Spalte3872</t>
  </si>
  <si>
    <t>Spalte3873</t>
  </si>
  <si>
    <t>Spalte3874</t>
  </si>
  <si>
    <t>Spalte3875</t>
  </si>
  <si>
    <t>Spalte3876</t>
  </si>
  <si>
    <t>Spalte3877</t>
  </si>
  <si>
    <t>Spalte3878</t>
  </si>
  <si>
    <t>Spalte3879</t>
  </si>
  <si>
    <t>Spalte3880</t>
  </si>
  <si>
    <t>Spalte3881</t>
  </si>
  <si>
    <t>Spalte3882</t>
  </si>
  <si>
    <t>Spalte3883</t>
  </si>
  <si>
    <t>Spalte3884</t>
  </si>
  <si>
    <t>Spalte3885</t>
  </si>
  <si>
    <t>Spalte3886</t>
  </si>
  <si>
    <t>Spalte3887</t>
  </si>
  <si>
    <t>Spalte3888</t>
  </si>
  <si>
    <t>Spalte3889</t>
  </si>
  <si>
    <t>Spalte3890</t>
  </si>
  <si>
    <t>Spalte3891</t>
  </si>
  <si>
    <t>Spalte3892</t>
  </si>
  <si>
    <t>Spalte3893</t>
  </si>
  <si>
    <t>Spalte3894</t>
  </si>
  <si>
    <t>Spalte3895</t>
  </si>
  <si>
    <t>Spalte3896</t>
  </si>
  <si>
    <t>Spalte3897</t>
  </si>
  <si>
    <t>Spalte3898</t>
  </si>
  <si>
    <t>Spalte3899</t>
  </si>
  <si>
    <t>Spalte3900</t>
  </si>
  <si>
    <t>Spalte3901</t>
  </si>
  <si>
    <t>Spalte3902</t>
  </si>
  <si>
    <t>Spalte3903</t>
  </si>
  <si>
    <t>Spalte3904</t>
  </si>
  <si>
    <t>Spalte3905</t>
  </si>
  <si>
    <t>Spalte3906</t>
  </si>
  <si>
    <t>Spalte3907</t>
  </si>
  <si>
    <t>Spalte3908</t>
  </si>
  <si>
    <t>Spalte3909</t>
  </si>
  <si>
    <t>Spalte3910</t>
  </si>
  <si>
    <t>Spalte3911</t>
  </si>
  <si>
    <t>Spalte3912</t>
  </si>
  <si>
    <t>Spalte3913</t>
  </si>
  <si>
    <t>Spalte3914</t>
  </si>
  <si>
    <t>Spalte3915</t>
  </si>
  <si>
    <t>Spalte3916</t>
  </si>
  <si>
    <t>Spalte3917</t>
  </si>
  <si>
    <t>Spalte3918</t>
  </si>
  <si>
    <t>Spalte3919</t>
  </si>
  <si>
    <t>Spalte3920</t>
  </si>
  <si>
    <t>Spalte3921</t>
  </si>
  <si>
    <t>Spalte3922</t>
  </si>
  <si>
    <t>Spalte3923</t>
  </si>
  <si>
    <t>Spalte3924</t>
  </si>
  <si>
    <t>Spalte3925</t>
  </si>
  <si>
    <t>Spalte3926</t>
  </si>
  <si>
    <t>Spalte3927</t>
  </si>
  <si>
    <t>Spalte3928</t>
  </si>
  <si>
    <t>Spalte3929</t>
  </si>
  <si>
    <t>Spalte3930</t>
  </si>
  <si>
    <t>Spalte3931</t>
  </si>
  <si>
    <t>Spalte3932</t>
  </si>
  <si>
    <t>Spalte3933</t>
  </si>
  <si>
    <t>Spalte3934</t>
  </si>
  <si>
    <t>Spalte3935</t>
  </si>
  <si>
    <t>Spalte3936</t>
  </si>
  <si>
    <t>Spalte3937</t>
  </si>
  <si>
    <t>Spalte3938</t>
  </si>
  <si>
    <t>Spalte3939</t>
  </si>
  <si>
    <t>Spalte3940</t>
  </si>
  <si>
    <t>Spalte3941</t>
  </si>
  <si>
    <t>Spalte3942</t>
  </si>
  <si>
    <t>Spalte3943</t>
  </si>
  <si>
    <t>Spalte3944</t>
  </si>
  <si>
    <t>Spalte3945</t>
  </si>
  <si>
    <t>Spalte3946</t>
  </si>
  <si>
    <t>Spalte3947</t>
  </si>
  <si>
    <t>Spalte3948</t>
  </si>
  <si>
    <t>Spalte3949</t>
  </si>
  <si>
    <t>Spalte3950</t>
  </si>
  <si>
    <t>Spalte3951</t>
  </si>
  <si>
    <t>Spalte3952</t>
  </si>
  <si>
    <t>Spalte3953</t>
  </si>
  <si>
    <t>Spalte3954</t>
  </si>
  <si>
    <t>Spalte3955</t>
  </si>
  <si>
    <t>Spalte3956</t>
  </si>
  <si>
    <t>Spalte3957</t>
  </si>
  <si>
    <t>Spalte3958</t>
  </si>
  <si>
    <t>Spalte3959</t>
  </si>
  <si>
    <t>Spalte3960</t>
  </si>
  <si>
    <t>Spalte3961</t>
  </si>
  <si>
    <t>Spalte3962</t>
  </si>
  <si>
    <t>Spalte3963</t>
  </si>
  <si>
    <t>Spalte3964</t>
  </si>
  <si>
    <t>Spalte3965</t>
  </si>
  <si>
    <t>Spalte3966</t>
  </si>
  <si>
    <t>Spalte3967</t>
  </si>
  <si>
    <t>Spalte3968</t>
  </si>
  <si>
    <t>Spalte3969</t>
  </si>
  <si>
    <t>Spalte3970</t>
  </si>
  <si>
    <t>Spalte3971</t>
  </si>
  <si>
    <t>Spalte3972</t>
  </si>
  <si>
    <t>Spalte3973</t>
  </si>
  <si>
    <t>Spalte3974</t>
  </si>
  <si>
    <t>Spalte3975</t>
  </si>
  <si>
    <t>Spalte3976</t>
  </si>
  <si>
    <t>Spalte3977</t>
  </si>
  <si>
    <t>Spalte3978</t>
  </si>
  <si>
    <t>Spalte3979</t>
  </si>
  <si>
    <t>Spalte3980</t>
  </si>
  <si>
    <t>Spalte3981</t>
  </si>
  <si>
    <t>Spalte3982</t>
  </si>
  <si>
    <t>Spalte3983</t>
  </si>
  <si>
    <t>Spalte3984</t>
  </si>
  <si>
    <t>Spalte3985</t>
  </si>
  <si>
    <t>Spalte3986</t>
  </si>
  <si>
    <t>Spalte3987</t>
  </si>
  <si>
    <t>Spalte3988</t>
  </si>
  <si>
    <t>Spalte3989</t>
  </si>
  <si>
    <t>Spalte3990</t>
  </si>
  <si>
    <t>Spalte3991</t>
  </si>
  <si>
    <t>Spalte3992</t>
  </si>
  <si>
    <t>Spalte3993</t>
  </si>
  <si>
    <t>Spalte3994</t>
  </si>
  <si>
    <t>Spalte3995</t>
  </si>
  <si>
    <t>Spalte3996</t>
  </si>
  <si>
    <t>Spalte3997</t>
  </si>
  <si>
    <t>Spalte3998</t>
  </si>
  <si>
    <t>Spalte3999</t>
  </si>
  <si>
    <t>Spalte4000</t>
  </si>
  <si>
    <t>Spalte4001</t>
  </si>
  <si>
    <t>Spalte4002</t>
  </si>
  <si>
    <t>Spalte4003</t>
  </si>
  <si>
    <t>Spalte4004</t>
  </si>
  <si>
    <t>Spalte4005</t>
  </si>
  <si>
    <t>Spalte4006</t>
  </si>
  <si>
    <t>Spalte4007</t>
  </si>
  <si>
    <t>Spalte4008</t>
  </si>
  <si>
    <t>Spalte4009</t>
  </si>
  <si>
    <t>Spalte4010</t>
  </si>
  <si>
    <t>Spalte4011</t>
  </si>
  <si>
    <t>Spalte4012</t>
  </si>
  <si>
    <t>Spalte4013</t>
  </si>
  <si>
    <t>Spalte4014</t>
  </si>
  <si>
    <t>Spalte4015</t>
  </si>
  <si>
    <t>Spalte4016</t>
  </si>
  <si>
    <t>Spalte4017</t>
  </si>
  <si>
    <t>Spalte4018</t>
  </si>
  <si>
    <t>Spalte4019</t>
  </si>
  <si>
    <t>Spalte4020</t>
  </si>
  <si>
    <t>Spalte4021</t>
  </si>
  <si>
    <t>Spalte4022</t>
  </si>
  <si>
    <t>Spalte4023</t>
  </si>
  <si>
    <t>Spalte4024</t>
  </si>
  <si>
    <t>Spalte4025</t>
  </si>
  <si>
    <t>Spalte4026</t>
  </si>
  <si>
    <t>Spalte4027</t>
  </si>
  <si>
    <t>Spalte4028</t>
  </si>
  <si>
    <t>Spalte4029</t>
  </si>
  <si>
    <t>Spalte4030</t>
  </si>
  <si>
    <t>Spalte4031</t>
  </si>
  <si>
    <t>Spalte4032</t>
  </si>
  <si>
    <t>Spalte4033</t>
  </si>
  <si>
    <t>Spalte4034</t>
  </si>
  <si>
    <t>Spalte4035</t>
  </si>
  <si>
    <t>Spalte4036</t>
  </si>
  <si>
    <t>Spalte4037</t>
  </si>
  <si>
    <t>Spalte4038</t>
  </si>
  <si>
    <t>Spalte4039</t>
  </si>
  <si>
    <t>Spalte4040</t>
  </si>
  <si>
    <t>Spalte4041</t>
  </si>
  <si>
    <t>Spalte4042</t>
  </si>
  <si>
    <t>Spalte4043</t>
  </si>
  <si>
    <t>Spalte4044</t>
  </si>
  <si>
    <t>Spalte4045</t>
  </si>
  <si>
    <t>Spalte4046</t>
  </si>
  <si>
    <t>Spalte4047</t>
  </si>
  <si>
    <t>Spalte4048</t>
  </si>
  <si>
    <t>Spalte4049</t>
  </si>
  <si>
    <t>Spalte4050</t>
  </si>
  <si>
    <t>Spalte4051</t>
  </si>
  <si>
    <t>Spalte4052</t>
  </si>
  <si>
    <t>Spalte4053</t>
  </si>
  <si>
    <t>Spalte4054</t>
  </si>
  <si>
    <t>Spalte4055</t>
  </si>
  <si>
    <t>Spalte4056</t>
  </si>
  <si>
    <t>Spalte4057</t>
  </si>
  <si>
    <t>Spalte4058</t>
  </si>
  <si>
    <t>Spalte4059</t>
  </si>
  <si>
    <t>Spalte4060</t>
  </si>
  <si>
    <t>Spalte4061</t>
  </si>
  <si>
    <t>Spalte4062</t>
  </si>
  <si>
    <t>Spalte4063</t>
  </si>
  <si>
    <t>Spalte4064</t>
  </si>
  <si>
    <t>Spalte4065</t>
  </si>
  <si>
    <t>Spalte4066</t>
  </si>
  <si>
    <t>Spalte4067</t>
  </si>
  <si>
    <t>Spalte4068</t>
  </si>
  <si>
    <t>Spalte4069</t>
  </si>
  <si>
    <t>Spalte4070</t>
  </si>
  <si>
    <t>Spalte4071</t>
  </si>
  <si>
    <t>Spalte4072</t>
  </si>
  <si>
    <t>Spalte4073</t>
  </si>
  <si>
    <t>Spalte4074</t>
  </si>
  <si>
    <t>Spalte4075</t>
  </si>
  <si>
    <t>Spalte4076</t>
  </si>
  <si>
    <t>Spalte4077</t>
  </si>
  <si>
    <t>Spalte4078</t>
  </si>
  <si>
    <t>Spalte4079</t>
  </si>
  <si>
    <t>Spalte4080</t>
  </si>
  <si>
    <t>Spalte4081</t>
  </si>
  <si>
    <t>Spalte4082</t>
  </si>
  <si>
    <t>Spalte4083</t>
  </si>
  <si>
    <t>Spalte4084</t>
  </si>
  <si>
    <t>Spalte4085</t>
  </si>
  <si>
    <t>Spalte4086</t>
  </si>
  <si>
    <t>Spalte4087</t>
  </si>
  <si>
    <t>Spalte4088</t>
  </si>
  <si>
    <t>Spalte4089</t>
  </si>
  <si>
    <t>Spalte4090</t>
  </si>
  <si>
    <t>Spalte4091</t>
  </si>
  <si>
    <t>Spalte4092</t>
  </si>
  <si>
    <t>Spalte4093</t>
  </si>
  <si>
    <t>Spalte4094</t>
  </si>
  <si>
    <t>Spalte4095</t>
  </si>
  <si>
    <t>Spalte4096</t>
  </si>
  <si>
    <t>Spalte4097</t>
  </si>
  <si>
    <t>Spalte4098</t>
  </si>
  <si>
    <t>Spalte4099</t>
  </si>
  <si>
    <t>Spalte4100</t>
  </si>
  <si>
    <t>Spalte4101</t>
  </si>
  <si>
    <t>Spalte4102</t>
  </si>
  <si>
    <t>Spalte4103</t>
  </si>
  <si>
    <t>Spalte4104</t>
  </si>
  <si>
    <t>Spalte4105</t>
  </si>
  <si>
    <t>Spalte4106</t>
  </si>
  <si>
    <t>Spalte4107</t>
  </si>
  <si>
    <t>Spalte4108</t>
  </si>
  <si>
    <t>Spalte4109</t>
  </si>
  <si>
    <t>Spalte4110</t>
  </si>
  <si>
    <t>Spalte4111</t>
  </si>
  <si>
    <t>Spalte4112</t>
  </si>
  <si>
    <t>Spalte4113</t>
  </si>
  <si>
    <t>Spalte4114</t>
  </si>
  <si>
    <t>Spalte4115</t>
  </si>
  <si>
    <t>Spalte4116</t>
  </si>
  <si>
    <t>Spalte4117</t>
  </si>
  <si>
    <t>Spalte4118</t>
  </si>
  <si>
    <t>Spalte4119</t>
  </si>
  <si>
    <t>Spalte4120</t>
  </si>
  <si>
    <t>Spalte4121</t>
  </si>
  <si>
    <t>Spalte4122</t>
  </si>
  <si>
    <t>Spalte4123</t>
  </si>
  <si>
    <t>Spalte4124</t>
  </si>
  <si>
    <t>Spalte4125</t>
  </si>
  <si>
    <t>Spalte4126</t>
  </si>
  <si>
    <t>Spalte4127</t>
  </si>
  <si>
    <t>Spalte4128</t>
  </si>
  <si>
    <t>Spalte4129</t>
  </si>
  <si>
    <t>Spalte4130</t>
  </si>
  <si>
    <t>Spalte4131</t>
  </si>
  <si>
    <t>Spalte4132</t>
  </si>
  <si>
    <t>Spalte4133</t>
  </si>
  <si>
    <t>Spalte4134</t>
  </si>
  <si>
    <t>Spalte4135</t>
  </si>
  <si>
    <t>Spalte4136</t>
  </si>
  <si>
    <t>Spalte4137</t>
  </si>
  <si>
    <t>Spalte4138</t>
  </si>
  <si>
    <t>Spalte4139</t>
  </si>
  <si>
    <t>Spalte4140</t>
  </si>
  <si>
    <t>Spalte4141</t>
  </si>
  <si>
    <t>Spalte4142</t>
  </si>
  <si>
    <t>Spalte4143</t>
  </si>
  <si>
    <t>Spalte4144</t>
  </si>
  <si>
    <t>Spalte4145</t>
  </si>
  <si>
    <t>Spalte4146</t>
  </si>
  <si>
    <t>Spalte4147</t>
  </si>
  <si>
    <t>Spalte4148</t>
  </si>
  <si>
    <t>Spalte4149</t>
  </si>
  <si>
    <t>Spalte4150</t>
  </si>
  <si>
    <t>Spalte4151</t>
  </si>
  <si>
    <t>Spalte4152</t>
  </si>
  <si>
    <t>Spalte4153</t>
  </si>
  <si>
    <t>Spalte4154</t>
  </si>
  <si>
    <t>Spalte4155</t>
  </si>
  <si>
    <t>Spalte4156</t>
  </si>
  <si>
    <t>Spalte4157</t>
  </si>
  <si>
    <t>Spalte4158</t>
  </si>
  <si>
    <t>Spalte4159</t>
  </si>
  <si>
    <t>Spalte4160</t>
  </si>
  <si>
    <t>Spalte4161</t>
  </si>
  <si>
    <t>Spalte4162</t>
  </si>
  <si>
    <t>Spalte4163</t>
  </si>
  <si>
    <t>Spalte4164</t>
  </si>
  <si>
    <t>Spalte4165</t>
  </si>
  <si>
    <t>Spalte4166</t>
  </si>
  <si>
    <t>Spalte4167</t>
  </si>
  <si>
    <t>Spalte4168</t>
  </si>
  <si>
    <t>Spalte4169</t>
  </si>
  <si>
    <t>Spalte4170</t>
  </si>
  <si>
    <t>Spalte4171</t>
  </si>
  <si>
    <t>Spalte4172</t>
  </si>
  <si>
    <t>Spalte4173</t>
  </si>
  <si>
    <t>Spalte4174</t>
  </si>
  <si>
    <t>Spalte4175</t>
  </si>
  <si>
    <t>Spalte4176</t>
  </si>
  <si>
    <t>Spalte4177</t>
  </si>
  <si>
    <t>Spalte4178</t>
  </si>
  <si>
    <t>Spalte4179</t>
  </si>
  <si>
    <t>Spalte4180</t>
  </si>
  <si>
    <t>Spalte4181</t>
  </si>
  <si>
    <t>Spalte4182</t>
  </si>
  <si>
    <t>Spalte4183</t>
  </si>
  <si>
    <t>Spalte4184</t>
  </si>
  <si>
    <t>Spalte4185</t>
  </si>
  <si>
    <t>Spalte4186</t>
  </si>
  <si>
    <t>Spalte4187</t>
  </si>
  <si>
    <t>Spalte4188</t>
  </si>
  <si>
    <t>Spalte4189</t>
  </si>
  <si>
    <t>Spalte4190</t>
  </si>
  <si>
    <t>Spalte4191</t>
  </si>
  <si>
    <t>Spalte4192</t>
  </si>
  <si>
    <t>Spalte4193</t>
  </si>
  <si>
    <t>Spalte4194</t>
  </si>
  <si>
    <t>Spalte4195</t>
  </si>
  <si>
    <t>Spalte4196</t>
  </si>
  <si>
    <t>Spalte4197</t>
  </si>
  <si>
    <t>Spalte4198</t>
  </si>
  <si>
    <t>Spalte4199</t>
  </si>
  <si>
    <t>Spalte4200</t>
  </si>
  <si>
    <t>Spalte4201</t>
  </si>
  <si>
    <t>Spalte4202</t>
  </si>
  <si>
    <t>Spalte4203</t>
  </si>
  <si>
    <t>Spalte4204</t>
  </si>
  <si>
    <t>Spalte4205</t>
  </si>
  <si>
    <t>Spalte4206</t>
  </si>
  <si>
    <t>Spalte4207</t>
  </si>
  <si>
    <t>Spalte4208</t>
  </si>
  <si>
    <t>Spalte4209</t>
  </si>
  <si>
    <t>Spalte4210</t>
  </si>
  <si>
    <t>Spalte4211</t>
  </si>
  <si>
    <t>Spalte4212</t>
  </si>
  <si>
    <t>Spalte4213</t>
  </si>
  <si>
    <t>Spalte4214</t>
  </si>
  <si>
    <t>Spalte4215</t>
  </si>
  <si>
    <t>Spalte4216</t>
  </si>
  <si>
    <t>Spalte4217</t>
  </si>
  <si>
    <t>Spalte4218</t>
  </si>
  <si>
    <t>Spalte4219</t>
  </si>
  <si>
    <t>Spalte4220</t>
  </si>
  <si>
    <t>Spalte4221</t>
  </si>
  <si>
    <t>Spalte4222</t>
  </si>
  <si>
    <t>Spalte4223</t>
  </si>
  <si>
    <t>Spalte4224</t>
  </si>
  <si>
    <t>Spalte4225</t>
  </si>
  <si>
    <t>Spalte4226</t>
  </si>
  <si>
    <t>Spalte4227</t>
  </si>
  <si>
    <t>Spalte4228</t>
  </si>
  <si>
    <t>Spalte4229</t>
  </si>
  <si>
    <t>Spalte4230</t>
  </si>
  <si>
    <t>Spalte4231</t>
  </si>
  <si>
    <t>Spalte4232</t>
  </si>
  <si>
    <t>Spalte4233</t>
  </si>
  <si>
    <t>Spalte4234</t>
  </si>
  <si>
    <t>Spalte4235</t>
  </si>
  <si>
    <t>Spalte4236</t>
  </si>
  <si>
    <t>Spalte4237</t>
  </si>
  <si>
    <t>Spalte4238</t>
  </si>
  <si>
    <t>Spalte4239</t>
  </si>
  <si>
    <t>Spalte4240</t>
  </si>
  <si>
    <t>Spalte4241</t>
  </si>
  <si>
    <t>Spalte4242</t>
  </si>
  <si>
    <t>Spalte4243</t>
  </si>
  <si>
    <t>Spalte4244</t>
  </si>
  <si>
    <t>Spalte4245</t>
  </si>
  <si>
    <t>Spalte4246</t>
  </si>
  <si>
    <t>Spalte4247</t>
  </si>
  <si>
    <t>Spalte4248</t>
  </si>
  <si>
    <t>Spalte4249</t>
  </si>
  <si>
    <t>Spalte4250</t>
  </si>
  <si>
    <t>Spalte4251</t>
  </si>
  <si>
    <t>Spalte4252</t>
  </si>
  <si>
    <t>Spalte4253</t>
  </si>
  <si>
    <t>Spalte4254</t>
  </si>
  <si>
    <t>Spalte4255</t>
  </si>
  <si>
    <t>Spalte4256</t>
  </si>
  <si>
    <t>Spalte4257</t>
  </si>
  <si>
    <t>Spalte4258</t>
  </si>
  <si>
    <t>Spalte4259</t>
  </si>
  <si>
    <t>Spalte4260</t>
  </si>
  <si>
    <t>Spalte4261</t>
  </si>
  <si>
    <t>Spalte4262</t>
  </si>
  <si>
    <t>Spalte4263</t>
  </si>
  <si>
    <t>Spalte4264</t>
  </si>
  <si>
    <t>Spalte4265</t>
  </si>
  <si>
    <t>Spalte4266</t>
  </si>
  <si>
    <t>Spalte4267</t>
  </si>
  <si>
    <t>Spalte4268</t>
  </si>
  <si>
    <t>Spalte4269</t>
  </si>
  <si>
    <t>Spalte4270</t>
  </si>
  <si>
    <t>Spalte4271</t>
  </si>
  <si>
    <t>Spalte4272</t>
  </si>
  <si>
    <t>Spalte4273</t>
  </si>
  <si>
    <t>Spalte4274</t>
  </si>
  <si>
    <t>Spalte4275</t>
  </si>
  <si>
    <t>Spalte4276</t>
  </si>
  <si>
    <t>Spalte4277</t>
  </si>
  <si>
    <t>Spalte4278</t>
  </si>
  <si>
    <t>Spalte4279</t>
  </si>
  <si>
    <t>Spalte4280</t>
  </si>
  <si>
    <t>Spalte4281</t>
  </si>
  <si>
    <t>Spalte4282</t>
  </si>
  <si>
    <t>Spalte4283</t>
  </si>
  <si>
    <t>Spalte4284</t>
  </si>
  <si>
    <t>Spalte4285</t>
  </si>
  <si>
    <t>Spalte4286</t>
  </si>
  <si>
    <t>Spalte4287</t>
  </si>
  <si>
    <t>Spalte4288</t>
  </si>
  <si>
    <t>Spalte4289</t>
  </si>
  <si>
    <t>Spalte4290</t>
  </si>
  <si>
    <t>Spalte4291</t>
  </si>
  <si>
    <t>Spalte4292</t>
  </si>
  <si>
    <t>Spalte4293</t>
  </si>
  <si>
    <t>Spalte4294</t>
  </si>
  <si>
    <t>Spalte4295</t>
  </si>
  <si>
    <t>Spalte4296</t>
  </si>
  <si>
    <t>Spalte4297</t>
  </si>
  <si>
    <t>Spalte4298</t>
  </si>
  <si>
    <t>Spalte4299</t>
  </si>
  <si>
    <t>Spalte4300</t>
  </si>
  <si>
    <t>Spalte4301</t>
  </si>
  <si>
    <t>Spalte4302</t>
  </si>
  <si>
    <t>Spalte4303</t>
  </si>
  <si>
    <t>Spalte4304</t>
  </si>
  <si>
    <t>Spalte4305</t>
  </si>
  <si>
    <t>Spalte4306</t>
  </si>
  <si>
    <t>Spalte4307</t>
  </si>
  <si>
    <t>Spalte4308</t>
  </si>
  <si>
    <t>Spalte4309</t>
  </si>
  <si>
    <t>Spalte4310</t>
  </si>
  <si>
    <t>Spalte4311</t>
  </si>
  <si>
    <t>Spalte4312</t>
  </si>
  <si>
    <t>Spalte4313</t>
  </si>
  <si>
    <t>Spalte4314</t>
  </si>
  <si>
    <t>Spalte4315</t>
  </si>
  <si>
    <t>Spalte4316</t>
  </si>
  <si>
    <t>Spalte4317</t>
  </si>
  <si>
    <t>Spalte4318</t>
  </si>
  <si>
    <t>Spalte4319</t>
  </si>
  <si>
    <t>Spalte4320</t>
  </si>
  <si>
    <t>Spalte4321</t>
  </si>
  <si>
    <t>Spalte4322</t>
  </si>
  <si>
    <t>Spalte4323</t>
  </si>
  <si>
    <t>Spalte4324</t>
  </si>
  <si>
    <t>Spalte4325</t>
  </si>
  <si>
    <t>Spalte4326</t>
  </si>
  <si>
    <t>Spalte4327</t>
  </si>
  <si>
    <t>Spalte4328</t>
  </si>
  <si>
    <t>Spalte4329</t>
  </si>
  <si>
    <t>Spalte4330</t>
  </si>
  <si>
    <t>Spalte4331</t>
  </si>
  <si>
    <t>Spalte4332</t>
  </si>
  <si>
    <t>Spalte4333</t>
  </si>
  <si>
    <t>Spalte4334</t>
  </si>
  <si>
    <t>Spalte4335</t>
  </si>
  <si>
    <t>Spalte4336</t>
  </si>
  <si>
    <t>Spalte4337</t>
  </si>
  <si>
    <t>Spalte4338</t>
  </si>
  <si>
    <t>Spalte4339</t>
  </si>
  <si>
    <t>Spalte4340</t>
  </si>
  <si>
    <t>Spalte4341</t>
  </si>
  <si>
    <t>Spalte4342</t>
  </si>
  <si>
    <t>Spalte4343</t>
  </si>
  <si>
    <t>Spalte4344</t>
  </si>
  <si>
    <t>Spalte4345</t>
  </si>
  <si>
    <t>Spalte4346</t>
  </si>
  <si>
    <t>Spalte4347</t>
  </si>
  <si>
    <t>Spalte4348</t>
  </si>
  <si>
    <t>Spalte4349</t>
  </si>
  <si>
    <t>Spalte4350</t>
  </si>
  <si>
    <t>Spalte4351</t>
  </si>
  <si>
    <t>Spalte4352</t>
  </si>
  <si>
    <t>Spalte4353</t>
  </si>
  <si>
    <t>Spalte4354</t>
  </si>
  <si>
    <t>Spalte4355</t>
  </si>
  <si>
    <t>Spalte4356</t>
  </si>
  <si>
    <t>Spalte4357</t>
  </si>
  <si>
    <t>Spalte4358</t>
  </si>
  <si>
    <t>Spalte4359</t>
  </si>
  <si>
    <t>Spalte4360</t>
  </si>
  <si>
    <t>Spalte4361</t>
  </si>
  <si>
    <t>Spalte4362</t>
  </si>
  <si>
    <t>Spalte4363</t>
  </si>
  <si>
    <t>Spalte4364</t>
  </si>
  <si>
    <t>Spalte4365</t>
  </si>
  <si>
    <t>Spalte4366</t>
  </si>
  <si>
    <t>Spalte4367</t>
  </si>
  <si>
    <t>Spalte4368</t>
  </si>
  <si>
    <t>Spalte4369</t>
  </si>
  <si>
    <t>Spalte4370</t>
  </si>
  <si>
    <t>Spalte4371</t>
  </si>
  <si>
    <t>Spalte4372</t>
  </si>
  <si>
    <t>Spalte4373</t>
  </si>
  <si>
    <t>Spalte4374</t>
  </si>
  <si>
    <t>Spalte4375</t>
  </si>
  <si>
    <t>Spalte4376</t>
  </si>
  <si>
    <t>Spalte4377</t>
  </si>
  <si>
    <t>Spalte4378</t>
  </si>
  <si>
    <t>Spalte4379</t>
  </si>
  <si>
    <t>Spalte4380</t>
  </si>
  <si>
    <t>Spalte4381</t>
  </si>
  <si>
    <t>Spalte4382</t>
  </si>
  <si>
    <t>Spalte4383</t>
  </si>
  <si>
    <t>Spalte4384</t>
  </si>
  <si>
    <t>Spalte4385</t>
  </si>
  <si>
    <t>Spalte4386</t>
  </si>
  <si>
    <t>Spalte4387</t>
  </si>
  <si>
    <t>Spalte4388</t>
  </si>
  <si>
    <t>Spalte4389</t>
  </si>
  <si>
    <t>Spalte4390</t>
  </si>
  <si>
    <t>Spalte4391</t>
  </si>
  <si>
    <t>Spalte4392</t>
  </si>
  <si>
    <t>Spalte4393</t>
  </si>
  <si>
    <t>Spalte4394</t>
  </si>
  <si>
    <t>Spalte4395</t>
  </si>
  <si>
    <t>Spalte4396</t>
  </si>
  <si>
    <t>Spalte4397</t>
  </si>
  <si>
    <t>Spalte4398</t>
  </si>
  <si>
    <t>Spalte4399</t>
  </si>
  <si>
    <t>Spalte4400</t>
  </si>
  <si>
    <t>Spalte4401</t>
  </si>
  <si>
    <t>Spalte4402</t>
  </si>
  <si>
    <t>Spalte4403</t>
  </si>
  <si>
    <t>Spalte4404</t>
  </si>
  <si>
    <t>Spalte4405</t>
  </si>
  <si>
    <t>Spalte4406</t>
  </si>
  <si>
    <t>Spalte4407</t>
  </si>
  <si>
    <t>Spalte4408</t>
  </si>
  <si>
    <t>Spalte4409</t>
  </si>
  <si>
    <t>Spalte4410</t>
  </si>
  <si>
    <t>Spalte4411</t>
  </si>
  <si>
    <t>Spalte4412</t>
  </si>
  <si>
    <t>Spalte4413</t>
  </si>
  <si>
    <t>Spalte4414</t>
  </si>
  <si>
    <t>Spalte4415</t>
  </si>
  <si>
    <t>Spalte4416</t>
  </si>
  <si>
    <t>Spalte4417</t>
  </si>
  <si>
    <t>Spalte4418</t>
  </si>
  <si>
    <t>Spalte4419</t>
  </si>
  <si>
    <t>Spalte4420</t>
  </si>
  <si>
    <t>Spalte4421</t>
  </si>
  <si>
    <t>Spalte4422</t>
  </si>
  <si>
    <t>Spalte4423</t>
  </si>
  <si>
    <t>Spalte4424</t>
  </si>
  <si>
    <t>Spalte4425</t>
  </si>
  <si>
    <t>Spalte4426</t>
  </si>
  <si>
    <t>Spalte4427</t>
  </si>
  <si>
    <t>Spalte4428</t>
  </si>
  <si>
    <t>Spalte4429</t>
  </si>
  <si>
    <t>Spalte4430</t>
  </si>
  <si>
    <t>Spalte4431</t>
  </si>
  <si>
    <t>Spalte4432</t>
  </si>
  <si>
    <t>Spalte4433</t>
  </si>
  <si>
    <t>Spalte4434</t>
  </si>
  <si>
    <t>Spalte4435</t>
  </si>
  <si>
    <t>Spalte4436</t>
  </si>
  <si>
    <t>Spalte4437</t>
  </si>
  <si>
    <t>Spalte4438</t>
  </si>
  <si>
    <t>Spalte4439</t>
  </si>
  <si>
    <t>Spalte4440</t>
  </si>
  <si>
    <t>Spalte4441</t>
  </si>
  <si>
    <t>Spalte4442</t>
  </si>
  <si>
    <t>Spalte4443</t>
  </si>
  <si>
    <t>Spalte4444</t>
  </si>
  <si>
    <t>Spalte4445</t>
  </si>
  <si>
    <t>Spalte4446</t>
  </si>
  <si>
    <t>Spalte4447</t>
  </si>
  <si>
    <t>Spalte4448</t>
  </si>
  <si>
    <t>Spalte4449</t>
  </si>
  <si>
    <t>Spalte4450</t>
  </si>
  <si>
    <t>Spalte4451</t>
  </si>
  <si>
    <t>Spalte4452</t>
  </si>
  <si>
    <t>Spalte4453</t>
  </si>
  <si>
    <t>Spalte4454</t>
  </si>
  <si>
    <t>Spalte4455</t>
  </si>
  <si>
    <t>Spalte4456</t>
  </si>
  <si>
    <t>Spalte4457</t>
  </si>
  <si>
    <t>Spalte4458</t>
  </si>
  <si>
    <t>Spalte4459</t>
  </si>
  <si>
    <t>Spalte4460</t>
  </si>
  <si>
    <t>Spalte4461</t>
  </si>
  <si>
    <t>Spalte4462</t>
  </si>
  <si>
    <t>Spalte4463</t>
  </si>
  <si>
    <t>Spalte4464</t>
  </si>
  <si>
    <t>Spalte4465</t>
  </si>
  <si>
    <t>Spalte4466</t>
  </si>
  <si>
    <t>Spalte4467</t>
  </si>
  <si>
    <t>Spalte4468</t>
  </si>
  <si>
    <t>Spalte4469</t>
  </si>
  <si>
    <t>Spalte4470</t>
  </si>
  <si>
    <t>Spalte4471</t>
  </si>
  <si>
    <t>Spalte4472</t>
  </si>
  <si>
    <t>Spalte4473</t>
  </si>
  <si>
    <t>Spalte4474</t>
  </si>
  <si>
    <t>Spalte4475</t>
  </si>
  <si>
    <t>Spalte4476</t>
  </si>
  <si>
    <t>Spalte4477</t>
  </si>
  <si>
    <t>Spalte4478</t>
  </si>
  <si>
    <t>Spalte4479</t>
  </si>
  <si>
    <t>Spalte4480</t>
  </si>
  <si>
    <t>Spalte4481</t>
  </si>
  <si>
    <t>Spalte4482</t>
  </si>
  <si>
    <t>Spalte4483</t>
  </si>
  <si>
    <t>Spalte4484</t>
  </si>
  <si>
    <t>Spalte4485</t>
  </si>
  <si>
    <t>Spalte4486</t>
  </si>
  <si>
    <t>Spalte4487</t>
  </si>
  <si>
    <t>Spalte4488</t>
  </si>
  <si>
    <t>Spalte4489</t>
  </si>
  <si>
    <t>Spalte4490</t>
  </si>
  <si>
    <t>Spalte4491</t>
  </si>
  <si>
    <t>Spalte4492</t>
  </si>
  <si>
    <t>Spalte4493</t>
  </si>
  <si>
    <t>Spalte4494</t>
  </si>
  <si>
    <t>Spalte4495</t>
  </si>
  <si>
    <t>Spalte4496</t>
  </si>
  <si>
    <t>Spalte4497</t>
  </si>
  <si>
    <t>Spalte4498</t>
  </si>
  <si>
    <t>Spalte4499</t>
  </si>
  <si>
    <t>Spalte4500</t>
  </si>
  <si>
    <t>Spalte4501</t>
  </si>
  <si>
    <t>Spalte4502</t>
  </si>
  <si>
    <t>Spalte4503</t>
  </si>
  <si>
    <t>Spalte4504</t>
  </si>
  <si>
    <t>Spalte4505</t>
  </si>
  <si>
    <t>Spalte4506</t>
  </si>
  <si>
    <t>Spalte4507</t>
  </si>
  <si>
    <t>Spalte4508</t>
  </si>
  <si>
    <t>Spalte4509</t>
  </si>
  <si>
    <t>Spalte4510</t>
  </si>
  <si>
    <t>Spalte4511</t>
  </si>
  <si>
    <t>Spalte4512</t>
  </si>
  <si>
    <t>Spalte4513</t>
  </si>
  <si>
    <t>Spalte4514</t>
  </si>
  <si>
    <t>Spalte4515</t>
  </si>
  <si>
    <t>Spalte4516</t>
  </si>
  <si>
    <t>Spalte4517</t>
  </si>
  <si>
    <t>Spalte4518</t>
  </si>
  <si>
    <t>Spalte4519</t>
  </si>
  <si>
    <t>Spalte4520</t>
  </si>
  <si>
    <t>Spalte4521</t>
  </si>
  <si>
    <t>Spalte4522</t>
  </si>
  <si>
    <t>Spalte4523</t>
  </si>
  <si>
    <t>Spalte4524</t>
  </si>
  <si>
    <t>Spalte4525</t>
  </si>
  <si>
    <t>Spalte4526</t>
  </si>
  <si>
    <t>Spalte4527</t>
  </si>
  <si>
    <t>Spalte4528</t>
  </si>
  <si>
    <t>Spalte4529</t>
  </si>
  <si>
    <t>Spalte4530</t>
  </si>
  <si>
    <t>Spalte4531</t>
  </si>
  <si>
    <t>Spalte4532</t>
  </si>
  <si>
    <t>Spalte4533</t>
  </si>
  <si>
    <t>Spalte4534</t>
  </si>
  <si>
    <t>Spalte4535</t>
  </si>
  <si>
    <t>Spalte4536</t>
  </si>
  <si>
    <t>Spalte4537</t>
  </si>
  <si>
    <t>Spalte4538</t>
  </si>
  <si>
    <t>Spalte4539</t>
  </si>
  <si>
    <t>Spalte4540</t>
  </si>
  <si>
    <t>Spalte4541</t>
  </si>
  <si>
    <t>Spalte4542</t>
  </si>
  <si>
    <t>Spalte4543</t>
  </si>
  <si>
    <t>Spalte4544</t>
  </si>
  <si>
    <t>Spalte4545</t>
  </si>
  <si>
    <t>Spalte4546</t>
  </si>
  <si>
    <t>Spalte4547</t>
  </si>
  <si>
    <t>Spalte4548</t>
  </si>
  <si>
    <t>Spalte4549</t>
  </si>
  <si>
    <t>Spalte4550</t>
  </si>
  <si>
    <t>Spalte4551</t>
  </si>
  <si>
    <t>Spalte4552</t>
  </si>
  <si>
    <t>Spalte4553</t>
  </si>
  <si>
    <t>Spalte4554</t>
  </si>
  <si>
    <t>Spalte4555</t>
  </si>
  <si>
    <t>Spalte4556</t>
  </si>
  <si>
    <t>Spalte4557</t>
  </si>
  <si>
    <t>Spalte4558</t>
  </si>
  <si>
    <t>Spalte4559</t>
  </si>
  <si>
    <t>Spalte4560</t>
  </si>
  <si>
    <t>Spalte4561</t>
  </si>
  <si>
    <t>Spalte4562</t>
  </si>
  <si>
    <t>Spalte4563</t>
  </si>
  <si>
    <t>Spalte4564</t>
  </si>
  <si>
    <t>Spalte4565</t>
  </si>
  <si>
    <t>Spalte4566</t>
  </si>
  <si>
    <t>Spalte4567</t>
  </si>
  <si>
    <t>Spalte4568</t>
  </si>
  <si>
    <t>Spalte4569</t>
  </si>
  <si>
    <t>Spalte4570</t>
  </si>
  <si>
    <t>Spalte4571</t>
  </si>
  <si>
    <t>Spalte4572</t>
  </si>
  <si>
    <t>Spalte4573</t>
  </si>
  <si>
    <t>Spalte4574</t>
  </si>
  <si>
    <t>Spalte4575</t>
  </si>
  <si>
    <t>Spalte4576</t>
  </si>
  <si>
    <t>Spalte4577</t>
  </si>
  <si>
    <t>Spalte4578</t>
  </si>
  <si>
    <t>Spalte4579</t>
  </si>
  <si>
    <t>Spalte4580</t>
  </si>
  <si>
    <t>Spalte4581</t>
  </si>
  <si>
    <t>Spalte4582</t>
  </si>
  <si>
    <t>Spalte4583</t>
  </si>
  <si>
    <t>Spalte4584</t>
  </si>
  <si>
    <t>Spalte4585</t>
  </si>
  <si>
    <t>Spalte4586</t>
  </si>
  <si>
    <t>Spalte4587</t>
  </si>
  <si>
    <t>Spalte4588</t>
  </si>
  <si>
    <t>Spalte4589</t>
  </si>
  <si>
    <t>Spalte4590</t>
  </si>
  <si>
    <t>Spalte4591</t>
  </si>
  <si>
    <t>Spalte4592</t>
  </si>
  <si>
    <t>Spalte4593</t>
  </si>
  <si>
    <t>Spalte4594</t>
  </si>
  <si>
    <t>Spalte4595</t>
  </si>
  <si>
    <t>Spalte4596</t>
  </si>
  <si>
    <t>Spalte4597</t>
  </si>
  <si>
    <t>Spalte4598</t>
  </si>
  <si>
    <t>Spalte4599</t>
  </si>
  <si>
    <t>Spalte4600</t>
  </si>
  <si>
    <t>Spalte4601</t>
  </si>
  <si>
    <t>Spalte4602</t>
  </si>
  <si>
    <t>Spalte4603</t>
  </si>
  <si>
    <t>Spalte4604</t>
  </si>
  <si>
    <t>Spalte4605</t>
  </si>
  <si>
    <t>Spalte4606</t>
  </si>
  <si>
    <t>Spalte4607</t>
  </si>
  <si>
    <t>Spalte4608</t>
  </si>
  <si>
    <t>Spalte4609</t>
  </si>
  <si>
    <t>Spalte4610</t>
  </si>
  <si>
    <t>Spalte4611</t>
  </si>
  <si>
    <t>Spalte4612</t>
  </si>
  <si>
    <t>Spalte4613</t>
  </si>
  <si>
    <t>Spalte4614</t>
  </si>
  <si>
    <t>Spalte4615</t>
  </si>
  <si>
    <t>Spalte4616</t>
  </si>
  <si>
    <t>Spalte4617</t>
  </si>
  <si>
    <t>Spalte4618</t>
  </si>
  <si>
    <t>Spalte4619</t>
  </si>
  <si>
    <t>Spalte4620</t>
  </si>
  <si>
    <t>Spalte4621</t>
  </si>
  <si>
    <t>Spalte4622</t>
  </si>
  <si>
    <t>Spalte4623</t>
  </si>
  <si>
    <t>Spalte4624</t>
  </si>
  <si>
    <t>Spalte4625</t>
  </si>
  <si>
    <t>Spalte4626</t>
  </si>
  <si>
    <t>Spalte4627</t>
  </si>
  <si>
    <t>Spalte4628</t>
  </si>
  <si>
    <t>Spalte4629</t>
  </si>
  <si>
    <t>Spalte4630</t>
  </si>
  <si>
    <t>Spalte4631</t>
  </si>
  <si>
    <t>Spalte4632</t>
  </si>
  <si>
    <t>Spalte4633</t>
  </si>
  <si>
    <t>Spalte4634</t>
  </si>
  <si>
    <t>Spalte4635</t>
  </si>
  <si>
    <t>Spalte4636</t>
  </si>
  <si>
    <t>Spalte4637</t>
  </si>
  <si>
    <t>Spalte4638</t>
  </si>
  <si>
    <t>Spalte4639</t>
  </si>
  <si>
    <t>Spalte4640</t>
  </si>
  <si>
    <t>Spalte4641</t>
  </si>
  <si>
    <t>Spalte4642</t>
  </si>
  <si>
    <t>Spalte4643</t>
  </si>
  <si>
    <t>Spalte4644</t>
  </si>
  <si>
    <t>Spalte4645</t>
  </si>
  <si>
    <t>Spalte4646</t>
  </si>
  <si>
    <t>Spalte4647</t>
  </si>
  <si>
    <t>Spalte4648</t>
  </si>
  <si>
    <t>Spalte4649</t>
  </si>
  <si>
    <t>Spalte4650</t>
  </si>
  <si>
    <t>Spalte4651</t>
  </si>
  <si>
    <t>Spalte4652</t>
  </si>
  <si>
    <t>Spalte4653</t>
  </si>
  <si>
    <t>Spalte4654</t>
  </si>
  <si>
    <t>Spalte4655</t>
  </si>
  <si>
    <t>Spalte4656</t>
  </si>
  <si>
    <t>Spalte4657</t>
  </si>
  <si>
    <t>Spalte4658</t>
  </si>
  <si>
    <t>Spalte4659</t>
  </si>
  <si>
    <t>Spalte4660</t>
  </si>
  <si>
    <t>Spalte4661</t>
  </si>
  <si>
    <t>Spalte4662</t>
  </si>
  <si>
    <t>Spalte4663</t>
  </si>
  <si>
    <t>Spalte4664</t>
  </si>
  <si>
    <t>Spalte4665</t>
  </si>
  <si>
    <t>Spalte4666</t>
  </si>
  <si>
    <t>Spalte4667</t>
  </si>
  <si>
    <t>Spalte4668</t>
  </si>
  <si>
    <t>Spalte4669</t>
  </si>
  <si>
    <t>Spalte4670</t>
  </si>
  <si>
    <t>Spalte4671</t>
  </si>
  <si>
    <t>Spalte4672</t>
  </si>
  <si>
    <t>Spalte4673</t>
  </si>
  <si>
    <t>Spalte4674</t>
  </si>
  <si>
    <t>Spalte4675</t>
  </si>
  <si>
    <t>Spalte4676</t>
  </si>
  <si>
    <t>Spalte4677</t>
  </si>
  <si>
    <t>Spalte4678</t>
  </si>
  <si>
    <t>Spalte4679</t>
  </si>
  <si>
    <t>Spalte4680</t>
  </si>
  <si>
    <t>Spalte4681</t>
  </si>
  <si>
    <t>Spalte4682</t>
  </si>
  <si>
    <t>Spalte4683</t>
  </si>
  <si>
    <t>Spalte4684</t>
  </si>
  <si>
    <t>Spalte4685</t>
  </si>
  <si>
    <t>Spalte4686</t>
  </si>
  <si>
    <t>Spalte4687</t>
  </si>
  <si>
    <t>Spalte4688</t>
  </si>
  <si>
    <t>Spalte4689</t>
  </si>
  <si>
    <t>Spalte4690</t>
  </si>
  <si>
    <t>Spalte4691</t>
  </si>
  <si>
    <t>Spalte4692</t>
  </si>
  <si>
    <t>Spalte4693</t>
  </si>
  <si>
    <t>Spalte4694</t>
  </si>
  <si>
    <t>Spalte4695</t>
  </si>
  <si>
    <t>Spalte4696</t>
  </si>
  <si>
    <t>Spalte4697</t>
  </si>
  <si>
    <t>Spalte4698</t>
  </si>
  <si>
    <t>Spalte4699</t>
  </si>
  <si>
    <t>Spalte4700</t>
  </si>
  <si>
    <t>Spalte4701</t>
  </si>
  <si>
    <t>Spalte4702</t>
  </si>
  <si>
    <t>Spalte4703</t>
  </si>
  <si>
    <t>Spalte4704</t>
  </si>
  <si>
    <t>Spalte4705</t>
  </si>
  <si>
    <t>Spalte4706</t>
  </si>
  <si>
    <t>Spalte4707</t>
  </si>
  <si>
    <t>Spalte4708</t>
  </si>
  <si>
    <t>Spalte4709</t>
  </si>
  <si>
    <t>Spalte4710</t>
  </si>
  <si>
    <t>Spalte4711</t>
  </si>
  <si>
    <t>Spalte4712</t>
  </si>
  <si>
    <t>Spalte4713</t>
  </si>
  <si>
    <t>Spalte4714</t>
  </si>
  <si>
    <t>Spalte4715</t>
  </si>
  <si>
    <t>Spalte4716</t>
  </si>
  <si>
    <t>Spalte4717</t>
  </si>
  <si>
    <t>Spalte4718</t>
  </si>
  <si>
    <t>Spalte4719</t>
  </si>
  <si>
    <t>Spalte4720</t>
  </si>
  <si>
    <t>Spalte4721</t>
  </si>
  <si>
    <t>Spalte4722</t>
  </si>
  <si>
    <t>Spalte4723</t>
  </si>
  <si>
    <t>Spalte4724</t>
  </si>
  <si>
    <t>Spalte4725</t>
  </si>
  <si>
    <t>Spalte4726</t>
  </si>
  <si>
    <t>Spalte4727</t>
  </si>
  <si>
    <t>Spalte4728</t>
  </si>
  <si>
    <t>Spalte4729</t>
  </si>
  <si>
    <t>Spalte4730</t>
  </si>
  <si>
    <t>Spalte4731</t>
  </si>
  <si>
    <t>Spalte4732</t>
  </si>
  <si>
    <t>Spalte4733</t>
  </si>
  <si>
    <t>Spalte4734</t>
  </si>
  <si>
    <t>Spalte4735</t>
  </si>
  <si>
    <t>Spalte4736</t>
  </si>
  <si>
    <t>Spalte4737</t>
  </si>
  <si>
    <t>Spalte4738</t>
  </si>
  <si>
    <t>Spalte4739</t>
  </si>
  <si>
    <t>Spalte4740</t>
  </si>
  <si>
    <t>Spalte4741</t>
  </si>
  <si>
    <t>Spalte4742</t>
  </si>
  <si>
    <t>Spalte4743</t>
  </si>
  <si>
    <t>Spalte4744</t>
  </si>
  <si>
    <t>Spalte4745</t>
  </si>
  <si>
    <t>Spalte4746</t>
  </si>
  <si>
    <t>Spalte4747</t>
  </si>
  <si>
    <t>Spalte4748</t>
  </si>
  <si>
    <t>Spalte4749</t>
  </si>
  <si>
    <t>Spalte4750</t>
  </si>
  <si>
    <t>Spalte4751</t>
  </si>
  <si>
    <t>Spalte4752</t>
  </si>
  <si>
    <t>Spalte4753</t>
  </si>
  <si>
    <t>Spalte4754</t>
  </si>
  <si>
    <t>Spalte4755</t>
  </si>
  <si>
    <t>Spalte4756</t>
  </si>
  <si>
    <t>Spalte4757</t>
  </si>
  <si>
    <t>Spalte4758</t>
  </si>
  <si>
    <t>Spalte4759</t>
  </si>
  <si>
    <t>Spalte4760</t>
  </si>
  <si>
    <t>Spalte4761</t>
  </si>
  <si>
    <t>Spalte4762</t>
  </si>
  <si>
    <t>Spalte4763</t>
  </si>
  <si>
    <t>Spalte4764</t>
  </si>
  <si>
    <t>Spalte4765</t>
  </si>
  <si>
    <t>Spalte4766</t>
  </si>
  <si>
    <t>Spalte4767</t>
  </si>
  <si>
    <t>Spalte4768</t>
  </si>
  <si>
    <t>Spalte4769</t>
  </si>
  <si>
    <t>Spalte4770</t>
  </si>
  <si>
    <t>Spalte4771</t>
  </si>
  <si>
    <t>Spalte4772</t>
  </si>
  <si>
    <t>Spalte4773</t>
  </si>
  <si>
    <t>Spalte4774</t>
  </si>
  <si>
    <t>Spalte4775</t>
  </si>
  <si>
    <t>Spalte4776</t>
  </si>
  <si>
    <t>Spalte4777</t>
  </si>
  <si>
    <t>Spalte4778</t>
  </si>
  <si>
    <t>Spalte4779</t>
  </si>
  <si>
    <t>Spalte4780</t>
  </si>
  <si>
    <t>Spalte4781</t>
  </si>
  <si>
    <t>Spalte4782</t>
  </si>
  <si>
    <t>Spalte4783</t>
  </si>
  <si>
    <t>Spalte4784</t>
  </si>
  <si>
    <t>Spalte4785</t>
  </si>
  <si>
    <t>Spalte4786</t>
  </si>
  <si>
    <t>Spalte4787</t>
  </si>
  <si>
    <t>Spalte4788</t>
  </si>
  <si>
    <t>Spalte4789</t>
  </si>
  <si>
    <t>Spalte4790</t>
  </si>
  <si>
    <t>Spalte4791</t>
  </si>
  <si>
    <t>Spalte4792</t>
  </si>
  <si>
    <t>Spalte4793</t>
  </si>
  <si>
    <t>Spalte4794</t>
  </si>
  <si>
    <t>Spalte4795</t>
  </si>
  <si>
    <t>Spalte4796</t>
  </si>
  <si>
    <t>Spalte4797</t>
  </si>
  <si>
    <t>Spalte4798</t>
  </si>
  <si>
    <t>Spalte4799</t>
  </si>
  <si>
    <t>Spalte4800</t>
  </si>
  <si>
    <t>Spalte4801</t>
  </si>
  <si>
    <t>Spalte4802</t>
  </si>
  <si>
    <t>Spalte4803</t>
  </si>
  <si>
    <t>Spalte4804</t>
  </si>
  <si>
    <t>Spalte4805</t>
  </si>
  <si>
    <t>Spalte4806</t>
  </si>
  <si>
    <t>Spalte4807</t>
  </si>
  <si>
    <t>Spalte4808</t>
  </si>
  <si>
    <t>Spalte4809</t>
  </si>
  <si>
    <t>Spalte4810</t>
  </si>
  <si>
    <t>Spalte4811</t>
  </si>
  <si>
    <t>Spalte4812</t>
  </si>
  <si>
    <t>Spalte4813</t>
  </si>
  <si>
    <t>Spalte4814</t>
  </si>
  <si>
    <t>Spalte4815</t>
  </si>
  <si>
    <t>Spalte4816</t>
  </si>
  <si>
    <t>Spalte4817</t>
  </si>
  <si>
    <t>Spalte4818</t>
  </si>
  <si>
    <t>Spalte4819</t>
  </si>
  <si>
    <t>Spalte4820</t>
  </si>
  <si>
    <t>Spalte4821</t>
  </si>
  <si>
    <t>Spalte4822</t>
  </si>
  <si>
    <t>Spalte4823</t>
  </si>
  <si>
    <t>Spalte4824</t>
  </si>
  <si>
    <t>Spalte4825</t>
  </si>
  <si>
    <t>Spalte4826</t>
  </si>
  <si>
    <t>Spalte4827</t>
  </si>
  <si>
    <t>Spalte4828</t>
  </si>
  <si>
    <t>Spalte4829</t>
  </si>
  <si>
    <t>Spalte4830</t>
  </si>
  <si>
    <t>Spalte4831</t>
  </si>
  <si>
    <t>Spalte4832</t>
  </si>
  <si>
    <t>Spalte4833</t>
  </si>
  <si>
    <t>Spalte4834</t>
  </si>
  <si>
    <t>Spalte4835</t>
  </si>
  <si>
    <t>Spalte4836</t>
  </si>
  <si>
    <t>Spalte4837</t>
  </si>
  <si>
    <t>Spalte4838</t>
  </si>
  <si>
    <t>Spalte4839</t>
  </si>
  <si>
    <t>Spalte4840</t>
  </si>
  <si>
    <t>Spalte4841</t>
  </si>
  <si>
    <t>Spalte4842</t>
  </si>
  <si>
    <t>Spalte4843</t>
  </si>
  <si>
    <t>Spalte4844</t>
  </si>
  <si>
    <t>Spalte4845</t>
  </si>
  <si>
    <t>Spalte4846</t>
  </si>
  <si>
    <t>Spalte4847</t>
  </si>
  <si>
    <t>Spalte4848</t>
  </si>
  <si>
    <t>Spalte4849</t>
  </si>
  <si>
    <t>Spalte4850</t>
  </si>
  <si>
    <t>Spalte4851</t>
  </si>
  <si>
    <t>Spalte4852</t>
  </si>
  <si>
    <t>Spalte4853</t>
  </si>
  <si>
    <t>Spalte4854</t>
  </si>
  <si>
    <t>Spalte4855</t>
  </si>
  <si>
    <t>Spalte4856</t>
  </si>
  <si>
    <t>Spalte4857</t>
  </si>
  <si>
    <t>Spalte4858</t>
  </si>
  <si>
    <t>Spalte4859</t>
  </si>
  <si>
    <t>Spalte4860</t>
  </si>
  <si>
    <t>Spalte4861</t>
  </si>
  <si>
    <t>Spalte4862</t>
  </si>
  <si>
    <t>Spalte4863</t>
  </si>
  <si>
    <t>Spalte4864</t>
  </si>
  <si>
    <t>Spalte4865</t>
  </si>
  <si>
    <t>Spalte4866</t>
  </si>
  <si>
    <t>Spalte4867</t>
  </si>
  <si>
    <t>Spalte4868</t>
  </si>
  <si>
    <t>Spalte4869</t>
  </si>
  <si>
    <t>Spalte4870</t>
  </si>
  <si>
    <t>Spalte4871</t>
  </si>
  <si>
    <t>Spalte4872</t>
  </si>
  <si>
    <t>Spalte4873</t>
  </si>
  <si>
    <t>Spalte4874</t>
  </si>
  <si>
    <t>Spalte4875</t>
  </si>
  <si>
    <t>Spalte4876</t>
  </si>
  <si>
    <t>Spalte4877</t>
  </si>
  <si>
    <t>Spalte4878</t>
  </si>
  <si>
    <t>Spalte4879</t>
  </si>
  <si>
    <t>Spalte4880</t>
  </si>
  <si>
    <t>Spalte4881</t>
  </si>
  <si>
    <t>Spalte4882</t>
  </si>
  <si>
    <t>Spalte4883</t>
  </si>
  <si>
    <t>Spalte4884</t>
  </si>
  <si>
    <t>Spalte4885</t>
  </si>
  <si>
    <t>Spalte4886</t>
  </si>
  <si>
    <t>Spalte4887</t>
  </si>
  <si>
    <t>Spalte4888</t>
  </si>
  <si>
    <t>Spalte4889</t>
  </si>
  <si>
    <t>Spalte4890</t>
  </si>
  <si>
    <t>Spalte4891</t>
  </si>
  <si>
    <t>Spalte4892</t>
  </si>
  <si>
    <t>Spalte4893</t>
  </si>
  <si>
    <t>Spalte4894</t>
  </si>
  <si>
    <t>Spalte4895</t>
  </si>
  <si>
    <t>Spalte4896</t>
  </si>
  <si>
    <t>Spalte4897</t>
  </si>
  <si>
    <t>Spalte4898</t>
  </si>
  <si>
    <t>Spalte4899</t>
  </si>
  <si>
    <t>Spalte4900</t>
  </si>
  <si>
    <t>Spalte4901</t>
  </si>
  <si>
    <t>Spalte4902</t>
  </si>
  <si>
    <t>Spalte4903</t>
  </si>
  <si>
    <t>Spalte4904</t>
  </si>
  <si>
    <t>Spalte4905</t>
  </si>
  <si>
    <t>Spalte4906</t>
  </si>
  <si>
    <t>Spalte4907</t>
  </si>
  <si>
    <t>Spalte4908</t>
  </si>
  <si>
    <t>Spalte4909</t>
  </si>
  <si>
    <t>Spalte4910</t>
  </si>
  <si>
    <t>Spalte4911</t>
  </si>
  <si>
    <t>Spalte4912</t>
  </si>
  <si>
    <t>Spalte4913</t>
  </si>
  <si>
    <t>Spalte4914</t>
  </si>
  <si>
    <t>Spalte4915</t>
  </si>
  <si>
    <t>Spalte4916</t>
  </si>
  <si>
    <t>Spalte4917</t>
  </si>
  <si>
    <t>Spalte4918</t>
  </si>
  <si>
    <t>Spalte4919</t>
  </si>
  <si>
    <t>Spalte4920</t>
  </si>
  <si>
    <t>Spalte4921</t>
  </si>
  <si>
    <t>Spalte4922</t>
  </si>
  <si>
    <t>Spalte4923</t>
  </si>
  <si>
    <t>Spalte4924</t>
  </si>
  <si>
    <t>Spalte4925</t>
  </si>
  <si>
    <t>Spalte4926</t>
  </si>
  <si>
    <t>Spalte4927</t>
  </si>
  <si>
    <t>Spalte4928</t>
  </si>
  <si>
    <t>Spalte4929</t>
  </si>
  <si>
    <t>Spalte4930</t>
  </si>
  <si>
    <t>Spalte4931</t>
  </si>
  <si>
    <t>Spalte4932</t>
  </si>
  <si>
    <t>Spalte4933</t>
  </si>
  <si>
    <t>Spalte4934</t>
  </si>
  <si>
    <t>Spalte4935</t>
  </si>
  <si>
    <t>Spalte4936</t>
  </si>
  <si>
    <t>Spalte4937</t>
  </si>
  <si>
    <t>Spalte4938</t>
  </si>
  <si>
    <t>Spalte4939</t>
  </si>
  <si>
    <t>Spalte4940</t>
  </si>
  <si>
    <t>Spalte4941</t>
  </si>
  <si>
    <t>Spalte4942</t>
  </si>
  <si>
    <t>Spalte4943</t>
  </si>
  <si>
    <t>Spalte4944</t>
  </si>
  <si>
    <t>Spalte4945</t>
  </si>
  <si>
    <t>Spalte4946</t>
  </si>
  <si>
    <t>Spalte4947</t>
  </si>
  <si>
    <t>Spalte4948</t>
  </si>
  <si>
    <t>Spalte4949</t>
  </si>
  <si>
    <t>Spalte4950</t>
  </si>
  <si>
    <t>Spalte4951</t>
  </si>
  <si>
    <t>Spalte4952</t>
  </si>
  <si>
    <t>Spalte4953</t>
  </si>
  <si>
    <t>Spalte4954</t>
  </si>
  <si>
    <t>Spalte4955</t>
  </si>
  <si>
    <t>Spalte4956</t>
  </si>
  <si>
    <t>Spalte4957</t>
  </si>
  <si>
    <t>Spalte4958</t>
  </si>
  <si>
    <t>Spalte4959</t>
  </si>
  <si>
    <t>Spalte4960</t>
  </si>
  <si>
    <t>Spalte4961</t>
  </si>
  <si>
    <t>Spalte4962</t>
  </si>
  <si>
    <t>Spalte4963</t>
  </si>
  <si>
    <t>Spalte4964</t>
  </si>
  <si>
    <t>Spalte4965</t>
  </si>
  <si>
    <t>Spalte4966</t>
  </si>
  <si>
    <t>Spalte4967</t>
  </si>
  <si>
    <t>Spalte4968</t>
  </si>
  <si>
    <t>Spalte4969</t>
  </si>
  <si>
    <t>Spalte4970</t>
  </si>
  <si>
    <t>Spalte4971</t>
  </si>
  <si>
    <t>Spalte4972</t>
  </si>
  <si>
    <t>Spalte4973</t>
  </si>
  <si>
    <t>Spalte4974</t>
  </si>
  <si>
    <t>Spalte4975</t>
  </si>
  <si>
    <t>Spalte4976</t>
  </si>
  <si>
    <t>Spalte4977</t>
  </si>
  <si>
    <t>Spalte4978</t>
  </si>
  <si>
    <t>Spalte4979</t>
  </si>
  <si>
    <t>Spalte4980</t>
  </si>
  <si>
    <t>Spalte4981</t>
  </si>
  <si>
    <t>Spalte4982</t>
  </si>
  <si>
    <t>Spalte4983</t>
  </si>
  <si>
    <t>Spalte4984</t>
  </si>
  <si>
    <t>Spalte4985</t>
  </si>
  <si>
    <t>Spalte4986</t>
  </si>
  <si>
    <t>Spalte4987</t>
  </si>
  <si>
    <t>Spalte4988</t>
  </si>
  <si>
    <t>Spalte4989</t>
  </si>
  <si>
    <t>Spalte4990</t>
  </si>
  <si>
    <t>Spalte4991</t>
  </si>
  <si>
    <t>Spalte4992</t>
  </si>
  <si>
    <t>Spalte4993</t>
  </si>
  <si>
    <t>Spalte4994</t>
  </si>
  <si>
    <t>Spalte4995</t>
  </si>
  <si>
    <t>Spalte4996</t>
  </si>
  <si>
    <t>Spalte4997</t>
  </si>
  <si>
    <t>Spalte4998</t>
  </si>
  <si>
    <t>Spalte4999</t>
  </si>
  <si>
    <t>Spalte5000</t>
  </si>
  <si>
    <t>Spalte5001</t>
  </si>
  <si>
    <t>Spalte5002</t>
  </si>
  <si>
    <t>Spalte5003</t>
  </si>
  <si>
    <t>Spalte5004</t>
  </si>
  <si>
    <t>Spalte5005</t>
  </si>
  <si>
    <t>Spalte5006</t>
  </si>
  <si>
    <t>Spalte5007</t>
  </si>
  <si>
    <t>Spalte5008</t>
  </si>
  <si>
    <t>Spalte5009</t>
  </si>
  <si>
    <t>Spalte5010</t>
  </si>
  <si>
    <t>Spalte5011</t>
  </si>
  <si>
    <t>Spalte5012</t>
  </si>
  <si>
    <t>Spalte5013</t>
  </si>
  <si>
    <t>Spalte5014</t>
  </si>
  <si>
    <t>Spalte5015</t>
  </si>
  <si>
    <t>Spalte5016</t>
  </si>
  <si>
    <t>Spalte5017</t>
  </si>
  <si>
    <t>Spalte5018</t>
  </si>
  <si>
    <t>Spalte5019</t>
  </si>
  <si>
    <t>Spalte5020</t>
  </si>
  <si>
    <t>Spalte5021</t>
  </si>
  <si>
    <t>Spalte5022</t>
  </si>
  <si>
    <t>Spalte5023</t>
  </si>
  <si>
    <t>Spalte5024</t>
  </si>
  <si>
    <t>Spalte5025</t>
  </si>
  <si>
    <t>Spalte5026</t>
  </si>
  <si>
    <t>Spalte5027</t>
  </si>
  <si>
    <t>Spalte5028</t>
  </si>
  <si>
    <t>Spalte5029</t>
  </si>
  <si>
    <t>Spalte5030</t>
  </si>
  <si>
    <t>Spalte5031</t>
  </si>
  <si>
    <t>Spalte5032</t>
  </si>
  <si>
    <t>Spalte5033</t>
  </si>
  <si>
    <t>Spalte5034</t>
  </si>
  <si>
    <t>Spalte5035</t>
  </si>
  <si>
    <t>Spalte5036</t>
  </si>
  <si>
    <t>Spalte5037</t>
  </si>
  <si>
    <t>Spalte5038</t>
  </si>
  <si>
    <t>Spalte5039</t>
  </si>
  <si>
    <t>Spalte5040</t>
  </si>
  <si>
    <t>Spalte5041</t>
  </si>
  <si>
    <t>Spalte5042</t>
  </si>
  <si>
    <t>Spalte5043</t>
  </si>
  <si>
    <t>Spalte5044</t>
  </si>
  <si>
    <t>Spalte5045</t>
  </si>
  <si>
    <t>Spalte5046</t>
  </si>
  <si>
    <t>Spalte5047</t>
  </si>
  <si>
    <t>Spalte5048</t>
  </si>
  <si>
    <t>Spalte5049</t>
  </si>
  <si>
    <t>Spalte5050</t>
  </si>
  <si>
    <t>Spalte5051</t>
  </si>
  <si>
    <t>Spalte5052</t>
  </si>
  <si>
    <t>Spalte5053</t>
  </si>
  <si>
    <t>Spalte5054</t>
  </si>
  <si>
    <t>Spalte5055</t>
  </si>
  <si>
    <t>Spalte5056</t>
  </si>
  <si>
    <t>Spalte5057</t>
  </si>
  <si>
    <t>Spalte5058</t>
  </si>
  <si>
    <t>Spalte5059</t>
  </si>
  <si>
    <t>Spalte5060</t>
  </si>
  <si>
    <t>Spalte5061</t>
  </si>
  <si>
    <t>Spalte5062</t>
  </si>
  <si>
    <t>Spalte5063</t>
  </si>
  <si>
    <t>Spalte5064</t>
  </si>
  <si>
    <t>Spalte5065</t>
  </si>
  <si>
    <t>Spalte5066</t>
  </si>
  <si>
    <t>Spalte5067</t>
  </si>
  <si>
    <t>Spalte5068</t>
  </si>
  <si>
    <t>Spalte5069</t>
  </si>
  <si>
    <t>Spalte5070</t>
  </si>
  <si>
    <t>Spalte5071</t>
  </si>
  <si>
    <t>Spalte5072</t>
  </si>
  <si>
    <t>Spalte5073</t>
  </si>
  <si>
    <t>Spalte5074</t>
  </si>
  <si>
    <t>Spalte5075</t>
  </si>
  <si>
    <t>Spalte5076</t>
  </si>
  <si>
    <t>Spalte5077</t>
  </si>
  <si>
    <t>Spalte5078</t>
  </si>
  <si>
    <t>Spalte5079</t>
  </si>
  <si>
    <t>Spalte5080</t>
  </si>
  <si>
    <t>Spalte5081</t>
  </si>
  <si>
    <t>Spalte5082</t>
  </si>
  <si>
    <t>Spalte5083</t>
  </si>
  <si>
    <t>Spalte5084</t>
  </si>
  <si>
    <t>Spalte5085</t>
  </si>
  <si>
    <t>Spalte5086</t>
  </si>
  <si>
    <t>Spalte5087</t>
  </si>
  <si>
    <t>Spalte5088</t>
  </si>
  <si>
    <t>Spalte5089</t>
  </si>
  <si>
    <t>Spalte5090</t>
  </si>
  <si>
    <t>Spalte5091</t>
  </si>
  <si>
    <t>Spalte5092</t>
  </si>
  <si>
    <t>Spalte5093</t>
  </si>
  <si>
    <t>Spalte5094</t>
  </si>
  <si>
    <t>Spalte5095</t>
  </si>
  <si>
    <t>Spalte5096</t>
  </si>
  <si>
    <t>Spalte5097</t>
  </si>
  <si>
    <t>Spalte5098</t>
  </si>
  <si>
    <t>Spalte5099</t>
  </si>
  <si>
    <t>Spalte5100</t>
  </si>
  <si>
    <t>Spalte5101</t>
  </si>
  <si>
    <t>Spalte5102</t>
  </si>
  <si>
    <t>Spalte5103</t>
  </si>
  <si>
    <t>Spalte5104</t>
  </si>
  <si>
    <t>Spalte5105</t>
  </si>
  <si>
    <t>Spalte5106</t>
  </si>
  <si>
    <t>Spalte5107</t>
  </si>
  <si>
    <t>Spalte5108</t>
  </si>
  <si>
    <t>Spalte5109</t>
  </si>
  <si>
    <t>Spalte5110</t>
  </si>
  <si>
    <t>Spalte5111</t>
  </si>
  <si>
    <t>Spalte5112</t>
  </si>
  <si>
    <t>Spalte5113</t>
  </si>
  <si>
    <t>Spalte5114</t>
  </si>
  <si>
    <t>Spalte5115</t>
  </si>
  <si>
    <t>Spalte5116</t>
  </si>
  <si>
    <t>Spalte5117</t>
  </si>
  <si>
    <t>Spalte5118</t>
  </si>
  <si>
    <t>Spalte5119</t>
  </si>
  <si>
    <t>Spalte5120</t>
  </si>
  <si>
    <t>Spalte5121</t>
  </si>
  <si>
    <t>Spalte5122</t>
  </si>
  <si>
    <t>Spalte5123</t>
  </si>
  <si>
    <t>Spalte5124</t>
  </si>
  <si>
    <t>Spalte5125</t>
  </si>
  <si>
    <t>Spalte5126</t>
  </si>
  <si>
    <t>Spalte5127</t>
  </si>
  <si>
    <t>Spalte5128</t>
  </si>
  <si>
    <t>Spalte5129</t>
  </si>
  <si>
    <t>Spalte5130</t>
  </si>
  <si>
    <t>Spalte5131</t>
  </si>
  <si>
    <t>Spalte5132</t>
  </si>
  <si>
    <t>Spalte5133</t>
  </si>
  <si>
    <t>Spalte5134</t>
  </si>
  <si>
    <t>Spalte5135</t>
  </si>
  <si>
    <t>Spalte5136</t>
  </si>
  <si>
    <t>Spalte5137</t>
  </si>
  <si>
    <t>Spalte5138</t>
  </si>
  <si>
    <t>Spalte5139</t>
  </si>
  <si>
    <t>Spalte5140</t>
  </si>
  <si>
    <t>Spalte5141</t>
  </si>
  <si>
    <t>Spalte5142</t>
  </si>
  <si>
    <t>Spalte5143</t>
  </si>
  <si>
    <t>Spalte5144</t>
  </si>
  <si>
    <t>Spalte5145</t>
  </si>
  <si>
    <t>Spalte5146</t>
  </si>
  <si>
    <t>Spalte5147</t>
  </si>
  <si>
    <t>Spalte5148</t>
  </si>
  <si>
    <t>Spalte5149</t>
  </si>
  <si>
    <t>Spalte5150</t>
  </si>
  <si>
    <t>Spalte5151</t>
  </si>
  <si>
    <t>Spalte5152</t>
  </si>
  <si>
    <t>Spalte5153</t>
  </si>
  <si>
    <t>Spalte5154</t>
  </si>
  <si>
    <t>Spalte5155</t>
  </si>
  <si>
    <t>Spalte5156</t>
  </si>
  <si>
    <t>Spalte5157</t>
  </si>
  <si>
    <t>Spalte5158</t>
  </si>
  <si>
    <t>Spalte5159</t>
  </si>
  <si>
    <t>Spalte5160</t>
  </si>
  <si>
    <t>Spalte5161</t>
  </si>
  <si>
    <t>Spalte5162</t>
  </si>
  <si>
    <t>Spalte5163</t>
  </si>
  <si>
    <t>Spalte5164</t>
  </si>
  <si>
    <t>Spalte5165</t>
  </si>
  <si>
    <t>Spalte5166</t>
  </si>
  <si>
    <t>Spalte5167</t>
  </si>
  <si>
    <t>Spalte5168</t>
  </si>
  <si>
    <t>Spalte5169</t>
  </si>
  <si>
    <t>Spalte5170</t>
  </si>
  <si>
    <t>Spalte5171</t>
  </si>
  <si>
    <t>Spalte5172</t>
  </si>
  <si>
    <t>Spalte5173</t>
  </si>
  <si>
    <t>Spalte5174</t>
  </si>
  <si>
    <t>Spalte5175</t>
  </si>
  <si>
    <t>Spalte5176</t>
  </si>
  <si>
    <t>Spalte5177</t>
  </si>
  <si>
    <t>Spalte5178</t>
  </si>
  <si>
    <t>Spalte5179</t>
  </si>
  <si>
    <t>Spalte5180</t>
  </si>
  <si>
    <t>Spalte5181</t>
  </si>
  <si>
    <t>Spalte5182</t>
  </si>
  <si>
    <t>Spalte5183</t>
  </si>
  <si>
    <t>Spalte5184</t>
  </si>
  <si>
    <t>Spalte5185</t>
  </si>
  <si>
    <t>Spalte5186</t>
  </si>
  <si>
    <t>Spalte5187</t>
  </si>
  <si>
    <t>Spalte5188</t>
  </si>
  <si>
    <t>Spalte5189</t>
  </si>
  <si>
    <t>Spalte5190</t>
  </si>
  <si>
    <t>Spalte5191</t>
  </si>
  <si>
    <t>Spalte5192</t>
  </si>
  <si>
    <t>Spalte5193</t>
  </si>
  <si>
    <t>Spalte5194</t>
  </si>
  <si>
    <t>Spalte5195</t>
  </si>
  <si>
    <t>Spalte5196</t>
  </si>
  <si>
    <t>Spalte5197</t>
  </si>
  <si>
    <t>Spalte5198</t>
  </si>
  <si>
    <t>Spalte5199</t>
  </si>
  <si>
    <t>Spalte5200</t>
  </si>
  <si>
    <t>Spalte5201</t>
  </si>
  <si>
    <t>Spalte5202</t>
  </si>
  <si>
    <t>Spalte5203</t>
  </si>
  <si>
    <t>Spalte5204</t>
  </si>
  <si>
    <t>Spalte5205</t>
  </si>
  <si>
    <t>Spalte5206</t>
  </si>
  <si>
    <t>Spalte5207</t>
  </si>
  <si>
    <t>Spalte5208</t>
  </si>
  <si>
    <t>Spalte5209</t>
  </si>
  <si>
    <t>Spalte5210</t>
  </si>
  <si>
    <t>Spalte5211</t>
  </si>
  <si>
    <t>Spalte5212</t>
  </si>
  <si>
    <t>Spalte5213</t>
  </si>
  <si>
    <t>Spalte5214</t>
  </si>
  <si>
    <t>Spalte5215</t>
  </si>
  <si>
    <t>Spalte5216</t>
  </si>
  <si>
    <t>Spalte5217</t>
  </si>
  <si>
    <t>Spalte5218</t>
  </si>
  <si>
    <t>Spalte5219</t>
  </si>
  <si>
    <t>Spalte5220</t>
  </si>
  <si>
    <t>Spalte5221</t>
  </si>
  <si>
    <t>Spalte5222</t>
  </si>
  <si>
    <t>Spalte5223</t>
  </si>
  <si>
    <t>Spalte5224</t>
  </si>
  <si>
    <t>Spalte5225</t>
  </si>
  <si>
    <t>Spalte5226</t>
  </si>
  <si>
    <t>Spalte5227</t>
  </si>
  <si>
    <t>Spalte5228</t>
  </si>
  <si>
    <t>Spalte5229</t>
  </si>
  <si>
    <t>Spalte5230</t>
  </si>
  <si>
    <t>Spalte5231</t>
  </si>
  <si>
    <t>Spalte5232</t>
  </si>
  <si>
    <t>Spalte5233</t>
  </si>
  <si>
    <t>Spalte5234</t>
  </si>
  <si>
    <t>Spalte5235</t>
  </si>
  <si>
    <t>Spalte5236</t>
  </si>
  <si>
    <t>Spalte5237</t>
  </si>
  <si>
    <t>Spalte5238</t>
  </si>
  <si>
    <t>Spalte5239</t>
  </si>
  <si>
    <t>Spalte5240</t>
  </si>
  <si>
    <t>Spalte5241</t>
  </si>
  <si>
    <t>Spalte5242</t>
  </si>
  <si>
    <t>Spalte5243</t>
  </si>
  <si>
    <t>Spalte5244</t>
  </si>
  <si>
    <t>Spalte5245</t>
  </si>
  <si>
    <t>Spalte5246</t>
  </si>
  <si>
    <t>Spalte5247</t>
  </si>
  <si>
    <t>Spalte5248</t>
  </si>
  <si>
    <t>Spalte5249</t>
  </si>
  <si>
    <t>Spalte5250</t>
  </si>
  <si>
    <t>Spalte5251</t>
  </si>
  <si>
    <t>Spalte5252</t>
  </si>
  <si>
    <t>Spalte5253</t>
  </si>
  <si>
    <t>Spalte5254</t>
  </si>
  <si>
    <t>Spalte5255</t>
  </si>
  <si>
    <t>Spalte5256</t>
  </si>
  <si>
    <t>Spalte5257</t>
  </si>
  <si>
    <t>Spalte5258</t>
  </si>
  <si>
    <t>Spalte5259</t>
  </si>
  <si>
    <t>Spalte5260</t>
  </si>
  <si>
    <t>Spalte5261</t>
  </si>
  <si>
    <t>Spalte5262</t>
  </si>
  <si>
    <t>Spalte5263</t>
  </si>
  <si>
    <t>Spalte5264</t>
  </si>
  <si>
    <t>Spalte5265</t>
  </si>
  <si>
    <t>Spalte5266</t>
  </si>
  <si>
    <t>Spalte5267</t>
  </si>
  <si>
    <t>Spalte5268</t>
  </si>
  <si>
    <t>Spalte5269</t>
  </si>
  <si>
    <t>Spalte5270</t>
  </si>
  <si>
    <t>Spalte5271</t>
  </si>
  <si>
    <t>Spalte5272</t>
  </si>
  <si>
    <t>Spalte5273</t>
  </si>
  <si>
    <t>Spalte5274</t>
  </si>
  <si>
    <t>Spalte5275</t>
  </si>
  <si>
    <t>Spalte5276</t>
  </si>
  <si>
    <t>Spalte5277</t>
  </si>
  <si>
    <t>Spalte5278</t>
  </si>
  <si>
    <t>Spalte5279</t>
  </si>
  <si>
    <t>Spalte5280</t>
  </si>
  <si>
    <t>Spalte5281</t>
  </si>
  <si>
    <t>Spalte5282</t>
  </si>
  <si>
    <t>Spalte5283</t>
  </si>
  <si>
    <t>Spalte5284</t>
  </si>
  <si>
    <t>Spalte5285</t>
  </si>
  <si>
    <t>Spalte5286</t>
  </si>
  <si>
    <t>Spalte5287</t>
  </si>
  <si>
    <t>Spalte5288</t>
  </si>
  <si>
    <t>Spalte5289</t>
  </si>
  <si>
    <t>Spalte5290</t>
  </si>
  <si>
    <t>Spalte5291</t>
  </si>
  <si>
    <t>Spalte5292</t>
  </si>
  <si>
    <t>Spalte5293</t>
  </si>
  <si>
    <t>Spalte5294</t>
  </si>
  <si>
    <t>Spalte5295</t>
  </si>
  <si>
    <t>Spalte5296</t>
  </si>
  <si>
    <t>Spalte5297</t>
  </si>
  <si>
    <t>Spalte5298</t>
  </si>
  <si>
    <t>Spalte5299</t>
  </si>
  <si>
    <t>Spalte5300</t>
  </si>
  <si>
    <t>Spalte5301</t>
  </si>
  <si>
    <t>Spalte5302</t>
  </si>
  <si>
    <t>Spalte5303</t>
  </si>
  <si>
    <t>Spalte5304</t>
  </si>
  <si>
    <t>Spalte5305</t>
  </si>
  <si>
    <t>Spalte5306</t>
  </si>
  <si>
    <t>Spalte5307</t>
  </si>
  <si>
    <t>Spalte5308</t>
  </si>
  <si>
    <t>Spalte5309</t>
  </si>
  <si>
    <t>Spalte5310</t>
  </si>
  <si>
    <t>Spalte5311</t>
  </si>
  <si>
    <t>Spalte5312</t>
  </si>
  <si>
    <t>Spalte5313</t>
  </si>
  <si>
    <t>Spalte5314</t>
  </si>
  <si>
    <t>Spalte5315</t>
  </si>
  <si>
    <t>Spalte5316</t>
  </si>
  <si>
    <t>Spalte5317</t>
  </si>
  <si>
    <t>Spalte5318</t>
  </si>
  <si>
    <t>Spalte5319</t>
  </si>
  <si>
    <t>Spalte5320</t>
  </si>
  <si>
    <t>Spalte5321</t>
  </si>
  <si>
    <t>Spalte5322</t>
  </si>
  <si>
    <t>Spalte5323</t>
  </si>
  <si>
    <t>Spalte5324</t>
  </si>
  <si>
    <t>Spalte5325</t>
  </si>
  <si>
    <t>Spalte5326</t>
  </si>
  <si>
    <t>Spalte5327</t>
  </si>
  <si>
    <t>Spalte5328</t>
  </si>
  <si>
    <t>Spalte5329</t>
  </si>
  <si>
    <t>Spalte5330</t>
  </si>
  <si>
    <t>Spalte5331</t>
  </si>
  <si>
    <t>Spalte5332</t>
  </si>
  <si>
    <t>Spalte5333</t>
  </si>
  <si>
    <t>Spalte5334</t>
  </si>
  <si>
    <t>Spalte5335</t>
  </si>
  <si>
    <t>Spalte5336</t>
  </si>
  <si>
    <t>Spalte5337</t>
  </si>
  <si>
    <t>Spalte5338</t>
  </si>
  <si>
    <t>Spalte5339</t>
  </si>
  <si>
    <t>Spalte5340</t>
  </si>
  <si>
    <t>Spalte5341</t>
  </si>
  <si>
    <t>Spalte5342</t>
  </si>
  <si>
    <t>Spalte5343</t>
  </si>
  <si>
    <t>Spalte5344</t>
  </si>
  <si>
    <t>Spalte5345</t>
  </si>
  <si>
    <t>Spalte5346</t>
  </si>
  <si>
    <t>Spalte5347</t>
  </si>
  <si>
    <t>Spalte5348</t>
  </si>
  <si>
    <t>Spalte5349</t>
  </si>
  <si>
    <t>Spalte5350</t>
  </si>
  <si>
    <t>Spalte5351</t>
  </si>
  <si>
    <t>Spalte5352</t>
  </si>
  <si>
    <t>Spalte5353</t>
  </si>
  <si>
    <t>Spalte5354</t>
  </si>
  <si>
    <t>Spalte5355</t>
  </si>
  <si>
    <t>Spalte5356</t>
  </si>
  <si>
    <t>Spalte5357</t>
  </si>
  <si>
    <t>Spalte5358</t>
  </si>
  <si>
    <t>Spalte5359</t>
  </si>
  <si>
    <t>Spalte5360</t>
  </si>
  <si>
    <t>Spalte5361</t>
  </si>
  <si>
    <t>Spalte5362</t>
  </si>
  <si>
    <t>Spalte5363</t>
  </si>
  <si>
    <t>Spalte5364</t>
  </si>
  <si>
    <t>Spalte5365</t>
  </si>
  <si>
    <t>Spalte5366</t>
  </si>
  <si>
    <t>Spalte5367</t>
  </si>
  <si>
    <t>Spalte5368</t>
  </si>
  <si>
    <t>Spalte5369</t>
  </si>
  <si>
    <t>Spalte5370</t>
  </si>
  <si>
    <t>Spalte5371</t>
  </si>
  <si>
    <t>Spalte5372</t>
  </si>
  <si>
    <t>Spalte5373</t>
  </si>
  <si>
    <t>Spalte5374</t>
  </si>
  <si>
    <t>Spalte5375</t>
  </si>
  <si>
    <t>Spalte5376</t>
  </si>
  <si>
    <t>Spalte5377</t>
  </si>
  <si>
    <t>Spalte5378</t>
  </si>
  <si>
    <t>Spalte5379</t>
  </si>
  <si>
    <t>Spalte5380</t>
  </si>
  <si>
    <t>Spalte5381</t>
  </si>
  <si>
    <t>Spalte5382</t>
  </si>
  <si>
    <t>Spalte5383</t>
  </si>
  <si>
    <t>Spalte5384</t>
  </si>
  <si>
    <t>Spalte5385</t>
  </si>
  <si>
    <t>Spalte5386</t>
  </si>
  <si>
    <t>Spalte5387</t>
  </si>
  <si>
    <t>Spalte5388</t>
  </si>
  <si>
    <t>Spalte5389</t>
  </si>
  <si>
    <t>Spalte5390</t>
  </si>
  <si>
    <t>Spalte5391</t>
  </si>
  <si>
    <t>Spalte5392</t>
  </si>
  <si>
    <t>Spalte5393</t>
  </si>
  <si>
    <t>Spalte5394</t>
  </si>
  <si>
    <t>Spalte5395</t>
  </si>
  <si>
    <t>Spalte5396</t>
  </si>
  <si>
    <t>Spalte5397</t>
  </si>
  <si>
    <t>Spalte5398</t>
  </si>
  <si>
    <t>Spalte5399</t>
  </si>
  <si>
    <t>Spalte5400</t>
  </si>
  <si>
    <t>Spalte5401</t>
  </si>
  <si>
    <t>Spalte5402</t>
  </si>
  <si>
    <t>Spalte5403</t>
  </si>
  <si>
    <t>Spalte5404</t>
  </si>
  <si>
    <t>Spalte5405</t>
  </si>
  <si>
    <t>Spalte5406</t>
  </si>
  <si>
    <t>Spalte5407</t>
  </si>
  <si>
    <t>Spalte5408</t>
  </si>
  <si>
    <t>Spalte5409</t>
  </si>
  <si>
    <t>Spalte5410</t>
  </si>
  <si>
    <t>Spalte5411</t>
  </si>
  <si>
    <t>Spalte5412</t>
  </si>
  <si>
    <t>Spalte5413</t>
  </si>
  <si>
    <t>Spalte5414</t>
  </si>
  <si>
    <t>Spalte5415</t>
  </si>
  <si>
    <t>Spalte5416</t>
  </si>
  <si>
    <t>Spalte5417</t>
  </si>
  <si>
    <t>Spalte5418</t>
  </si>
  <si>
    <t>Spalte5419</t>
  </si>
  <si>
    <t>Spalte5420</t>
  </si>
  <si>
    <t>Spalte5421</t>
  </si>
  <si>
    <t>Spalte5422</t>
  </si>
  <si>
    <t>Spalte5423</t>
  </si>
  <si>
    <t>Spalte5424</t>
  </si>
  <si>
    <t>Spalte5425</t>
  </si>
  <si>
    <t>Spalte5426</t>
  </si>
  <si>
    <t>Spalte5427</t>
  </si>
  <si>
    <t>Spalte5428</t>
  </si>
  <si>
    <t>Spalte5429</t>
  </si>
  <si>
    <t>Spalte5430</t>
  </si>
  <si>
    <t>Spalte5431</t>
  </si>
  <si>
    <t>Spalte5432</t>
  </si>
  <si>
    <t>Spalte5433</t>
  </si>
  <si>
    <t>Spalte5434</t>
  </si>
  <si>
    <t>Spalte5435</t>
  </si>
  <si>
    <t>Spalte5436</t>
  </si>
  <si>
    <t>Spalte5437</t>
  </si>
  <si>
    <t>Spalte5438</t>
  </si>
  <si>
    <t>Spalte5439</t>
  </si>
  <si>
    <t>Spalte5440</t>
  </si>
  <si>
    <t>Spalte5441</t>
  </si>
  <si>
    <t>Spalte5442</t>
  </si>
  <si>
    <t>Spalte5443</t>
  </si>
  <si>
    <t>Spalte5444</t>
  </si>
  <si>
    <t>Spalte5445</t>
  </si>
  <si>
    <t>Spalte5446</t>
  </si>
  <si>
    <t>Spalte5447</t>
  </si>
  <si>
    <t>Spalte5448</t>
  </si>
  <si>
    <t>Spalte5449</t>
  </si>
  <si>
    <t>Spalte5450</t>
  </si>
  <si>
    <t>Spalte5451</t>
  </si>
  <si>
    <t>Spalte5452</t>
  </si>
  <si>
    <t>Spalte5453</t>
  </si>
  <si>
    <t>Spalte5454</t>
  </si>
  <si>
    <t>Spalte5455</t>
  </si>
  <si>
    <t>Spalte5456</t>
  </si>
  <si>
    <t>Spalte5457</t>
  </si>
  <si>
    <t>Spalte5458</t>
  </si>
  <si>
    <t>Spalte5459</t>
  </si>
  <si>
    <t>Spalte5460</t>
  </si>
  <si>
    <t>Spalte5461</t>
  </si>
  <si>
    <t>Spalte5462</t>
  </si>
  <si>
    <t>Spalte5463</t>
  </si>
  <si>
    <t>Spalte5464</t>
  </si>
  <si>
    <t>Spalte5465</t>
  </si>
  <si>
    <t>Spalte5466</t>
  </si>
  <si>
    <t>Spalte5467</t>
  </si>
  <si>
    <t>Spalte5468</t>
  </si>
  <si>
    <t>Spalte5469</t>
  </si>
  <si>
    <t>Spalte5470</t>
  </si>
  <si>
    <t>Spalte5471</t>
  </si>
  <si>
    <t>Spalte5472</t>
  </si>
  <si>
    <t>Spalte5473</t>
  </si>
  <si>
    <t>Spalte5474</t>
  </si>
  <si>
    <t>Spalte5475</t>
  </si>
  <si>
    <t>Spalte5476</t>
  </si>
  <si>
    <t>Spalte5477</t>
  </si>
  <si>
    <t>Spalte5478</t>
  </si>
  <si>
    <t>Spalte5479</t>
  </si>
  <si>
    <t>Spalte5480</t>
  </si>
  <si>
    <t>Spalte5481</t>
  </si>
  <si>
    <t>Spalte5482</t>
  </si>
  <si>
    <t>Spalte5483</t>
  </si>
  <si>
    <t>Spalte5484</t>
  </si>
  <si>
    <t>Spalte5485</t>
  </si>
  <si>
    <t>Spalte5486</t>
  </si>
  <si>
    <t>Spalte5487</t>
  </si>
  <si>
    <t>Spalte5488</t>
  </si>
  <si>
    <t>Spalte5489</t>
  </si>
  <si>
    <t>Spalte5490</t>
  </si>
  <si>
    <t>Spalte5491</t>
  </si>
  <si>
    <t>Spalte5492</t>
  </si>
  <si>
    <t>Spalte5493</t>
  </si>
  <si>
    <t>Spalte5494</t>
  </si>
  <si>
    <t>Spalte5495</t>
  </si>
  <si>
    <t>Spalte5496</t>
  </si>
  <si>
    <t>Spalte5497</t>
  </si>
  <si>
    <t>Spalte5498</t>
  </si>
  <si>
    <t>Spalte5499</t>
  </si>
  <si>
    <t>Spalte5500</t>
  </si>
  <si>
    <t>Spalte5501</t>
  </si>
  <si>
    <t>Spalte5502</t>
  </si>
  <si>
    <t>Spalte5503</t>
  </si>
  <si>
    <t>Spalte5504</t>
  </si>
  <si>
    <t>Spalte5505</t>
  </si>
  <si>
    <t>Spalte5506</t>
  </si>
  <si>
    <t>Spalte5507</t>
  </si>
  <si>
    <t>Spalte5508</t>
  </si>
  <si>
    <t>Spalte5509</t>
  </si>
  <si>
    <t>Spalte5510</t>
  </si>
  <si>
    <t>Spalte5511</t>
  </si>
  <si>
    <t>Spalte5512</t>
  </si>
  <si>
    <t>Spalte5513</t>
  </si>
  <si>
    <t>Spalte5514</t>
  </si>
  <si>
    <t>Spalte5515</t>
  </si>
  <si>
    <t>Spalte5516</t>
  </si>
  <si>
    <t>Spalte5517</t>
  </si>
  <si>
    <t>Spalte5518</t>
  </si>
  <si>
    <t>Spalte5519</t>
  </si>
  <si>
    <t>Spalte5520</t>
  </si>
  <si>
    <t>Spalte5521</t>
  </si>
  <si>
    <t>Spalte5522</t>
  </si>
  <si>
    <t>Spalte5523</t>
  </si>
  <si>
    <t>Spalte5524</t>
  </si>
  <si>
    <t>Spalte5525</t>
  </si>
  <si>
    <t>Spalte5526</t>
  </si>
  <si>
    <t>Spalte5527</t>
  </si>
  <si>
    <t>Spalte5528</t>
  </si>
  <si>
    <t>Spalte5529</t>
  </si>
  <si>
    <t>Spalte5530</t>
  </si>
  <si>
    <t>Spalte5531</t>
  </si>
  <si>
    <t>Spalte5532</t>
  </si>
  <si>
    <t>Spalte5533</t>
  </si>
  <si>
    <t>Spalte5534</t>
  </si>
  <si>
    <t>Spalte5535</t>
  </si>
  <si>
    <t>Spalte5536</t>
  </si>
  <si>
    <t>Spalte5537</t>
  </si>
  <si>
    <t>Spalte5538</t>
  </si>
  <si>
    <t>Spalte5539</t>
  </si>
  <si>
    <t>Spalte5540</t>
  </si>
  <si>
    <t>Spalte5541</t>
  </si>
  <si>
    <t>Spalte5542</t>
  </si>
  <si>
    <t>Spalte5543</t>
  </si>
  <si>
    <t>Spalte5544</t>
  </si>
  <si>
    <t>Spalte5545</t>
  </si>
  <si>
    <t>Spalte5546</t>
  </si>
  <si>
    <t>Spalte5547</t>
  </si>
  <si>
    <t>Spalte5548</t>
  </si>
  <si>
    <t>Spalte5549</t>
  </si>
  <si>
    <t>Spalte5550</t>
  </si>
  <si>
    <t>Spalte5551</t>
  </si>
  <si>
    <t>Spalte5552</t>
  </si>
  <si>
    <t>Spalte5553</t>
  </si>
  <si>
    <t>Spalte5554</t>
  </si>
  <si>
    <t>Spalte5555</t>
  </si>
  <si>
    <t>Spalte5556</t>
  </si>
  <si>
    <t>Spalte5557</t>
  </si>
  <si>
    <t>Spalte5558</t>
  </si>
  <si>
    <t>Spalte5559</t>
  </si>
  <si>
    <t>Spalte5560</t>
  </si>
  <si>
    <t>Spalte5561</t>
  </si>
  <si>
    <t>Spalte5562</t>
  </si>
  <si>
    <t>Spalte5563</t>
  </si>
  <si>
    <t>Spalte5564</t>
  </si>
  <si>
    <t>Spalte5565</t>
  </si>
  <si>
    <t>Spalte5566</t>
  </si>
  <si>
    <t>Spalte5567</t>
  </si>
  <si>
    <t>Spalte5568</t>
  </si>
  <si>
    <t>Spalte5569</t>
  </si>
  <si>
    <t>Spalte5570</t>
  </si>
  <si>
    <t>Spalte5571</t>
  </si>
  <si>
    <t>Spalte5572</t>
  </si>
  <si>
    <t>Spalte5573</t>
  </si>
  <si>
    <t>Spalte5574</t>
  </si>
  <si>
    <t>Spalte5575</t>
  </si>
  <si>
    <t>Spalte5576</t>
  </si>
  <si>
    <t>Spalte5577</t>
  </si>
  <si>
    <t>Spalte5578</t>
  </si>
  <si>
    <t>Spalte5579</t>
  </si>
  <si>
    <t>Spalte5580</t>
  </si>
  <si>
    <t>Spalte5581</t>
  </si>
  <si>
    <t>Spalte5582</t>
  </si>
  <si>
    <t>Spalte5583</t>
  </si>
  <si>
    <t>Spalte5584</t>
  </si>
  <si>
    <t>Spalte5585</t>
  </si>
  <si>
    <t>Spalte5586</t>
  </si>
  <si>
    <t>Spalte5587</t>
  </si>
  <si>
    <t>Spalte5588</t>
  </si>
  <si>
    <t>Spalte5589</t>
  </si>
  <si>
    <t>Spalte5590</t>
  </si>
  <si>
    <t>Spalte5591</t>
  </si>
  <si>
    <t>Spalte5592</t>
  </si>
  <si>
    <t>Spalte5593</t>
  </si>
  <si>
    <t>Spalte5594</t>
  </si>
  <si>
    <t>Spalte5595</t>
  </si>
  <si>
    <t>Spalte5596</t>
  </si>
  <si>
    <t>Spalte5597</t>
  </si>
  <si>
    <t>Spalte5598</t>
  </si>
  <si>
    <t>Spalte5599</t>
  </si>
  <si>
    <t>Spalte5600</t>
  </si>
  <si>
    <t>Spalte5601</t>
  </si>
  <si>
    <t>Spalte5602</t>
  </si>
  <si>
    <t>Spalte5603</t>
  </si>
  <si>
    <t>Spalte5604</t>
  </si>
  <si>
    <t>Spalte5605</t>
  </si>
  <si>
    <t>Spalte5606</t>
  </si>
  <si>
    <t>Spalte5607</t>
  </si>
  <si>
    <t>Spalte5608</t>
  </si>
  <si>
    <t>Spalte5609</t>
  </si>
  <si>
    <t>Spalte5610</t>
  </si>
  <si>
    <t>Spalte5611</t>
  </si>
  <si>
    <t>Spalte5612</t>
  </si>
  <si>
    <t>Spalte5613</t>
  </si>
  <si>
    <t>Spalte5614</t>
  </si>
  <si>
    <t>Spalte5615</t>
  </si>
  <si>
    <t>Spalte5616</t>
  </si>
  <si>
    <t>Spalte5617</t>
  </si>
  <si>
    <t>Spalte5618</t>
  </si>
  <si>
    <t>Spalte5619</t>
  </si>
  <si>
    <t>Spalte5620</t>
  </si>
  <si>
    <t>Spalte5621</t>
  </si>
  <si>
    <t>Spalte5622</t>
  </si>
  <si>
    <t>Spalte5623</t>
  </si>
  <si>
    <t>Spalte5624</t>
  </si>
  <si>
    <t>Spalte5625</t>
  </si>
  <si>
    <t>Spalte5626</t>
  </si>
  <si>
    <t>Spalte5627</t>
  </si>
  <si>
    <t>Spalte5628</t>
  </si>
  <si>
    <t>Spalte5629</t>
  </si>
  <si>
    <t>Spalte5630</t>
  </si>
  <si>
    <t>Spalte5631</t>
  </si>
  <si>
    <t>Spalte5632</t>
  </si>
  <si>
    <t>Spalte5633</t>
  </si>
  <si>
    <t>Spalte5634</t>
  </si>
  <si>
    <t>Spalte5635</t>
  </si>
  <si>
    <t>Spalte5636</t>
  </si>
  <si>
    <t>Spalte5637</t>
  </si>
  <si>
    <t>Spalte5638</t>
  </si>
  <si>
    <t>Spalte5639</t>
  </si>
  <si>
    <t>Spalte5640</t>
  </si>
  <si>
    <t>Spalte5641</t>
  </si>
  <si>
    <t>Spalte5642</t>
  </si>
  <si>
    <t>Spalte5643</t>
  </si>
  <si>
    <t>Spalte5644</t>
  </si>
  <si>
    <t>Spalte5645</t>
  </si>
  <si>
    <t>Spalte5646</t>
  </si>
  <si>
    <t>Spalte5647</t>
  </si>
  <si>
    <t>Spalte5648</t>
  </si>
  <si>
    <t>Spalte5649</t>
  </si>
  <si>
    <t>Spalte5650</t>
  </si>
  <si>
    <t>Spalte5651</t>
  </si>
  <si>
    <t>Spalte5652</t>
  </si>
  <si>
    <t>Spalte5653</t>
  </si>
  <si>
    <t>Spalte5654</t>
  </si>
  <si>
    <t>Spalte5655</t>
  </si>
  <si>
    <t>Spalte5656</t>
  </si>
  <si>
    <t>Spalte5657</t>
  </si>
  <si>
    <t>Spalte5658</t>
  </si>
  <si>
    <t>Spalte5659</t>
  </si>
  <si>
    <t>Spalte5660</t>
  </si>
  <si>
    <t>Spalte5661</t>
  </si>
  <si>
    <t>Spalte5662</t>
  </si>
  <si>
    <t>Spalte5663</t>
  </si>
  <si>
    <t>Spalte5664</t>
  </si>
  <si>
    <t>Spalte5665</t>
  </si>
  <si>
    <t>Spalte5666</t>
  </si>
  <si>
    <t>Spalte5667</t>
  </si>
  <si>
    <t>Spalte5668</t>
  </si>
  <si>
    <t>Spalte5669</t>
  </si>
  <si>
    <t>Spalte5670</t>
  </si>
  <si>
    <t>Spalte5671</t>
  </si>
  <si>
    <t>Spalte5672</t>
  </si>
  <si>
    <t>Spalte5673</t>
  </si>
  <si>
    <t>Spalte5674</t>
  </si>
  <si>
    <t>Spalte5675</t>
  </si>
  <si>
    <t>Spalte5676</t>
  </si>
  <si>
    <t>Spalte5677</t>
  </si>
  <si>
    <t>Spalte5678</t>
  </si>
  <si>
    <t>Spalte5679</t>
  </si>
  <si>
    <t>Spalte5680</t>
  </si>
  <si>
    <t>Spalte5681</t>
  </si>
  <si>
    <t>Spalte5682</t>
  </si>
  <si>
    <t>Spalte5683</t>
  </si>
  <si>
    <t>Spalte5684</t>
  </si>
  <si>
    <t>Spalte5685</t>
  </si>
  <si>
    <t>Spalte5686</t>
  </si>
  <si>
    <t>Spalte5687</t>
  </si>
  <si>
    <t>Spalte5688</t>
  </si>
  <si>
    <t>Spalte5689</t>
  </si>
  <si>
    <t>Spalte5690</t>
  </si>
  <si>
    <t>Spalte5691</t>
  </si>
  <si>
    <t>Spalte5692</t>
  </si>
  <si>
    <t>Spalte5693</t>
  </si>
  <si>
    <t>Spalte5694</t>
  </si>
  <si>
    <t>Spalte5695</t>
  </si>
  <si>
    <t>Spalte5696</t>
  </si>
  <si>
    <t>Spalte5697</t>
  </si>
  <si>
    <t>Spalte5698</t>
  </si>
  <si>
    <t>Spalte5699</t>
  </si>
  <si>
    <t>Spalte5700</t>
  </si>
  <si>
    <t>Spalte5701</t>
  </si>
  <si>
    <t>Spalte5702</t>
  </si>
  <si>
    <t>Spalte5703</t>
  </si>
  <si>
    <t>Spalte5704</t>
  </si>
  <si>
    <t>Spalte5705</t>
  </si>
  <si>
    <t>Spalte5706</t>
  </si>
  <si>
    <t>Spalte5707</t>
  </si>
  <si>
    <t>Spalte5708</t>
  </si>
  <si>
    <t>Spalte5709</t>
  </si>
  <si>
    <t>Spalte5710</t>
  </si>
  <si>
    <t>Spalte5711</t>
  </si>
  <si>
    <t>Spalte5712</t>
  </si>
  <si>
    <t>Spalte5713</t>
  </si>
  <si>
    <t>Spalte5714</t>
  </si>
  <si>
    <t>Spalte5715</t>
  </si>
  <si>
    <t>Spalte5716</t>
  </si>
  <si>
    <t>Spalte5717</t>
  </si>
  <si>
    <t>Spalte5718</t>
  </si>
  <si>
    <t>Spalte5719</t>
  </si>
  <si>
    <t>Spalte5720</t>
  </si>
  <si>
    <t>Spalte5721</t>
  </si>
  <si>
    <t>Spalte5722</t>
  </si>
  <si>
    <t>Spalte5723</t>
  </si>
  <si>
    <t>Spalte5724</t>
  </si>
  <si>
    <t>Spalte5725</t>
  </si>
  <si>
    <t>Spalte5726</t>
  </si>
  <si>
    <t>Spalte5727</t>
  </si>
  <si>
    <t>Spalte5728</t>
  </si>
  <si>
    <t>Spalte5729</t>
  </si>
  <si>
    <t>Spalte5730</t>
  </si>
  <si>
    <t>Spalte5731</t>
  </si>
  <si>
    <t>Spalte5732</t>
  </si>
  <si>
    <t>Spalte5733</t>
  </si>
  <si>
    <t>Spalte5734</t>
  </si>
  <si>
    <t>Spalte5735</t>
  </si>
  <si>
    <t>Spalte5736</t>
  </si>
  <si>
    <t>Spalte5737</t>
  </si>
  <si>
    <t>Spalte5738</t>
  </si>
  <si>
    <t>Spalte5739</t>
  </si>
  <si>
    <t>Spalte5740</t>
  </si>
  <si>
    <t>Spalte5741</t>
  </si>
  <si>
    <t>Spalte5742</t>
  </si>
  <si>
    <t>Spalte5743</t>
  </si>
  <si>
    <t>Spalte5744</t>
  </si>
  <si>
    <t>Spalte5745</t>
  </si>
  <si>
    <t>Spalte5746</t>
  </si>
  <si>
    <t>Spalte5747</t>
  </si>
  <si>
    <t>Spalte5748</t>
  </si>
  <si>
    <t>Spalte5749</t>
  </si>
  <si>
    <t>Spalte5750</t>
  </si>
  <si>
    <t>Spalte5751</t>
  </si>
  <si>
    <t>Spalte5752</t>
  </si>
  <si>
    <t>Spalte5753</t>
  </si>
  <si>
    <t>Spalte5754</t>
  </si>
  <si>
    <t>Spalte5755</t>
  </si>
  <si>
    <t>Spalte5756</t>
  </si>
  <si>
    <t>Spalte5757</t>
  </si>
  <si>
    <t>Spalte5758</t>
  </si>
  <si>
    <t>Spalte5759</t>
  </si>
  <si>
    <t>Spalte5760</t>
  </si>
  <si>
    <t>Spalte5761</t>
  </si>
  <si>
    <t>Spalte5762</t>
  </si>
  <si>
    <t>Spalte5763</t>
  </si>
  <si>
    <t>Spalte5764</t>
  </si>
  <si>
    <t>Spalte5765</t>
  </si>
  <si>
    <t>Spalte5766</t>
  </si>
  <si>
    <t>Spalte5767</t>
  </si>
  <si>
    <t>Spalte5768</t>
  </si>
  <si>
    <t>Spalte5769</t>
  </si>
  <si>
    <t>Spalte5770</t>
  </si>
  <si>
    <t>Spalte5771</t>
  </si>
  <si>
    <t>Spalte5772</t>
  </si>
  <si>
    <t>Spalte5773</t>
  </si>
  <si>
    <t>Spalte5774</t>
  </si>
  <si>
    <t>Spalte5775</t>
  </si>
  <si>
    <t>Spalte5776</t>
  </si>
  <si>
    <t>Spalte5777</t>
  </si>
  <si>
    <t>Spalte5778</t>
  </si>
  <si>
    <t>Spalte5779</t>
  </si>
  <si>
    <t>Spalte5780</t>
  </si>
  <si>
    <t>Spalte5781</t>
  </si>
  <si>
    <t>Spalte5782</t>
  </si>
  <si>
    <t>Spalte5783</t>
  </si>
  <si>
    <t>Spalte5784</t>
  </si>
  <si>
    <t>Spalte5785</t>
  </si>
  <si>
    <t>Spalte5786</t>
  </si>
  <si>
    <t>Spalte5787</t>
  </si>
  <si>
    <t>Spalte5788</t>
  </si>
  <si>
    <t>Spalte5789</t>
  </si>
  <si>
    <t>Spalte5790</t>
  </si>
  <si>
    <t>Spalte5791</t>
  </si>
  <si>
    <t>Spalte5792</t>
  </si>
  <si>
    <t>Spalte5793</t>
  </si>
  <si>
    <t>Spalte5794</t>
  </si>
  <si>
    <t>Spalte5795</t>
  </si>
  <si>
    <t>Spalte5796</t>
  </si>
  <si>
    <t>Spalte5797</t>
  </si>
  <si>
    <t>Spalte5798</t>
  </si>
  <si>
    <t>Spalte5799</t>
  </si>
  <si>
    <t>Spalte5800</t>
  </si>
  <si>
    <t>Spalte5801</t>
  </si>
  <si>
    <t>Spalte5802</t>
  </si>
  <si>
    <t>Spalte5803</t>
  </si>
  <si>
    <t>Spalte5804</t>
  </si>
  <si>
    <t>Spalte5805</t>
  </si>
  <si>
    <t>Spalte5806</t>
  </si>
  <si>
    <t>Spalte5807</t>
  </si>
  <si>
    <t>Spalte5808</t>
  </si>
  <si>
    <t>Spalte5809</t>
  </si>
  <si>
    <t>Spalte5810</t>
  </si>
  <si>
    <t>Spalte5811</t>
  </si>
  <si>
    <t>Spalte5812</t>
  </si>
  <si>
    <t>Spalte5813</t>
  </si>
  <si>
    <t>Spalte5814</t>
  </si>
  <si>
    <t>Spalte5815</t>
  </si>
  <si>
    <t>Spalte5816</t>
  </si>
  <si>
    <t>Spalte5817</t>
  </si>
  <si>
    <t>Spalte5818</t>
  </si>
  <si>
    <t>Spalte5819</t>
  </si>
  <si>
    <t>Spalte5820</t>
  </si>
  <si>
    <t>Spalte5821</t>
  </si>
  <si>
    <t>Spalte5822</t>
  </si>
  <si>
    <t>Spalte5823</t>
  </si>
  <si>
    <t>Spalte5824</t>
  </si>
  <si>
    <t>Spalte5825</t>
  </si>
  <si>
    <t>Spalte5826</t>
  </si>
  <si>
    <t>Spalte5827</t>
  </si>
  <si>
    <t>Spalte5828</t>
  </si>
  <si>
    <t>Spalte5829</t>
  </si>
  <si>
    <t>Spalte5830</t>
  </si>
  <si>
    <t>Spalte5831</t>
  </si>
  <si>
    <t>Spalte5832</t>
  </si>
  <si>
    <t>Spalte5833</t>
  </si>
  <si>
    <t>Spalte5834</t>
  </si>
  <si>
    <t>Spalte5835</t>
  </si>
  <si>
    <t>Spalte5836</t>
  </si>
  <si>
    <t>Spalte5837</t>
  </si>
  <si>
    <t>Spalte5838</t>
  </si>
  <si>
    <t>Spalte5839</t>
  </si>
  <si>
    <t>Spalte5840</t>
  </si>
  <si>
    <t>Spalte5841</t>
  </si>
  <si>
    <t>Spalte5842</t>
  </si>
  <si>
    <t>Spalte5843</t>
  </si>
  <si>
    <t>Spalte5844</t>
  </si>
  <si>
    <t>Spalte5845</t>
  </si>
  <si>
    <t>Spalte5846</t>
  </si>
  <si>
    <t>Spalte5847</t>
  </si>
  <si>
    <t>Spalte5848</t>
  </si>
  <si>
    <t>Spalte5849</t>
  </si>
  <si>
    <t>Spalte5850</t>
  </si>
  <si>
    <t>Spalte5851</t>
  </si>
  <si>
    <t>Spalte5852</t>
  </si>
  <si>
    <t>Spalte5853</t>
  </si>
  <si>
    <t>Spalte5854</t>
  </si>
  <si>
    <t>Spalte5855</t>
  </si>
  <si>
    <t>Spalte5856</t>
  </si>
  <si>
    <t>Spalte5857</t>
  </si>
  <si>
    <t>Spalte5858</t>
  </si>
  <si>
    <t>Spalte5859</t>
  </si>
  <si>
    <t>Spalte5860</t>
  </si>
  <si>
    <t>Spalte5861</t>
  </si>
  <si>
    <t>Spalte5862</t>
  </si>
  <si>
    <t>Spalte5863</t>
  </si>
  <si>
    <t>Spalte5864</t>
  </si>
  <si>
    <t>Spalte5865</t>
  </si>
  <si>
    <t>Spalte5866</t>
  </si>
  <si>
    <t>Spalte5867</t>
  </si>
  <si>
    <t>Spalte5868</t>
  </si>
  <si>
    <t>Spalte5869</t>
  </si>
  <si>
    <t>Spalte5870</t>
  </si>
  <si>
    <t>Spalte5871</t>
  </si>
  <si>
    <t>Spalte5872</t>
  </si>
  <si>
    <t>Spalte5873</t>
  </si>
  <si>
    <t>Spalte5874</t>
  </si>
  <si>
    <t>Spalte5875</t>
  </si>
  <si>
    <t>Spalte5876</t>
  </si>
  <si>
    <t>Spalte5877</t>
  </si>
  <si>
    <t>Spalte5878</t>
  </si>
  <si>
    <t>Spalte5879</t>
  </si>
  <si>
    <t>Spalte5880</t>
  </si>
  <si>
    <t>Spalte5881</t>
  </si>
  <si>
    <t>Spalte5882</t>
  </si>
  <si>
    <t>Spalte5883</t>
  </si>
  <si>
    <t>Spalte5884</t>
  </si>
  <si>
    <t>Spalte5885</t>
  </si>
  <si>
    <t>Spalte5886</t>
  </si>
  <si>
    <t>Spalte5887</t>
  </si>
  <si>
    <t>Spalte5888</t>
  </si>
  <si>
    <t>Spalte5889</t>
  </si>
  <si>
    <t>Spalte5890</t>
  </si>
  <si>
    <t>Spalte5891</t>
  </si>
  <si>
    <t>Spalte5892</t>
  </si>
  <si>
    <t>Spalte5893</t>
  </si>
  <si>
    <t>Spalte5894</t>
  </si>
  <si>
    <t>Spalte5895</t>
  </si>
  <si>
    <t>Spalte5896</t>
  </si>
  <si>
    <t>Spalte5897</t>
  </si>
  <si>
    <t>Spalte5898</t>
  </si>
  <si>
    <t>Spalte5899</t>
  </si>
  <si>
    <t>Spalte5900</t>
  </si>
  <si>
    <t>Spalte5901</t>
  </si>
  <si>
    <t>Spalte5902</t>
  </si>
  <si>
    <t>Spalte5903</t>
  </si>
  <si>
    <t>Spalte5904</t>
  </si>
  <si>
    <t>Spalte5905</t>
  </si>
  <si>
    <t>Spalte5906</t>
  </si>
  <si>
    <t>Spalte5907</t>
  </si>
  <si>
    <t>Spalte5908</t>
  </si>
  <si>
    <t>Spalte5909</t>
  </si>
  <si>
    <t>Spalte5910</t>
  </si>
  <si>
    <t>Spalte5911</t>
  </si>
  <si>
    <t>Spalte5912</t>
  </si>
  <si>
    <t>Spalte5913</t>
  </si>
  <si>
    <t>Spalte5914</t>
  </si>
  <si>
    <t>Spalte5915</t>
  </si>
  <si>
    <t>Spalte5916</t>
  </si>
  <si>
    <t>Spalte5917</t>
  </si>
  <si>
    <t>Spalte5918</t>
  </si>
  <si>
    <t>Spalte5919</t>
  </si>
  <si>
    <t>Spalte5920</t>
  </si>
  <si>
    <t>Spalte5921</t>
  </si>
  <si>
    <t>Spalte5922</t>
  </si>
  <si>
    <t>Spalte5923</t>
  </si>
  <si>
    <t>Spalte5924</t>
  </si>
  <si>
    <t>Spalte5925</t>
  </si>
  <si>
    <t>Spalte5926</t>
  </si>
  <si>
    <t>Spalte5927</t>
  </si>
  <si>
    <t>Spalte5928</t>
  </si>
  <si>
    <t>Spalte5929</t>
  </si>
  <si>
    <t>Spalte5930</t>
  </si>
  <si>
    <t>Spalte5931</t>
  </si>
  <si>
    <t>Spalte5932</t>
  </si>
  <si>
    <t>Spalte5933</t>
  </si>
  <si>
    <t>Spalte5934</t>
  </si>
  <si>
    <t>Spalte5935</t>
  </si>
  <si>
    <t>Spalte5936</t>
  </si>
  <si>
    <t>Spalte5937</t>
  </si>
  <si>
    <t>Spalte5938</t>
  </si>
  <si>
    <t>Spalte5939</t>
  </si>
  <si>
    <t>Spalte5940</t>
  </si>
  <si>
    <t>Spalte5941</t>
  </si>
  <si>
    <t>Spalte5942</t>
  </si>
  <si>
    <t>Spalte5943</t>
  </si>
  <si>
    <t>Spalte5944</t>
  </si>
  <si>
    <t>Spalte5945</t>
  </si>
  <si>
    <t>Spalte5946</t>
  </si>
  <si>
    <t>Spalte5947</t>
  </si>
  <si>
    <t>Spalte5948</t>
  </si>
  <si>
    <t>Spalte5949</t>
  </si>
  <si>
    <t>Spalte5950</t>
  </si>
  <si>
    <t>Spalte5951</t>
  </si>
  <si>
    <t>Spalte5952</t>
  </si>
  <si>
    <t>Spalte5953</t>
  </si>
  <si>
    <t>Spalte5954</t>
  </si>
  <si>
    <t>Spalte5955</t>
  </si>
  <si>
    <t>Spalte5956</t>
  </si>
  <si>
    <t>Spalte5957</t>
  </si>
  <si>
    <t>Spalte5958</t>
  </si>
  <si>
    <t>Spalte5959</t>
  </si>
  <si>
    <t>Spalte5960</t>
  </si>
  <si>
    <t>Spalte5961</t>
  </si>
  <si>
    <t>Spalte5962</t>
  </si>
  <si>
    <t>Spalte5963</t>
  </si>
  <si>
    <t>Spalte5964</t>
  </si>
  <si>
    <t>Spalte5965</t>
  </si>
  <si>
    <t>Spalte5966</t>
  </si>
  <si>
    <t>Spalte5967</t>
  </si>
  <si>
    <t>Spalte5968</t>
  </si>
  <si>
    <t>Spalte5969</t>
  </si>
  <si>
    <t>Spalte5970</t>
  </si>
  <si>
    <t>Spalte5971</t>
  </si>
  <si>
    <t>Spalte5972</t>
  </si>
  <si>
    <t>Spalte5973</t>
  </si>
  <si>
    <t>Spalte5974</t>
  </si>
  <si>
    <t>Spalte5975</t>
  </si>
  <si>
    <t>Spalte5976</t>
  </si>
  <si>
    <t>Spalte5977</t>
  </si>
  <si>
    <t>Spalte5978</t>
  </si>
  <si>
    <t>Spalte5979</t>
  </si>
  <si>
    <t>Spalte5980</t>
  </si>
  <si>
    <t>Spalte5981</t>
  </si>
  <si>
    <t>Spalte5982</t>
  </si>
  <si>
    <t>Spalte5983</t>
  </si>
  <si>
    <t>Spalte5984</t>
  </si>
  <si>
    <t>Spalte5985</t>
  </si>
  <si>
    <t>Spalte5986</t>
  </si>
  <si>
    <t>Spalte5987</t>
  </si>
  <si>
    <t>Spalte5988</t>
  </si>
  <si>
    <t>Spalte5989</t>
  </si>
  <si>
    <t>Spalte5990</t>
  </si>
  <si>
    <t>Spalte5991</t>
  </si>
  <si>
    <t>Spalte5992</t>
  </si>
  <si>
    <t>Spalte5993</t>
  </si>
  <si>
    <t>Spalte5994</t>
  </si>
  <si>
    <t>Spalte5995</t>
  </si>
  <si>
    <t>Spalte5996</t>
  </si>
  <si>
    <t>Spalte5997</t>
  </si>
  <si>
    <t>Spalte5998</t>
  </si>
  <si>
    <t>Spalte5999</t>
  </si>
  <si>
    <t>Spalte6000</t>
  </si>
  <si>
    <t>Spalte6001</t>
  </si>
  <si>
    <t>Spalte6002</t>
  </si>
  <si>
    <t>Spalte6003</t>
  </si>
  <si>
    <t>Spalte6004</t>
  </si>
  <si>
    <t>Spalte6005</t>
  </si>
  <si>
    <t>Spalte6006</t>
  </si>
  <si>
    <t>Spalte6007</t>
  </si>
  <si>
    <t>Spalte6008</t>
  </si>
  <si>
    <t>Spalte6009</t>
  </si>
  <si>
    <t>Spalte6010</t>
  </si>
  <si>
    <t>Spalte6011</t>
  </si>
  <si>
    <t>Spalte6012</t>
  </si>
  <si>
    <t>Spalte6013</t>
  </si>
  <si>
    <t>Spalte6014</t>
  </si>
  <si>
    <t>Spalte6015</t>
  </si>
  <si>
    <t>Spalte6016</t>
  </si>
  <si>
    <t>Spalte6017</t>
  </si>
  <si>
    <t>Spalte6018</t>
  </si>
  <si>
    <t>Spalte6019</t>
  </si>
  <si>
    <t>Spalte6020</t>
  </si>
  <si>
    <t>Spalte6021</t>
  </si>
  <si>
    <t>Spalte6022</t>
  </si>
  <si>
    <t>Spalte6023</t>
  </si>
  <si>
    <t>Spalte6024</t>
  </si>
  <si>
    <t>Spalte6025</t>
  </si>
  <si>
    <t>Spalte6026</t>
  </si>
  <si>
    <t>Spalte6027</t>
  </si>
  <si>
    <t>Spalte6028</t>
  </si>
  <si>
    <t>Spalte6029</t>
  </si>
  <si>
    <t>Spalte6030</t>
  </si>
  <si>
    <t>Spalte6031</t>
  </si>
  <si>
    <t>Spalte6032</t>
  </si>
  <si>
    <t>Spalte6033</t>
  </si>
  <si>
    <t>Spalte6034</t>
  </si>
  <si>
    <t>Spalte6035</t>
  </si>
  <si>
    <t>Spalte6036</t>
  </si>
  <si>
    <t>Spalte6037</t>
  </si>
  <si>
    <t>Spalte6038</t>
  </si>
  <si>
    <t>Spalte6039</t>
  </si>
  <si>
    <t>Spalte6040</t>
  </si>
  <si>
    <t>Spalte6041</t>
  </si>
  <si>
    <t>Spalte6042</t>
  </si>
  <si>
    <t>Spalte6043</t>
  </si>
  <si>
    <t>Spalte6044</t>
  </si>
  <si>
    <t>Spalte6045</t>
  </si>
  <si>
    <t>Spalte6046</t>
  </si>
  <si>
    <t>Spalte6047</t>
  </si>
  <si>
    <t>Spalte6048</t>
  </si>
  <si>
    <t>Spalte6049</t>
  </si>
  <si>
    <t>Spalte6050</t>
  </si>
  <si>
    <t>Spalte6051</t>
  </si>
  <si>
    <t>Spalte6052</t>
  </si>
  <si>
    <t>Spalte6053</t>
  </si>
  <si>
    <t>Spalte6054</t>
  </si>
  <si>
    <t>Spalte6055</t>
  </si>
  <si>
    <t>Spalte6056</t>
  </si>
  <si>
    <t>Spalte6057</t>
  </si>
  <si>
    <t>Spalte6058</t>
  </si>
  <si>
    <t>Spalte6059</t>
  </si>
  <si>
    <t>Spalte6060</t>
  </si>
  <si>
    <t>Spalte6061</t>
  </si>
  <si>
    <t>Spalte6062</t>
  </si>
  <si>
    <t>Spalte6063</t>
  </si>
  <si>
    <t>Spalte6064</t>
  </si>
  <si>
    <t>Spalte6065</t>
  </si>
  <si>
    <t>Spalte6066</t>
  </si>
  <si>
    <t>Spalte6067</t>
  </si>
  <si>
    <t>Spalte6068</t>
  </si>
  <si>
    <t>Spalte6069</t>
  </si>
  <si>
    <t>Spalte6070</t>
  </si>
  <si>
    <t>Spalte6071</t>
  </si>
  <si>
    <t>Spalte6072</t>
  </si>
  <si>
    <t>Spalte6073</t>
  </si>
  <si>
    <t>Spalte6074</t>
  </si>
  <si>
    <t>Spalte6075</t>
  </si>
  <si>
    <t>Spalte6076</t>
  </si>
  <si>
    <t>Spalte6077</t>
  </si>
  <si>
    <t>Spalte6078</t>
  </si>
  <si>
    <t>Spalte6079</t>
  </si>
  <si>
    <t>Spalte6080</t>
  </si>
  <si>
    <t>Spalte6081</t>
  </si>
  <si>
    <t>Spalte6082</t>
  </si>
  <si>
    <t>Spalte6083</t>
  </si>
  <si>
    <t>Spalte6084</t>
  </si>
  <si>
    <t>Spalte6085</t>
  </si>
  <si>
    <t>Spalte6086</t>
  </si>
  <si>
    <t>Spalte6087</t>
  </si>
  <si>
    <t>Spalte6088</t>
  </si>
  <si>
    <t>Spalte6089</t>
  </si>
  <si>
    <t>Spalte6090</t>
  </si>
  <si>
    <t>Spalte6091</t>
  </si>
  <si>
    <t>Spalte6092</t>
  </si>
  <si>
    <t>Spalte6093</t>
  </si>
  <si>
    <t>Spalte6094</t>
  </si>
  <si>
    <t>Spalte6095</t>
  </si>
  <si>
    <t>Spalte6096</t>
  </si>
  <si>
    <t>Spalte6097</t>
  </si>
  <si>
    <t>Spalte6098</t>
  </si>
  <si>
    <t>Spalte6099</t>
  </si>
  <si>
    <t>Spalte6100</t>
  </si>
  <si>
    <t>Spalte6101</t>
  </si>
  <si>
    <t>Spalte6102</t>
  </si>
  <si>
    <t>Spalte6103</t>
  </si>
  <si>
    <t>Spalte6104</t>
  </si>
  <si>
    <t>Spalte6105</t>
  </si>
  <si>
    <t>Spalte6106</t>
  </si>
  <si>
    <t>Spalte6107</t>
  </si>
  <si>
    <t>Spalte6108</t>
  </si>
  <si>
    <t>Spalte6109</t>
  </si>
  <si>
    <t>Spalte6110</t>
  </si>
  <si>
    <t>Spalte6111</t>
  </si>
  <si>
    <t>Spalte6112</t>
  </si>
  <si>
    <t>Spalte6113</t>
  </si>
  <si>
    <t>Spalte6114</t>
  </si>
  <si>
    <t>Spalte6115</t>
  </si>
  <si>
    <t>Spalte6116</t>
  </si>
  <si>
    <t>Spalte6117</t>
  </si>
  <si>
    <t>Spalte6118</t>
  </si>
  <si>
    <t>Spalte6119</t>
  </si>
  <si>
    <t>Spalte6120</t>
  </si>
  <si>
    <t>Spalte6121</t>
  </si>
  <si>
    <t>Spalte6122</t>
  </si>
  <si>
    <t>Spalte6123</t>
  </si>
  <si>
    <t>Spalte6124</t>
  </si>
  <si>
    <t>Spalte6125</t>
  </si>
  <si>
    <t>Spalte6126</t>
  </si>
  <si>
    <t>Spalte6127</t>
  </si>
  <si>
    <t>Spalte6128</t>
  </si>
  <si>
    <t>Spalte6129</t>
  </si>
  <si>
    <t>Spalte6130</t>
  </si>
  <si>
    <t>Spalte6131</t>
  </si>
  <si>
    <t>Spalte6132</t>
  </si>
  <si>
    <t>Spalte6133</t>
  </si>
  <si>
    <t>Spalte6134</t>
  </si>
  <si>
    <t>Spalte6135</t>
  </si>
  <si>
    <t>Spalte6136</t>
  </si>
  <si>
    <t>Spalte6137</t>
  </si>
  <si>
    <t>Spalte6138</t>
  </si>
  <si>
    <t>Spalte6139</t>
  </si>
  <si>
    <t>Spalte6140</t>
  </si>
  <si>
    <t>Spalte6141</t>
  </si>
  <si>
    <t>Spalte6142</t>
  </si>
  <si>
    <t>Spalte6143</t>
  </si>
  <si>
    <t>Spalte6144</t>
  </si>
  <si>
    <t>Spalte6145</t>
  </si>
  <si>
    <t>Spalte6146</t>
  </si>
  <si>
    <t>Spalte6147</t>
  </si>
  <si>
    <t>Spalte6148</t>
  </si>
  <si>
    <t>Spalte6149</t>
  </si>
  <si>
    <t>Spalte6150</t>
  </si>
  <si>
    <t>Spalte6151</t>
  </si>
  <si>
    <t>Spalte6152</t>
  </si>
  <si>
    <t>Spalte6153</t>
  </si>
  <si>
    <t>Spalte6154</t>
  </si>
  <si>
    <t>Spalte6155</t>
  </si>
  <si>
    <t>Spalte6156</t>
  </si>
  <si>
    <t>Spalte6157</t>
  </si>
  <si>
    <t>Spalte6158</t>
  </si>
  <si>
    <t>Spalte6159</t>
  </si>
  <si>
    <t>Spalte6160</t>
  </si>
  <si>
    <t>Spalte6161</t>
  </si>
  <si>
    <t>Spalte6162</t>
  </si>
  <si>
    <t>Spalte6163</t>
  </si>
  <si>
    <t>Spalte6164</t>
  </si>
  <si>
    <t>Spalte6165</t>
  </si>
  <si>
    <t>Spalte6166</t>
  </si>
  <si>
    <t>Spalte6167</t>
  </si>
  <si>
    <t>Spalte6168</t>
  </si>
  <si>
    <t>Spalte6169</t>
  </si>
  <si>
    <t>Spalte6170</t>
  </si>
  <si>
    <t>Spalte6171</t>
  </si>
  <si>
    <t>Spalte6172</t>
  </si>
  <si>
    <t>Spalte6173</t>
  </si>
  <si>
    <t>Spalte6174</t>
  </si>
  <si>
    <t>Spalte6175</t>
  </si>
  <si>
    <t>Spalte6176</t>
  </si>
  <si>
    <t>Spalte6177</t>
  </si>
  <si>
    <t>Spalte6178</t>
  </si>
  <si>
    <t>Spalte6179</t>
  </si>
  <si>
    <t>Spalte6180</t>
  </si>
  <si>
    <t>Spalte6181</t>
  </si>
  <si>
    <t>Spalte6182</t>
  </si>
  <si>
    <t>Spalte6183</t>
  </si>
  <si>
    <t>Spalte6184</t>
  </si>
  <si>
    <t>Spalte6185</t>
  </si>
  <si>
    <t>Spalte6186</t>
  </si>
  <si>
    <t>Spalte6187</t>
  </si>
  <si>
    <t>Spalte6188</t>
  </si>
  <si>
    <t>Spalte6189</t>
  </si>
  <si>
    <t>Spalte6190</t>
  </si>
  <si>
    <t>Spalte6191</t>
  </si>
  <si>
    <t>Spalte6192</t>
  </si>
  <si>
    <t>Spalte6193</t>
  </si>
  <si>
    <t>Spalte6194</t>
  </si>
  <si>
    <t>Spalte6195</t>
  </si>
  <si>
    <t>Spalte6196</t>
  </si>
  <si>
    <t>Spalte6197</t>
  </si>
  <si>
    <t>Spalte6198</t>
  </si>
  <si>
    <t>Spalte6199</t>
  </si>
  <si>
    <t>Spalte6200</t>
  </si>
  <si>
    <t>Spalte6201</t>
  </si>
  <si>
    <t>Spalte6202</t>
  </si>
  <si>
    <t>Spalte6203</t>
  </si>
  <si>
    <t>Spalte6204</t>
  </si>
  <si>
    <t>Spalte6205</t>
  </si>
  <si>
    <t>Spalte6206</t>
  </si>
  <si>
    <t>Spalte6207</t>
  </si>
  <si>
    <t>Spalte6208</t>
  </si>
  <si>
    <t>Spalte6209</t>
  </si>
  <si>
    <t>Spalte6210</t>
  </si>
  <si>
    <t>Spalte6211</t>
  </si>
  <si>
    <t>Spalte6212</t>
  </si>
  <si>
    <t>Spalte6213</t>
  </si>
  <si>
    <t>Spalte6214</t>
  </si>
  <si>
    <t>Spalte6215</t>
  </si>
  <si>
    <t>Spalte6216</t>
  </si>
  <si>
    <t>Spalte6217</t>
  </si>
  <si>
    <t>Spalte6218</t>
  </si>
  <si>
    <t>Spalte6219</t>
  </si>
  <si>
    <t>Spalte6220</t>
  </si>
  <si>
    <t>Spalte6221</t>
  </si>
  <si>
    <t>Spalte6222</t>
  </si>
  <si>
    <t>Spalte6223</t>
  </si>
  <si>
    <t>Spalte6224</t>
  </si>
  <si>
    <t>Spalte6225</t>
  </si>
  <si>
    <t>Spalte6226</t>
  </si>
  <si>
    <t>Spalte6227</t>
  </si>
  <si>
    <t>Spalte6228</t>
  </si>
  <si>
    <t>Spalte6229</t>
  </si>
  <si>
    <t>Spalte6230</t>
  </si>
  <si>
    <t>Spalte6231</t>
  </si>
  <si>
    <t>Spalte6232</t>
  </si>
  <si>
    <t>Spalte6233</t>
  </si>
  <si>
    <t>Spalte6234</t>
  </si>
  <si>
    <t>Spalte6235</t>
  </si>
  <si>
    <t>Spalte6236</t>
  </si>
  <si>
    <t>Spalte6237</t>
  </si>
  <si>
    <t>Spalte6238</t>
  </si>
  <si>
    <t>Spalte6239</t>
  </si>
  <si>
    <t>Spalte6240</t>
  </si>
  <si>
    <t>Spalte6241</t>
  </si>
  <si>
    <t>Spalte6242</t>
  </si>
  <si>
    <t>Spalte6243</t>
  </si>
  <si>
    <t>Spalte6244</t>
  </si>
  <si>
    <t>Spalte6245</t>
  </si>
  <si>
    <t>Spalte6246</t>
  </si>
  <si>
    <t>Spalte6247</t>
  </si>
  <si>
    <t>Spalte6248</t>
  </si>
  <si>
    <t>Spalte6249</t>
  </si>
  <si>
    <t>Spalte6250</t>
  </si>
  <si>
    <t>Spalte6251</t>
  </si>
  <si>
    <t>Spalte6252</t>
  </si>
  <si>
    <t>Spalte6253</t>
  </si>
  <si>
    <t>Spalte6254</t>
  </si>
  <si>
    <t>Spalte6255</t>
  </si>
  <si>
    <t>Spalte6256</t>
  </si>
  <si>
    <t>Spalte6257</t>
  </si>
  <si>
    <t>Spalte6258</t>
  </si>
  <si>
    <t>Spalte6259</t>
  </si>
  <si>
    <t>Spalte6260</t>
  </si>
  <si>
    <t>Spalte6261</t>
  </si>
  <si>
    <t>Spalte6262</t>
  </si>
  <si>
    <t>Spalte6263</t>
  </si>
  <si>
    <t>Spalte6264</t>
  </si>
  <si>
    <t>Spalte6265</t>
  </si>
  <si>
    <t>Spalte6266</t>
  </si>
  <si>
    <t>Spalte6267</t>
  </si>
  <si>
    <t>Spalte6268</t>
  </si>
  <si>
    <t>Spalte6269</t>
  </si>
  <si>
    <t>Spalte6270</t>
  </si>
  <si>
    <t>Spalte6271</t>
  </si>
  <si>
    <t>Spalte6272</t>
  </si>
  <si>
    <t>Spalte6273</t>
  </si>
  <si>
    <t>Spalte6274</t>
  </si>
  <si>
    <t>Spalte6275</t>
  </si>
  <si>
    <t>Spalte6276</t>
  </si>
  <si>
    <t>Spalte6277</t>
  </si>
  <si>
    <t>Spalte6278</t>
  </si>
  <si>
    <t>Spalte6279</t>
  </si>
  <si>
    <t>Spalte6280</t>
  </si>
  <si>
    <t>Spalte6281</t>
  </si>
  <si>
    <t>Spalte6282</t>
  </si>
  <si>
    <t>Spalte6283</t>
  </si>
  <si>
    <t>Spalte6284</t>
  </si>
  <si>
    <t>Spalte6285</t>
  </si>
  <si>
    <t>Spalte6286</t>
  </si>
  <si>
    <t>Spalte6287</t>
  </si>
  <si>
    <t>Spalte6288</t>
  </si>
  <si>
    <t>Spalte6289</t>
  </si>
  <si>
    <t>Spalte6290</t>
  </si>
  <si>
    <t>Spalte6291</t>
  </si>
  <si>
    <t>Spalte6292</t>
  </si>
  <si>
    <t>Spalte6293</t>
  </si>
  <si>
    <t>Spalte6294</t>
  </si>
  <si>
    <t>Spalte6295</t>
  </si>
  <si>
    <t>Spalte6296</t>
  </si>
  <si>
    <t>Spalte6297</t>
  </si>
  <si>
    <t>Spalte6298</t>
  </si>
  <si>
    <t>Spalte6299</t>
  </si>
  <si>
    <t>Spalte6300</t>
  </si>
  <si>
    <t>Spalte6301</t>
  </si>
  <si>
    <t>Spalte6302</t>
  </si>
  <si>
    <t>Spalte6303</t>
  </si>
  <si>
    <t>Spalte6304</t>
  </si>
  <si>
    <t>Spalte6305</t>
  </si>
  <si>
    <t>Spalte6306</t>
  </si>
  <si>
    <t>Spalte6307</t>
  </si>
  <si>
    <t>Spalte6308</t>
  </si>
  <si>
    <t>Spalte6309</t>
  </si>
  <si>
    <t>Spalte6310</t>
  </si>
  <si>
    <t>Spalte6311</t>
  </si>
  <si>
    <t>Spalte6312</t>
  </si>
  <si>
    <t>Spalte6313</t>
  </si>
  <si>
    <t>Spalte6314</t>
  </si>
  <si>
    <t>Spalte6315</t>
  </si>
  <si>
    <t>Spalte6316</t>
  </si>
  <si>
    <t>Spalte6317</t>
  </si>
  <si>
    <t>Spalte6318</t>
  </si>
  <si>
    <t>Spalte6319</t>
  </si>
  <si>
    <t>Spalte6320</t>
  </si>
  <si>
    <t>Spalte6321</t>
  </si>
  <si>
    <t>Spalte6322</t>
  </si>
  <si>
    <t>Spalte6323</t>
  </si>
  <si>
    <t>Spalte6324</t>
  </si>
  <si>
    <t>Spalte6325</t>
  </si>
  <si>
    <t>Spalte6326</t>
  </si>
  <si>
    <t>Spalte6327</t>
  </si>
  <si>
    <t>Spalte6328</t>
  </si>
  <si>
    <t>Spalte6329</t>
  </si>
  <si>
    <t>Spalte6330</t>
  </si>
  <si>
    <t>Spalte6331</t>
  </si>
  <si>
    <t>Spalte6332</t>
  </si>
  <si>
    <t>Spalte6333</t>
  </si>
  <si>
    <t>Spalte6334</t>
  </si>
  <si>
    <t>Spalte6335</t>
  </si>
  <si>
    <t>Spalte6336</t>
  </si>
  <si>
    <t>Spalte6337</t>
  </si>
  <si>
    <t>Spalte6338</t>
  </si>
  <si>
    <t>Spalte6339</t>
  </si>
  <si>
    <t>Spalte6340</t>
  </si>
  <si>
    <t>Spalte6341</t>
  </si>
  <si>
    <t>Spalte6342</t>
  </si>
  <si>
    <t>Spalte6343</t>
  </si>
  <si>
    <t>Spalte6344</t>
  </si>
  <si>
    <t>Spalte6345</t>
  </si>
  <si>
    <t>Spalte6346</t>
  </si>
  <si>
    <t>Spalte6347</t>
  </si>
  <si>
    <t>Spalte6348</t>
  </si>
  <si>
    <t>Spalte6349</t>
  </si>
  <si>
    <t>Spalte6350</t>
  </si>
  <si>
    <t>Spalte6351</t>
  </si>
  <si>
    <t>Spalte6352</t>
  </si>
  <si>
    <t>Spalte6353</t>
  </si>
  <si>
    <t>Spalte6354</t>
  </si>
  <si>
    <t>Spalte6355</t>
  </si>
  <si>
    <t>Spalte6356</t>
  </si>
  <si>
    <t>Spalte6357</t>
  </si>
  <si>
    <t>Spalte6358</t>
  </si>
  <si>
    <t>Spalte6359</t>
  </si>
  <si>
    <t>Spalte6360</t>
  </si>
  <si>
    <t>Spalte6361</t>
  </si>
  <si>
    <t>Spalte6362</t>
  </si>
  <si>
    <t>Spalte6363</t>
  </si>
  <si>
    <t>Spalte6364</t>
  </si>
  <si>
    <t>Spalte6365</t>
  </si>
  <si>
    <t>Spalte6366</t>
  </si>
  <si>
    <t>Spalte6367</t>
  </si>
  <si>
    <t>Spalte6368</t>
  </si>
  <si>
    <t>Spalte6369</t>
  </si>
  <si>
    <t>Spalte6370</t>
  </si>
  <si>
    <t>Spalte6371</t>
  </si>
  <si>
    <t>Spalte6372</t>
  </si>
  <si>
    <t>Spalte6373</t>
  </si>
  <si>
    <t>Spalte6374</t>
  </si>
  <si>
    <t>Spalte6375</t>
  </si>
  <si>
    <t>Spalte6376</t>
  </si>
  <si>
    <t>Spalte6377</t>
  </si>
  <si>
    <t>Spalte6378</t>
  </si>
  <si>
    <t>Spalte6379</t>
  </si>
  <si>
    <t>Spalte6380</t>
  </si>
  <si>
    <t>Spalte6381</t>
  </si>
  <si>
    <t>Spalte6382</t>
  </si>
  <si>
    <t>Spalte6383</t>
  </si>
  <si>
    <t>Spalte6384</t>
  </si>
  <si>
    <t>Spalte6385</t>
  </si>
  <si>
    <t>Spalte6386</t>
  </si>
  <si>
    <t>Spalte6387</t>
  </si>
  <si>
    <t>Spalte6388</t>
  </si>
  <si>
    <t>Spalte6389</t>
  </si>
  <si>
    <t>Spalte6390</t>
  </si>
  <si>
    <t>Spalte6391</t>
  </si>
  <si>
    <t>Spalte6392</t>
  </si>
  <si>
    <t>Spalte6393</t>
  </si>
  <si>
    <t>Spalte6394</t>
  </si>
  <si>
    <t>Spalte6395</t>
  </si>
  <si>
    <t>Spalte6396</t>
  </si>
  <si>
    <t>Spalte6397</t>
  </si>
  <si>
    <t>Spalte6398</t>
  </si>
  <si>
    <t>Spalte6399</t>
  </si>
  <si>
    <t>Spalte6400</t>
  </si>
  <si>
    <t>Spalte6401</t>
  </si>
  <si>
    <t>Spalte6402</t>
  </si>
  <si>
    <t>Spalte6403</t>
  </si>
  <si>
    <t>Spalte6404</t>
  </si>
  <si>
    <t>Spalte6405</t>
  </si>
  <si>
    <t>Spalte6406</t>
  </si>
  <si>
    <t>Spalte6407</t>
  </si>
  <si>
    <t>Spalte6408</t>
  </si>
  <si>
    <t>Spalte6409</t>
  </si>
  <si>
    <t>Spalte6410</t>
  </si>
  <si>
    <t>Spalte6411</t>
  </si>
  <si>
    <t>Spalte6412</t>
  </si>
  <si>
    <t>Spalte6413</t>
  </si>
  <si>
    <t>Spalte6414</t>
  </si>
  <si>
    <t>Spalte6415</t>
  </si>
  <si>
    <t>Spalte6416</t>
  </si>
  <si>
    <t>Spalte6417</t>
  </si>
  <si>
    <t>Spalte6418</t>
  </si>
  <si>
    <t>Spalte6419</t>
  </si>
  <si>
    <t>Spalte6420</t>
  </si>
  <si>
    <t>Spalte6421</t>
  </si>
  <si>
    <t>Spalte6422</t>
  </si>
  <si>
    <t>Spalte6423</t>
  </si>
  <si>
    <t>Spalte6424</t>
  </si>
  <si>
    <t>Spalte6425</t>
  </si>
  <si>
    <t>Spalte6426</t>
  </si>
  <si>
    <t>Spalte6427</t>
  </si>
  <si>
    <t>Spalte6428</t>
  </si>
  <si>
    <t>Spalte6429</t>
  </si>
  <si>
    <t>Spalte6430</t>
  </si>
  <si>
    <t>Spalte6431</t>
  </si>
  <si>
    <t>Spalte6432</t>
  </si>
  <si>
    <t>Spalte6433</t>
  </si>
  <si>
    <t>Spalte6434</t>
  </si>
  <si>
    <t>Spalte6435</t>
  </si>
  <si>
    <t>Spalte6436</t>
  </si>
  <si>
    <t>Spalte6437</t>
  </si>
  <si>
    <t>Spalte6438</t>
  </si>
  <si>
    <t>Spalte6439</t>
  </si>
  <si>
    <t>Spalte6440</t>
  </si>
  <si>
    <t>Spalte6441</t>
  </si>
  <si>
    <t>Spalte6442</t>
  </si>
  <si>
    <t>Spalte6443</t>
  </si>
  <si>
    <t>Spalte6444</t>
  </si>
  <si>
    <t>Spalte6445</t>
  </si>
  <si>
    <t>Spalte6446</t>
  </si>
  <si>
    <t>Spalte6447</t>
  </si>
  <si>
    <t>Spalte6448</t>
  </si>
  <si>
    <t>Spalte6449</t>
  </si>
  <si>
    <t>Spalte6450</t>
  </si>
  <si>
    <t>Spalte6451</t>
  </si>
  <si>
    <t>Spalte6452</t>
  </si>
  <si>
    <t>Spalte6453</t>
  </si>
  <si>
    <t>Spalte6454</t>
  </si>
  <si>
    <t>Spalte6455</t>
  </si>
  <si>
    <t>Spalte6456</t>
  </si>
  <si>
    <t>Spalte6457</t>
  </si>
  <si>
    <t>Spalte6458</t>
  </si>
  <si>
    <t>Spalte6459</t>
  </si>
  <si>
    <t>Spalte6460</t>
  </si>
  <si>
    <t>Spalte6461</t>
  </si>
  <si>
    <t>Spalte6462</t>
  </si>
  <si>
    <t>Spalte6463</t>
  </si>
  <si>
    <t>Spalte6464</t>
  </si>
  <si>
    <t>Spalte6465</t>
  </si>
  <si>
    <t>Spalte6466</t>
  </si>
  <si>
    <t>Spalte6467</t>
  </si>
  <si>
    <t>Spalte6468</t>
  </si>
  <si>
    <t>Spalte6469</t>
  </si>
  <si>
    <t>Spalte6470</t>
  </si>
  <si>
    <t>Spalte6471</t>
  </si>
  <si>
    <t>Spalte6472</t>
  </si>
  <si>
    <t>Spalte6473</t>
  </si>
  <si>
    <t>Spalte6474</t>
  </si>
  <si>
    <t>Spalte6475</t>
  </si>
  <si>
    <t>Spalte6476</t>
  </si>
  <si>
    <t>Spalte6477</t>
  </si>
  <si>
    <t>Spalte6478</t>
  </si>
  <si>
    <t>Spalte6479</t>
  </si>
  <si>
    <t>Spalte6480</t>
  </si>
  <si>
    <t>Spalte6481</t>
  </si>
  <si>
    <t>Spalte6482</t>
  </si>
  <si>
    <t>Spalte6483</t>
  </si>
  <si>
    <t>Spalte6484</t>
  </si>
  <si>
    <t>Spalte6485</t>
  </si>
  <si>
    <t>Spalte6486</t>
  </si>
  <si>
    <t>Spalte6487</t>
  </si>
  <si>
    <t>Spalte6488</t>
  </si>
  <si>
    <t>Spalte6489</t>
  </si>
  <si>
    <t>Spalte6490</t>
  </si>
  <si>
    <t>Spalte6491</t>
  </si>
  <si>
    <t>Spalte6492</t>
  </si>
  <si>
    <t>Spalte6493</t>
  </si>
  <si>
    <t>Spalte6494</t>
  </si>
  <si>
    <t>Spalte6495</t>
  </si>
  <si>
    <t>Spalte6496</t>
  </si>
  <si>
    <t>Spalte6497</t>
  </si>
  <si>
    <t>Spalte6498</t>
  </si>
  <si>
    <t>Spalte6499</t>
  </si>
  <si>
    <t>Spalte6500</t>
  </si>
  <si>
    <t>Spalte6501</t>
  </si>
  <si>
    <t>Spalte6502</t>
  </si>
  <si>
    <t>Spalte6503</t>
  </si>
  <si>
    <t>Spalte6504</t>
  </si>
  <si>
    <t>Spalte6505</t>
  </si>
  <si>
    <t>Spalte6506</t>
  </si>
  <si>
    <t>Spalte6507</t>
  </si>
  <si>
    <t>Spalte6508</t>
  </si>
  <si>
    <t>Spalte6509</t>
  </si>
  <si>
    <t>Spalte6510</t>
  </si>
  <si>
    <t>Spalte6511</t>
  </si>
  <si>
    <t>Spalte6512</t>
  </si>
  <si>
    <t>Spalte6513</t>
  </si>
  <si>
    <t>Spalte6514</t>
  </si>
  <si>
    <t>Spalte6515</t>
  </si>
  <si>
    <t>Spalte6516</t>
  </si>
  <si>
    <t>Spalte6517</t>
  </si>
  <si>
    <t>Spalte6518</t>
  </si>
  <si>
    <t>Spalte6519</t>
  </si>
  <si>
    <t>Spalte6520</t>
  </si>
  <si>
    <t>Spalte6521</t>
  </si>
  <si>
    <t>Spalte6522</t>
  </si>
  <si>
    <t>Spalte6523</t>
  </si>
  <si>
    <t>Spalte6524</t>
  </si>
  <si>
    <t>Spalte6525</t>
  </si>
  <si>
    <t>Spalte6526</t>
  </si>
  <si>
    <t>Spalte6527</t>
  </si>
  <si>
    <t>Spalte6528</t>
  </si>
  <si>
    <t>Spalte6529</t>
  </si>
  <si>
    <t>Spalte6530</t>
  </si>
  <si>
    <t>Spalte6531</t>
  </si>
  <si>
    <t>Spalte6532</t>
  </si>
  <si>
    <t>Spalte6533</t>
  </si>
  <si>
    <t>Spalte6534</t>
  </si>
  <si>
    <t>Spalte6535</t>
  </si>
  <si>
    <t>Spalte6536</t>
  </si>
  <si>
    <t>Spalte6537</t>
  </si>
  <si>
    <t>Spalte6538</t>
  </si>
  <si>
    <t>Spalte6539</t>
  </si>
  <si>
    <t>Spalte6540</t>
  </si>
  <si>
    <t>Spalte6541</t>
  </si>
  <si>
    <t>Spalte6542</t>
  </si>
  <si>
    <t>Spalte6543</t>
  </si>
  <si>
    <t>Spalte6544</t>
  </si>
  <si>
    <t>Spalte6545</t>
  </si>
  <si>
    <t>Spalte6546</t>
  </si>
  <si>
    <t>Spalte6547</t>
  </si>
  <si>
    <t>Spalte6548</t>
  </si>
  <si>
    <t>Spalte6549</t>
  </si>
  <si>
    <t>Spalte6550</t>
  </si>
  <si>
    <t>Spalte6551</t>
  </si>
  <si>
    <t>Spalte6552</t>
  </si>
  <si>
    <t>Spalte6553</t>
  </si>
  <si>
    <t>Spalte6554</t>
  </si>
  <si>
    <t>Spalte6555</t>
  </si>
  <si>
    <t>Spalte6556</t>
  </si>
  <si>
    <t>Spalte6557</t>
  </si>
  <si>
    <t>Spalte6558</t>
  </si>
  <si>
    <t>Spalte6559</t>
  </si>
  <si>
    <t>Spalte6560</t>
  </si>
  <si>
    <t>Spalte6561</t>
  </si>
  <si>
    <t>Spalte6562</t>
  </si>
  <si>
    <t>Spalte6563</t>
  </si>
  <si>
    <t>Spalte6564</t>
  </si>
  <si>
    <t>Spalte6565</t>
  </si>
  <si>
    <t>Spalte6566</t>
  </si>
  <si>
    <t>Spalte6567</t>
  </si>
  <si>
    <t>Spalte6568</t>
  </si>
  <si>
    <t>Spalte6569</t>
  </si>
  <si>
    <t>Spalte6570</t>
  </si>
  <si>
    <t>Spalte6571</t>
  </si>
  <si>
    <t>Spalte6572</t>
  </si>
  <si>
    <t>Spalte6573</t>
  </si>
  <si>
    <t>Spalte6574</t>
  </si>
  <si>
    <t>Spalte6575</t>
  </si>
  <si>
    <t>Spalte6576</t>
  </si>
  <si>
    <t>Spalte6577</t>
  </si>
  <si>
    <t>Spalte6578</t>
  </si>
  <si>
    <t>Spalte6579</t>
  </si>
  <si>
    <t>Spalte6580</t>
  </si>
  <si>
    <t>Spalte6581</t>
  </si>
  <si>
    <t>Spalte6582</t>
  </si>
  <si>
    <t>Spalte6583</t>
  </si>
  <si>
    <t>Spalte6584</t>
  </si>
  <si>
    <t>Spalte6585</t>
  </si>
  <si>
    <t>Spalte6586</t>
  </si>
  <si>
    <t>Spalte6587</t>
  </si>
  <si>
    <t>Spalte6588</t>
  </si>
  <si>
    <t>Spalte6589</t>
  </si>
  <si>
    <t>Spalte6590</t>
  </si>
  <si>
    <t>Spalte6591</t>
  </si>
  <si>
    <t>Spalte6592</t>
  </si>
  <si>
    <t>Spalte6593</t>
  </si>
  <si>
    <t>Spalte6594</t>
  </si>
  <si>
    <t>Spalte6595</t>
  </si>
  <si>
    <t>Spalte6596</t>
  </si>
  <si>
    <t>Spalte6597</t>
  </si>
  <si>
    <t>Spalte6598</t>
  </si>
  <si>
    <t>Spalte6599</t>
  </si>
  <si>
    <t>Spalte6600</t>
  </si>
  <si>
    <t>Spalte6601</t>
  </si>
  <si>
    <t>Spalte6602</t>
  </si>
  <si>
    <t>Spalte6603</t>
  </si>
  <si>
    <t>Spalte6604</t>
  </si>
  <si>
    <t>Spalte6605</t>
  </si>
  <si>
    <t>Spalte6606</t>
  </si>
  <si>
    <t>Spalte6607</t>
  </si>
  <si>
    <t>Spalte6608</t>
  </si>
  <si>
    <t>Spalte6609</t>
  </si>
  <si>
    <t>Spalte6610</t>
  </si>
  <si>
    <t>Spalte6611</t>
  </si>
  <si>
    <t>Spalte6612</t>
  </si>
  <si>
    <t>Spalte6613</t>
  </si>
  <si>
    <t>Spalte6614</t>
  </si>
  <si>
    <t>Spalte6615</t>
  </si>
  <si>
    <t>Spalte6616</t>
  </si>
  <si>
    <t>Spalte6617</t>
  </si>
  <si>
    <t>Spalte6618</t>
  </si>
  <si>
    <t>Spalte6619</t>
  </si>
  <si>
    <t>Spalte6620</t>
  </si>
  <si>
    <t>Spalte6621</t>
  </si>
  <si>
    <t>Spalte6622</t>
  </si>
  <si>
    <t>Spalte6623</t>
  </si>
  <si>
    <t>Spalte6624</t>
  </si>
  <si>
    <t>Spalte6625</t>
  </si>
  <si>
    <t>Spalte6626</t>
  </si>
  <si>
    <t>Spalte6627</t>
  </si>
  <si>
    <t>Spalte6628</t>
  </si>
  <si>
    <t>Spalte6629</t>
  </si>
  <si>
    <t>Spalte6630</t>
  </si>
  <si>
    <t>Spalte6631</t>
  </si>
  <si>
    <t>Spalte6632</t>
  </si>
  <si>
    <t>Spalte6633</t>
  </si>
  <si>
    <t>Spalte6634</t>
  </si>
  <si>
    <t>Spalte6635</t>
  </si>
  <si>
    <t>Spalte6636</t>
  </si>
  <si>
    <t>Spalte6637</t>
  </si>
  <si>
    <t>Spalte6638</t>
  </si>
  <si>
    <t>Spalte6639</t>
  </si>
  <si>
    <t>Spalte6640</t>
  </si>
  <si>
    <t>Spalte6641</t>
  </si>
  <si>
    <t>Spalte6642</t>
  </si>
  <si>
    <t>Spalte6643</t>
  </si>
  <si>
    <t>Spalte6644</t>
  </si>
  <si>
    <t>Spalte6645</t>
  </si>
  <si>
    <t>Spalte6646</t>
  </si>
  <si>
    <t>Spalte6647</t>
  </si>
  <si>
    <t>Spalte6648</t>
  </si>
  <si>
    <t>Spalte6649</t>
  </si>
  <si>
    <t>Spalte6650</t>
  </si>
  <si>
    <t>Spalte6651</t>
  </si>
  <si>
    <t>Spalte6652</t>
  </si>
  <si>
    <t>Spalte6653</t>
  </si>
  <si>
    <t>Spalte6654</t>
  </si>
  <si>
    <t>Spalte6655</t>
  </si>
  <si>
    <t>Spalte6656</t>
  </si>
  <si>
    <t>Spalte6657</t>
  </si>
  <si>
    <t>Spalte6658</t>
  </si>
  <si>
    <t>Spalte6659</t>
  </si>
  <si>
    <t>Spalte6660</t>
  </si>
  <si>
    <t>Spalte6661</t>
  </si>
  <si>
    <t>Spalte6662</t>
  </si>
  <si>
    <t>Spalte6663</t>
  </si>
  <si>
    <t>Spalte6664</t>
  </si>
  <si>
    <t>Spalte6665</t>
  </si>
  <si>
    <t>Spalte6666</t>
  </si>
  <si>
    <t>Spalte6667</t>
  </si>
  <si>
    <t>Spalte6668</t>
  </si>
  <si>
    <t>Spalte6669</t>
  </si>
  <si>
    <t>Spalte6670</t>
  </si>
  <si>
    <t>Spalte6671</t>
  </si>
  <si>
    <t>Spalte6672</t>
  </si>
  <si>
    <t>Spalte6673</t>
  </si>
  <si>
    <t>Spalte6674</t>
  </si>
  <si>
    <t>Spalte6675</t>
  </si>
  <si>
    <t>Spalte6676</t>
  </si>
  <si>
    <t>Spalte6677</t>
  </si>
  <si>
    <t>Spalte6678</t>
  </si>
  <si>
    <t>Spalte6679</t>
  </si>
  <si>
    <t>Spalte6680</t>
  </si>
  <si>
    <t>Spalte6681</t>
  </si>
  <si>
    <t>Spalte6682</t>
  </si>
  <si>
    <t>Spalte6683</t>
  </si>
  <si>
    <t>Spalte6684</t>
  </si>
  <si>
    <t>Spalte6685</t>
  </si>
  <si>
    <t>Spalte6686</t>
  </si>
  <si>
    <t>Spalte6687</t>
  </si>
  <si>
    <t>Spalte6688</t>
  </si>
  <si>
    <t>Spalte6689</t>
  </si>
  <si>
    <t>Spalte6690</t>
  </si>
  <si>
    <t>Spalte6691</t>
  </si>
  <si>
    <t>Spalte6692</t>
  </si>
  <si>
    <t>Spalte6693</t>
  </si>
  <si>
    <t>Spalte6694</t>
  </si>
  <si>
    <t>Spalte6695</t>
  </si>
  <si>
    <t>Spalte6696</t>
  </si>
  <si>
    <t>Spalte6697</t>
  </si>
  <si>
    <t>Spalte6698</t>
  </si>
  <si>
    <t>Spalte6699</t>
  </si>
  <si>
    <t>Spalte6700</t>
  </si>
  <si>
    <t>Spalte6701</t>
  </si>
  <si>
    <t>Spalte6702</t>
  </si>
  <si>
    <t>Spalte6703</t>
  </si>
  <si>
    <t>Spalte6704</t>
  </si>
  <si>
    <t>Spalte6705</t>
  </si>
  <si>
    <t>Spalte6706</t>
  </si>
  <si>
    <t>Spalte6707</t>
  </si>
  <si>
    <t>Spalte6708</t>
  </si>
  <si>
    <t>Spalte6709</t>
  </si>
  <si>
    <t>Spalte6710</t>
  </si>
  <si>
    <t>Spalte6711</t>
  </si>
  <si>
    <t>Spalte6712</t>
  </si>
  <si>
    <t>Spalte6713</t>
  </si>
  <si>
    <t>Spalte6714</t>
  </si>
  <si>
    <t>Spalte6715</t>
  </si>
  <si>
    <t>Spalte6716</t>
  </si>
  <si>
    <t>Spalte6717</t>
  </si>
  <si>
    <t>Spalte6718</t>
  </si>
  <si>
    <t>Spalte6719</t>
  </si>
  <si>
    <t>Spalte6720</t>
  </si>
  <si>
    <t>Spalte6721</t>
  </si>
  <si>
    <t>Spalte6722</t>
  </si>
  <si>
    <t>Spalte6723</t>
  </si>
  <si>
    <t>Spalte6724</t>
  </si>
  <si>
    <t>Spalte6725</t>
  </si>
  <si>
    <t>Spalte6726</t>
  </si>
  <si>
    <t>Spalte6727</t>
  </si>
  <si>
    <t>Spalte6728</t>
  </si>
  <si>
    <t>Spalte6729</t>
  </si>
  <si>
    <t>Spalte6730</t>
  </si>
  <si>
    <t>Spalte6731</t>
  </si>
  <si>
    <t>Spalte6732</t>
  </si>
  <si>
    <t>Spalte6733</t>
  </si>
  <si>
    <t>Spalte6734</t>
  </si>
  <si>
    <t>Spalte6735</t>
  </si>
  <si>
    <t>Spalte6736</t>
  </si>
  <si>
    <t>Spalte6737</t>
  </si>
  <si>
    <t>Spalte6738</t>
  </si>
  <si>
    <t>Spalte6739</t>
  </si>
  <si>
    <t>Spalte6740</t>
  </si>
  <si>
    <t>Spalte6741</t>
  </si>
  <si>
    <t>Spalte6742</t>
  </si>
  <si>
    <t>Spalte6743</t>
  </si>
  <si>
    <t>Spalte6744</t>
  </si>
  <si>
    <t>Spalte6745</t>
  </si>
  <si>
    <t>Spalte6746</t>
  </si>
  <si>
    <t>Spalte6747</t>
  </si>
  <si>
    <t>Spalte6748</t>
  </si>
  <si>
    <t>Spalte6749</t>
  </si>
  <si>
    <t>Spalte6750</t>
  </si>
  <si>
    <t>Spalte6751</t>
  </si>
  <si>
    <t>Spalte6752</t>
  </si>
  <si>
    <t>Spalte6753</t>
  </si>
  <si>
    <t>Spalte6754</t>
  </si>
  <si>
    <t>Spalte6755</t>
  </si>
  <si>
    <t>Spalte6756</t>
  </si>
  <si>
    <t>Spalte6757</t>
  </si>
  <si>
    <t>Spalte6758</t>
  </si>
  <si>
    <t>Spalte6759</t>
  </si>
  <si>
    <t>Spalte6760</t>
  </si>
  <si>
    <t>Spalte6761</t>
  </si>
  <si>
    <t>Spalte6762</t>
  </si>
  <si>
    <t>Spalte6763</t>
  </si>
  <si>
    <t>Spalte6764</t>
  </si>
  <si>
    <t>Spalte6765</t>
  </si>
  <si>
    <t>Spalte6766</t>
  </si>
  <si>
    <t>Spalte6767</t>
  </si>
  <si>
    <t>Spalte6768</t>
  </si>
  <si>
    <t>Spalte6769</t>
  </si>
  <si>
    <t>Spalte6770</t>
  </si>
  <si>
    <t>Spalte6771</t>
  </si>
  <si>
    <t>Spalte6772</t>
  </si>
  <si>
    <t>Spalte6773</t>
  </si>
  <si>
    <t>Spalte6774</t>
  </si>
  <si>
    <t>Spalte6775</t>
  </si>
  <si>
    <t>Spalte6776</t>
  </si>
  <si>
    <t>Spalte6777</t>
  </si>
  <si>
    <t>Spalte6778</t>
  </si>
  <si>
    <t>Spalte6779</t>
  </si>
  <si>
    <t>Spalte6780</t>
  </si>
  <si>
    <t>Spalte6781</t>
  </si>
  <si>
    <t>Spalte6782</t>
  </si>
  <si>
    <t>Spalte6783</t>
  </si>
  <si>
    <t>Spalte6784</t>
  </si>
  <si>
    <t>Spalte6785</t>
  </si>
  <si>
    <t>Spalte6786</t>
  </si>
  <si>
    <t>Spalte6787</t>
  </si>
  <si>
    <t>Spalte6788</t>
  </si>
  <si>
    <t>Spalte6789</t>
  </si>
  <si>
    <t>Spalte6790</t>
  </si>
  <si>
    <t>Spalte6791</t>
  </si>
  <si>
    <t>Spalte6792</t>
  </si>
  <si>
    <t>Spalte6793</t>
  </si>
  <si>
    <t>Spalte6794</t>
  </si>
  <si>
    <t>Spalte6795</t>
  </si>
  <si>
    <t>Spalte6796</t>
  </si>
  <si>
    <t>Spalte6797</t>
  </si>
  <si>
    <t>Spalte6798</t>
  </si>
  <si>
    <t>Spalte6799</t>
  </si>
  <si>
    <t>Spalte6800</t>
  </si>
  <si>
    <t>Spalte6801</t>
  </si>
  <si>
    <t>Spalte6802</t>
  </si>
  <si>
    <t>Spalte6803</t>
  </si>
  <si>
    <t>Spalte6804</t>
  </si>
  <si>
    <t>Spalte6805</t>
  </si>
  <si>
    <t>Spalte6806</t>
  </si>
  <si>
    <t>Spalte6807</t>
  </si>
  <si>
    <t>Spalte6808</t>
  </si>
  <si>
    <t>Spalte6809</t>
  </si>
  <si>
    <t>Spalte6810</t>
  </si>
  <si>
    <t>Spalte6811</t>
  </si>
  <si>
    <t>Spalte6812</t>
  </si>
  <si>
    <t>Spalte6813</t>
  </si>
  <si>
    <t>Spalte6814</t>
  </si>
  <si>
    <t>Spalte6815</t>
  </si>
  <si>
    <t>Spalte6816</t>
  </si>
  <si>
    <t>Spalte6817</t>
  </si>
  <si>
    <t>Spalte6818</t>
  </si>
  <si>
    <t>Spalte6819</t>
  </si>
  <si>
    <t>Spalte6820</t>
  </si>
  <si>
    <t>Spalte6821</t>
  </si>
  <si>
    <t>Spalte6822</t>
  </si>
  <si>
    <t>Spalte6823</t>
  </si>
  <si>
    <t>Spalte6824</t>
  </si>
  <si>
    <t>Spalte6825</t>
  </si>
  <si>
    <t>Spalte6826</t>
  </si>
  <si>
    <t>Spalte6827</t>
  </si>
  <si>
    <t>Spalte6828</t>
  </si>
  <si>
    <t>Spalte6829</t>
  </si>
  <si>
    <t>Spalte6830</t>
  </si>
  <si>
    <t>Spalte6831</t>
  </si>
  <si>
    <t>Spalte6832</t>
  </si>
  <si>
    <t>Spalte6833</t>
  </si>
  <si>
    <t>Spalte6834</t>
  </si>
  <si>
    <t>Spalte6835</t>
  </si>
  <si>
    <t>Spalte6836</t>
  </si>
  <si>
    <t>Spalte6837</t>
  </si>
  <si>
    <t>Spalte6838</t>
  </si>
  <si>
    <t>Spalte6839</t>
  </si>
  <si>
    <t>Spalte6840</t>
  </si>
  <si>
    <t>Spalte6841</t>
  </si>
  <si>
    <t>Spalte6842</t>
  </si>
  <si>
    <t>Spalte6843</t>
  </si>
  <si>
    <t>Spalte6844</t>
  </si>
  <si>
    <t>Spalte6845</t>
  </si>
  <si>
    <t>Spalte6846</t>
  </si>
  <si>
    <t>Spalte6847</t>
  </si>
  <si>
    <t>Spalte6848</t>
  </si>
  <si>
    <t>Spalte6849</t>
  </si>
  <si>
    <t>Spalte6850</t>
  </si>
  <si>
    <t>Spalte6851</t>
  </si>
  <si>
    <t>Spalte6852</t>
  </si>
  <si>
    <t>Spalte6853</t>
  </si>
  <si>
    <t>Spalte6854</t>
  </si>
  <si>
    <t>Spalte6855</t>
  </si>
  <si>
    <t>Spalte6856</t>
  </si>
  <si>
    <t>Spalte6857</t>
  </si>
  <si>
    <t>Spalte6858</t>
  </si>
  <si>
    <t>Spalte6859</t>
  </si>
  <si>
    <t>Spalte6860</t>
  </si>
  <si>
    <t>Spalte6861</t>
  </si>
  <si>
    <t>Spalte6862</t>
  </si>
  <si>
    <t>Spalte6863</t>
  </si>
  <si>
    <t>Spalte6864</t>
  </si>
  <si>
    <t>Spalte6865</t>
  </si>
  <si>
    <t>Spalte6866</t>
  </si>
  <si>
    <t>Spalte6867</t>
  </si>
  <si>
    <t>Spalte6868</t>
  </si>
  <si>
    <t>Spalte6869</t>
  </si>
  <si>
    <t>Spalte6870</t>
  </si>
  <si>
    <t>Spalte6871</t>
  </si>
  <si>
    <t>Spalte6872</t>
  </si>
  <si>
    <t>Spalte6873</t>
  </si>
  <si>
    <t>Spalte6874</t>
  </si>
  <si>
    <t>Spalte6875</t>
  </si>
  <si>
    <t>Spalte6876</t>
  </si>
  <si>
    <t>Spalte6877</t>
  </si>
  <si>
    <t>Spalte6878</t>
  </si>
  <si>
    <t>Spalte6879</t>
  </si>
  <si>
    <t>Spalte6880</t>
  </si>
  <si>
    <t>Spalte6881</t>
  </si>
  <si>
    <t>Spalte6882</t>
  </si>
  <si>
    <t>Spalte6883</t>
  </si>
  <si>
    <t>Spalte6884</t>
  </si>
  <si>
    <t>Spalte6885</t>
  </si>
  <si>
    <t>Spalte6886</t>
  </si>
  <si>
    <t>Spalte6887</t>
  </si>
  <si>
    <t>Spalte6888</t>
  </si>
  <si>
    <t>Spalte6889</t>
  </si>
  <si>
    <t>Spalte6890</t>
  </si>
  <si>
    <t>Spalte6891</t>
  </si>
  <si>
    <t>Spalte6892</t>
  </si>
  <si>
    <t>Spalte6893</t>
  </si>
  <si>
    <t>Spalte6894</t>
  </si>
  <si>
    <t>Spalte6895</t>
  </si>
  <si>
    <t>Spalte6896</t>
  </si>
  <si>
    <t>Spalte6897</t>
  </si>
  <si>
    <t>Spalte6898</t>
  </si>
  <si>
    <t>Spalte6899</t>
  </si>
  <si>
    <t>Spalte6900</t>
  </si>
  <si>
    <t>Spalte6901</t>
  </si>
  <si>
    <t>Spalte6902</t>
  </si>
  <si>
    <t>Spalte6903</t>
  </si>
  <si>
    <t>Spalte6904</t>
  </si>
  <si>
    <t>Spalte6905</t>
  </si>
  <si>
    <t>Spalte6906</t>
  </si>
  <si>
    <t>Spalte6907</t>
  </si>
  <si>
    <t>Spalte6908</t>
  </si>
  <si>
    <t>Spalte6909</t>
  </si>
  <si>
    <t>Spalte6910</t>
  </si>
  <si>
    <t>Spalte6911</t>
  </si>
  <si>
    <t>Spalte6912</t>
  </si>
  <si>
    <t>Spalte6913</t>
  </si>
  <si>
    <t>Spalte6914</t>
  </si>
  <si>
    <t>Spalte6915</t>
  </si>
  <si>
    <t>Spalte6916</t>
  </si>
  <si>
    <t>Spalte6917</t>
  </si>
  <si>
    <t>Spalte6918</t>
  </si>
  <si>
    <t>Spalte6919</t>
  </si>
  <si>
    <t>Spalte6920</t>
  </si>
  <si>
    <t>Spalte6921</t>
  </si>
  <si>
    <t>Spalte6922</t>
  </si>
  <si>
    <t>Spalte6923</t>
  </si>
  <si>
    <t>Spalte6924</t>
  </si>
  <si>
    <t>Spalte6925</t>
  </si>
  <si>
    <t>Spalte6926</t>
  </si>
  <si>
    <t>Spalte6927</t>
  </si>
  <si>
    <t>Spalte6928</t>
  </si>
  <si>
    <t>Spalte6929</t>
  </si>
  <si>
    <t>Spalte6930</t>
  </si>
  <si>
    <t>Spalte6931</t>
  </si>
  <si>
    <t>Spalte6932</t>
  </si>
  <si>
    <t>Spalte6933</t>
  </si>
  <si>
    <t>Spalte6934</t>
  </si>
  <si>
    <t>Spalte6935</t>
  </si>
  <si>
    <t>Spalte6936</t>
  </si>
  <si>
    <t>Spalte6937</t>
  </si>
  <si>
    <t>Spalte6938</t>
  </si>
  <si>
    <t>Spalte6939</t>
  </si>
  <si>
    <t>Spalte6940</t>
  </si>
  <si>
    <t>Spalte6941</t>
  </si>
  <si>
    <t>Spalte6942</t>
  </si>
  <si>
    <t>Spalte6943</t>
  </si>
  <si>
    <t>Spalte6944</t>
  </si>
  <si>
    <t>Spalte6945</t>
  </si>
  <si>
    <t>Spalte6946</t>
  </si>
  <si>
    <t>Spalte6947</t>
  </si>
  <si>
    <t>Spalte6948</t>
  </si>
  <si>
    <t>Spalte6949</t>
  </si>
  <si>
    <t>Spalte6950</t>
  </si>
  <si>
    <t>Spalte6951</t>
  </si>
  <si>
    <t>Spalte6952</t>
  </si>
  <si>
    <t>Spalte6953</t>
  </si>
  <si>
    <t>Spalte6954</t>
  </si>
  <si>
    <t>Spalte6955</t>
  </si>
  <si>
    <t>Spalte6956</t>
  </si>
  <si>
    <t>Spalte6957</t>
  </si>
  <si>
    <t>Spalte6958</t>
  </si>
  <si>
    <t>Spalte6959</t>
  </si>
  <si>
    <t>Spalte6960</t>
  </si>
  <si>
    <t>Spalte6961</t>
  </si>
  <si>
    <t>Spalte6962</t>
  </si>
  <si>
    <t>Spalte6963</t>
  </si>
  <si>
    <t>Spalte6964</t>
  </si>
  <si>
    <t>Spalte6965</t>
  </si>
  <si>
    <t>Spalte6966</t>
  </si>
  <si>
    <t>Spalte6967</t>
  </si>
  <si>
    <t>Spalte6968</t>
  </si>
  <si>
    <t>Spalte6969</t>
  </si>
  <si>
    <t>Spalte6970</t>
  </si>
  <si>
    <t>Spalte6971</t>
  </si>
  <si>
    <t>Spalte6972</t>
  </si>
  <si>
    <t>Spalte6973</t>
  </si>
  <si>
    <t>Spalte6974</t>
  </si>
  <si>
    <t>Spalte6975</t>
  </si>
  <si>
    <t>Spalte6976</t>
  </si>
  <si>
    <t>Spalte6977</t>
  </si>
  <si>
    <t>Spalte6978</t>
  </si>
  <si>
    <t>Spalte6979</t>
  </si>
  <si>
    <t>Spalte6980</t>
  </si>
  <si>
    <t>Spalte6981</t>
  </si>
  <si>
    <t>Spalte6982</t>
  </si>
  <si>
    <t>Spalte6983</t>
  </si>
  <si>
    <t>Spalte6984</t>
  </si>
  <si>
    <t>Spalte6985</t>
  </si>
  <si>
    <t>Spalte6986</t>
  </si>
  <si>
    <t>Spalte6987</t>
  </si>
  <si>
    <t>Spalte6988</t>
  </si>
  <si>
    <t>Spalte6989</t>
  </si>
  <si>
    <t>Spalte6990</t>
  </si>
  <si>
    <t>Spalte6991</t>
  </si>
  <si>
    <t>Spalte6992</t>
  </si>
  <si>
    <t>Spalte6993</t>
  </si>
  <si>
    <t>Spalte6994</t>
  </si>
  <si>
    <t>Spalte6995</t>
  </si>
  <si>
    <t>Spalte6996</t>
  </si>
  <si>
    <t>Spalte6997</t>
  </si>
  <si>
    <t>Spalte6998</t>
  </si>
  <si>
    <t>Spalte6999</t>
  </si>
  <si>
    <t>Spalte7000</t>
  </si>
  <si>
    <t>Spalte7001</t>
  </si>
  <si>
    <t>Spalte7002</t>
  </si>
  <si>
    <t>Spalte7003</t>
  </si>
  <si>
    <t>Spalte7004</t>
  </si>
  <si>
    <t>Spalte7005</t>
  </si>
  <si>
    <t>Spalte7006</t>
  </si>
  <si>
    <t>Spalte7007</t>
  </si>
  <si>
    <t>Spalte7008</t>
  </si>
  <si>
    <t>Spalte7009</t>
  </si>
  <si>
    <t>Spalte7010</t>
  </si>
  <si>
    <t>Spalte7011</t>
  </si>
  <si>
    <t>Spalte7012</t>
  </si>
  <si>
    <t>Spalte7013</t>
  </si>
  <si>
    <t>Spalte7014</t>
  </si>
  <si>
    <t>Spalte7015</t>
  </si>
  <si>
    <t>Spalte7016</t>
  </si>
  <si>
    <t>Spalte7017</t>
  </si>
  <si>
    <t>Spalte7018</t>
  </si>
  <si>
    <t>Spalte7019</t>
  </si>
  <si>
    <t>Spalte7020</t>
  </si>
  <si>
    <t>Spalte7021</t>
  </si>
  <si>
    <t>Spalte7022</t>
  </si>
  <si>
    <t>Spalte7023</t>
  </si>
  <si>
    <t>Spalte7024</t>
  </si>
  <si>
    <t>Spalte7025</t>
  </si>
  <si>
    <t>Spalte7026</t>
  </si>
  <si>
    <t>Spalte7027</t>
  </si>
  <si>
    <t>Spalte7028</t>
  </si>
  <si>
    <t>Spalte7029</t>
  </si>
  <si>
    <t>Spalte7030</t>
  </si>
  <si>
    <t>Spalte7031</t>
  </si>
  <si>
    <t>Spalte7032</t>
  </si>
  <si>
    <t>Spalte7033</t>
  </si>
  <si>
    <t>Spalte7034</t>
  </si>
  <si>
    <t>Spalte7035</t>
  </si>
  <si>
    <t>Spalte7036</t>
  </si>
  <si>
    <t>Spalte7037</t>
  </si>
  <si>
    <t>Spalte7038</t>
  </si>
  <si>
    <t>Spalte7039</t>
  </si>
  <si>
    <t>Spalte7040</t>
  </si>
  <si>
    <t>Spalte7041</t>
  </si>
  <si>
    <t>Spalte7042</t>
  </si>
  <si>
    <t>Spalte7043</t>
  </si>
  <si>
    <t>Spalte7044</t>
  </si>
  <si>
    <t>Spalte7045</t>
  </si>
  <si>
    <t>Spalte7046</t>
  </si>
  <si>
    <t>Spalte7047</t>
  </si>
  <si>
    <t>Spalte7048</t>
  </si>
  <si>
    <t>Spalte7049</t>
  </si>
  <si>
    <t>Spalte7050</t>
  </si>
  <si>
    <t>Spalte7051</t>
  </si>
  <si>
    <t>Spalte7052</t>
  </si>
  <si>
    <t>Spalte7053</t>
  </si>
  <si>
    <t>Spalte7054</t>
  </si>
  <si>
    <t>Spalte7055</t>
  </si>
  <si>
    <t>Spalte7056</t>
  </si>
  <si>
    <t>Spalte7057</t>
  </si>
  <si>
    <t>Spalte7058</t>
  </si>
  <si>
    <t>Spalte7059</t>
  </si>
  <si>
    <t>Spalte7060</t>
  </si>
  <si>
    <t>Spalte7061</t>
  </si>
  <si>
    <t>Spalte7062</t>
  </si>
  <si>
    <t>Spalte7063</t>
  </si>
  <si>
    <t>Spalte7064</t>
  </si>
  <si>
    <t>Spalte7065</t>
  </si>
  <si>
    <t>Spalte7066</t>
  </si>
  <si>
    <t>Spalte7067</t>
  </si>
  <si>
    <t>Spalte7068</t>
  </si>
  <si>
    <t>Spalte7069</t>
  </si>
  <si>
    <t>Spalte7070</t>
  </si>
  <si>
    <t>Spalte7071</t>
  </si>
  <si>
    <t>Spalte7072</t>
  </si>
  <si>
    <t>Spalte7073</t>
  </si>
  <si>
    <t>Spalte7074</t>
  </si>
  <si>
    <t>Spalte7075</t>
  </si>
  <si>
    <t>Spalte7076</t>
  </si>
  <si>
    <t>Spalte7077</t>
  </si>
  <si>
    <t>Spalte7078</t>
  </si>
  <si>
    <t>Spalte7079</t>
  </si>
  <si>
    <t>Spalte7080</t>
  </si>
  <si>
    <t>Spalte7081</t>
  </si>
  <si>
    <t>Spalte7082</t>
  </si>
  <si>
    <t>Spalte7083</t>
  </si>
  <si>
    <t>Spalte7084</t>
  </si>
  <si>
    <t>Spalte7085</t>
  </si>
  <si>
    <t>Spalte7086</t>
  </si>
  <si>
    <t>Spalte7087</t>
  </si>
  <si>
    <t>Spalte7088</t>
  </si>
  <si>
    <t>Spalte7089</t>
  </si>
  <si>
    <t>Spalte7090</t>
  </si>
  <si>
    <t>Spalte7091</t>
  </si>
  <si>
    <t>Spalte7092</t>
  </si>
  <si>
    <t>Spalte7093</t>
  </si>
  <si>
    <t>Spalte7094</t>
  </si>
  <si>
    <t>Spalte7095</t>
  </si>
  <si>
    <t>Spalte7096</t>
  </si>
  <si>
    <t>Spalte7097</t>
  </si>
  <si>
    <t>Spalte7098</t>
  </si>
  <si>
    <t>Spalte7099</t>
  </si>
  <si>
    <t>Spalte7100</t>
  </si>
  <si>
    <t>Spalte7101</t>
  </si>
  <si>
    <t>Spalte7102</t>
  </si>
  <si>
    <t>Spalte7103</t>
  </si>
  <si>
    <t>Spalte7104</t>
  </si>
  <si>
    <t>Spalte7105</t>
  </si>
  <si>
    <t>Spalte7106</t>
  </si>
  <si>
    <t>Spalte7107</t>
  </si>
  <si>
    <t>Spalte7108</t>
  </si>
  <si>
    <t>Spalte7109</t>
  </si>
  <si>
    <t>Spalte7110</t>
  </si>
  <si>
    <t>Spalte7111</t>
  </si>
  <si>
    <t>Spalte7112</t>
  </si>
  <si>
    <t>Spalte7113</t>
  </si>
  <si>
    <t>Spalte7114</t>
  </si>
  <si>
    <t>Spalte7115</t>
  </si>
  <si>
    <t>Spalte7116</t>
  </si>
  <si>
    <t>Spalte7117</t>
  </si>
  <si>
    <t>Spalte7118</t>
  </si>
  <si>
    <t>Spalte7119</t>
  </si>
  <si>
    <t>Spalte7120</t>
  </si>
  <si>
    <t>Spalte7121</t>
  </si>
  <si>
    <t>Spalte7122</t>
  </si>
  <si>
    <t>Spalte7123</t>
  </si>
  <si>
    <t>Spalte7124</t>
  </si>
  <si>
    <t>Spalte7125</t>
  </si>
  <si>
    <t>Spalte7126</t>
  </si>
  <si>
    <t>Spalte7127</t>
  </si>
  <si>
    <t>Spalte7128</t>
  </si>
  <si>
    <t>Spalte7129</t>
  </si>
  <si>
    <t>Spalte7130</t>
  </si>
  <si>
    <t>Spalte7131</t>
  </si>
  <si>
    <t>Spalte7132</t>
  </si>
  <si>
    <t>Spalte7133</t>
  </si>
  <si>
    <t>Spalte7134</t>
  </si>
  <si>
    <t>Spalte7135</t>
  </si>
  <si>
    <t>Spalte7136</t>
  </si>
  <si>
    <t>Spalte7137</t>
  </si>
  <si>
    <t>Spalte7138</t>
  </si>
  <si>
    <t>Spalte7139</t>
  </si>
  <si>
    <t>Spalte7140</t>
  </si>
  <si>
    <t>Spalte7141</t>
  </si>
  <si>
    <t>Spalte7142</t>
  </si>
  <si>
    <t>Spalte7143</t>
  </si>
  <si>
    <t>Spalte7144</t>
  </si>
  <si>
    <t>Spalte7145</t>
  </si>
  <si>
    <t>Spalte7146</t>
  </si>
  <si>
    <t>Spalte7147</t>
  </si>
  <si>
    <t>Spalte7148</t>
  </si>
  <si>
    <t>Spalte7149</t>
  </si>
  <si>
    <t>Spalte7150</t>
  </si>
  <si>
    <t>Spalte7151</t>
  </si>
  <si>
    <t>Spalte7152</t>
  </si>
  <si>
    <t>Spalte7153</t>
  </si>
  <si>
    <t>Spalte7154</t>
  </si>
  <si>
    <t>Spalte7155</t>
  </si>
  <si>
    <t>Spalte7156</t>
  </si>
  <si>
    <t>Spalte7157</t>
  </si>
  <si>
    <t>Spalte7158</t>
  </si>
  <si>
    <t>Spalte7159</t>
  </si>
  <si>
    <t>Spalte7160</t>
  </si>
  <si>
    <t>Spalte7161</t>
  </si>
  <si>
    <t>Spalte7162</t>
  </si>
  <si>
    <t>Spalte7163</t>
  </si>
  <si>
    <t>Spalte7164</t>
  </si>
  <si>
    <t>Spalte7165</t>
  </si>
  <si>
    <t>Spalte7166</t>
  </si>
  <si>
    <t>Spalte7167</t>
  </si>
  <si>
    <t>Spalte7168</t>
  </si>
  <si>
    <t>Spalte7169</t>
  </si>
  <si>
    <t>Spalte7170</t>
  </si>
  <si>
    <t>Spalte7171</t>
  </si>
  <si>
    <t>Spalte7172</t>
  </si>
  <si>
    <t>Spalte7173</t>
  </si>
  <si>
    <t>Spalte7174</t>
  </si>
  <si>
    <t>Spalte7175</t>
  </si>
  <si>
    <t>Spalte7176</t>
  </si>
  <si>
    <t>Spalte7177</t>
  </si>
  <si>
    <t>Spalte7178</t>
  </si>
  <si>
    <t>Spalte7179</t>
  </si>
  <si>
    <t>Spalte7180</t>
  </si>
  <si>
    <t>Spalte7181</t>
  </si>
  <si>
    <t>Spalte7182</t>
  </si>
  <si>
    <t>Spalte7183</t>
  </si>
  <si>
    <t>Spalte7184</t>
  </si>
  <si>
    <t>Spalte7185</t>
  </si>
  <si>
    <t>Spalte7186</t>
  </si>
  <si>
    <t>Spalte7187</t>
  </si>
  <si>
    <t>Spalte7188</t>
  </si>
  <si>
    <t>Spalte7189</t>
  </si>
  <si>
    <t>Spalte7190</t>
  </si>
  <si>
    <t>Spalte7191</t>
  </si>
  <si>
    <t>Spalte7192</t>
  </si>
  <si>
    <t>Spalte7193</t>
  </si>
  <si>
    <t>Spalte7194</t>
  </si>
  <si>
    <t>Spalte7195</t>
  </si>
  <si>
    <t>Spalte7196</t>
  </si>
  <si>
    <t>Spalte7197</t>
  </si>
  <si>
    <t>Spalte7198</t>
  </si>
  <si>
    <t>Spalte7199</t>
  </si>
  <si>
    <t>Spalte7200</t>
  </si>
  <si>
    <t>Spalte7201</t>
  </si>
  <si>
    <t>Spalte7202</t>
  </si>
  <si>
    <t>Spalte7203</t>
  </si>
  <si>
    <t>Spalte7204</t>
  </si>
  <si>
    <t>Spalte7205</t>
  </si>
  <si>
    <t>Spalte7206</t>
  </si>
  <si>
    <t>Spalte7207</t>
  </si>
  <si>
    <t>Spalte7208</t>
  </si>
  <si>
    <t>Spalte7209</t>
  </si>
  <si>
    <t>Spalte7210</t>
  </si>
  <si>
    <t>Spalte7211</t>
  </si>
  <si>
    <t>Spalte7212</t>
  </si>
  <si>
    <t>Spalte7213</t>
  </si>
  <si>
    <t>Spalte7214</t>
  </si>
  <si>
    <t>Spalte7215</t>
  </si>
  <si>
    <t>Spalte7216</t>
  </si>
  <si>
    <t>Spalte7217</t>
  </si>
  <si>
    <t>Spalte7218</t>
  </si>
  <si>
    <t>Spalte7219</t>
  </si>
  <si>
    <t>Spalte7220</t>
  </si>
  <si>
    <t>Spalte7221</t>
  </si>
  <si>
    <t>Spalte7222</t>
  </si>
  <si>
    <t>Spalte7223</t>
  </si>
  <si>
    <t>Spalte7224</t>
  </si>
  <si>
    <t>Spalte7225</t>
  </si>
  <si>
    <t>Spalte7226</t>
  </si>
  <si>
    <t>Spalte7227</t>
  </si>
  <si>
    <t>Spalte7228</t>
  </si>
  <si>
    <t>Spalte7229</t>
  </si>
  <si>
    <t>Spalte7230</t>
  </si>
  <si>
    <t>Spalte7231</t>
  </si>
  <si>
    <t>Spalte7232</t>
  </si>
  <si>
    <t>Spalte7233</t>
  </si>
  <si>
    <t>Spalte7234</t>
  </si>
  <si>
    <t>Spalte7235</t>
  </si>
  <si>
    <t>Spalte7236</t>
  </si>
  <si>
    <t>Spalte7237</t>
  </si>
  <si>
    <t>Spalte7238</t>
  </si>
  <si>
    <t>Spalte7239</t>
  </si>
  <si>
    <t>Spalte7240</t>
  </si>
  <si>
    <t>Spalte7241</t>
  </si>
  <si>
    <t>Spalte7242</t>
  </si>
  <si>
    <t>Spalte7243</t>
  </si>
  <si>
    <t>Spalte7244</t>
  </si>
  <si>
    <t>Spalte7245</t>
  </si>
  <si>
    <t>Spalte7246</t>
  </si>
  <si>
    <t>Spalte7247</t>
  </si>
  <si>
    <t>Spalte7248</t>
  </si>
  <si>
    <t>Spalte7249</t>
  </si>
  <si>
    <t>Spalte7250</t>
  </si>
  <si>
    <t>Spalte7251</t>
  </si>
  <si>
    <t>Spalte7252</t>
  </si>
  <si>
    <t>Spalte7253</t>
  </si>
  <si>
    <t>Spalte7254</t>
  </si>
  <si>
    <t>Spalte7255</t>
  </si>
  <si>
    <t>Spalte7256</t>
  </si>
  <si>
    <t>Spalte7257</t>
  </si>
  <si>
    <t>Spalte7258</t>
  </si>
  <si>
    <t>Spalte7259</t>
  </si>
  <si>
    <t>Spalte7260</t>
  </si>
  <si>
    <t>Spalte7261</t>
  </si>
  <si>
    <t>Spalte7262</t>
  </si>
  <si>
    <t>Spalte7263</t>
  </si>
  <si>
    <t>Spalte7264</t>
  </si>
  <si>
    <t>Spalte7265</t>
  </si>
  <si>
    <t>Spalte7266</t>
  </si>
  <si>
    <t>Spalte7267</t>
  </si>
  <si>
    <t>Spalte7268</t>
  </si>
  <si>
    <t>Spalte7269</t>
  </si>
  <si>
    <t>Spalte7270</t>
  </si>
  <si>
    <t>Spalte7271</t>
  </si>
  <si>
    <t>Spalte7272</t>
  </si>
  <si>
    <t>Spalte7273</t>
  </si>
  <si>
    <t>Spalte7274</t>
  </si>
  <si>
    <t>Spalte7275</t>
  </si>
  <si>
    <t>Spalte7276</t>
  </si>
  <si>
    <t>Spalte7277</t>
  </si>
  <si>
    <t>Spalte7278</t>
  </si>
  <si>
    <t>Spalte7279</t>
  </si>
  <si>
    <t>Spalte7280</t>
  </si>
  <si>
    <t>Spalte7281</t>
  </si>
  <si>
    <t>Spalte7282</t>
  </si>
  <si>
    <t>Spalte7283</t>
  </si>
  <si>
    <t>Spalte7284</t>
  </si>
  <si>
    <t>Spalte7285</t>
  </si>
  <si>
    <t>Spalte7286</t>
  </si>
  <si>
    <t>Spalte7287</t>
  </si>
  <si>
    <t>Spalte7288</t>
  </si>
  <si>
    <t>Spalte7289</t>
  </si>
  <si>
    <t>Spalte7290</t>
  </si>
  <si>
    <t>Spalte7291</t>
  </si>
  <si>
    <t>Spalte7292</t>
  </si>
  <si>
    <t>Spalte7293</t>
  </si>
  <si>
    <t>Spalte7294</t>
  </si>
  <si>
    <t>Spalte7295</t>
  </si>
  <si>
    <t>Spalte7296</t>
  </si>
  <si>
    <t>Spalte7297</t>
  </si>
  <si>
    <t>Spalte7298</t>
  </si>
  <si>
    <t>Spalte7299</t>
  </si>
  <si>
    <t>Spalte7300</t>
  </si>
  <si>
    <t>Spalte7301</t>
  </si>
  <si>
    <t>Spalte7302</t>
  </si>
  <si>
    <t>Spalte7303</t>
  </si>
  <si>
    <t>Spalte7304</t>
  </si>
  <si>
    <t>Spalte7305</t>
  </si>
  <si>
    <t>Spalte7306</t>
  </si>
  <si>
    <t>Spalte7307</t>
  </si>
  <si>
    <t>Spalte7308</t>
  </si>
  <si>
    <t>Spalte7309</t>
  </si>
  <si>
    <t>Spalte7310</t>
  </si>
  <si>
    <t>Spalte7311</t>
  </si>
  <si>
    <t>Spalte7312</t>
  </si>
  <si>
    <t>Spalte7313</t>
  </si>
  <si>
    <t>Spalte7314</t>
  </si>
  <si>
    <t>Spalte7315</t>
  </si>
  <si>
    <t>Spalte7316</t>
  </si>
  <si>
    <t>Spalte7317</t>
  </si>
  <si>
    <t>Spalte7318</t>
  </si>
  <si>
    <t>Spalte7319</t>
  </si>
  <si>
    <t>Spalte7320</t>
  </si>
  <si>
    <t>Spalte7321</t>
  </si>
  <si>
    <t>Spalte7322</t>
  </si>
  <si>
    <t>Spalte7323</t>
  </si>
  <si>
    <t>Spalte7324</t>
  </si>
  <si>
    <t>Spalte7325</t>
  </si>
  <si>
    <t>Spalte7326</t>
  </si>
  <si>
    <t>Spalte7327</t>
  </si>
  <si>
    <t>Spalte7328</t>
  </si>
  <si>
    <t>Spalte7329</t>
  </si>
  <si>
    <t>Spalte7330</t>
  </si>
  <si>
    <t>Spalte7331</t>
  </si>
  <si>
    <t>Spalte7332</t>
  </si>
  <si>
    <t>Spalte7333</t>
  </si>
  <si>
    <t>Spalte7334</t>
  </si>
  <si>
    <t>Spalte7335</t>
  </si>
  <si>
    <t>Spalte7336</t>
  </si>
  <si>
    <t>Spalte7337</t>
  </si>
  <si>
    <t>Spalte7338</t>
  </si>
  <si>
    <t>Spalte7339</t>
  </si>
  <si>
    <t>Spalte7340</t>
  </si>
  <si>
    <t>Spalte7341</t>
  </si>
  <si>
    <t>Spalte7342</t>
  </si>
  <si>
    <t>Spalte7343</t>
  </si>
  <si>
    <t>Spalte7344</t>
  </si>
  <si>
    <t>Spalte7345</t>
  </si>
  <si>
    <t>Spalte7346</t>
  </si>
  <si>
    <t>Spalte7347</t>
  </si>
  <si>
    <t>Spalte7348</t>
  </si>
  <si>
    <t>Spalte7349</t>
  </si>
  <si>
    <t>Spalte7350</t>
  </si>
  <si>
    <t>Spalte7351</t>
  </si>
  <si>
    <t>Spalte7352</t>
  </si>
  <si>
    <t>Spalte7353</t>
  </si>
  <si>
    <t>Spalte7354</t>
  </si>
  <si>
    <t>Spalte7355</t>
  </si>
  <si>
    <t>Spalte7356</t>
  </si>
  <si>
    <t>Spalte7357</t>
  </si>
  <si>
    <t>Spalte7358</t>
  </si>
  <si>
    <t>Spalte7359</t>
  </si>
  <si>
    <t>Spalte7360</t>
  </si>
  <si>
    <t>Spalte7361</t>
  </si>
  <si>
    <t>Spalte7362</t>
  </si>
  <si>
    <t>Spalte7363</t>
  </si>
  <si>
    <t>Spalte7364</t>
  </si>
  <si>
    <t>Spalte7365</t>
  </si>
  <si>
    <t>Spalte7366</t>
  </si>
  <si>
    <t>Spalte7367</t>
  </si>
  <si>
    <t>Spalte7368</t>
  </si>
  <si>
    <t>Spalte7369</t>
  </si>
  <si>
    <t>Spalte7370</t>
  </si>
  <si>
    <t>Spalte7371</t>
  </si>
  <si>
    <t>Spalte7372</t>
  </si>
  <si>
    <t>Spalte7373</t>
  </si>
  <si>
    <t>Spalte7374</t>
  </si>
  <si>
    <t>Spalte7375</t>
  </si>
  <si>
    <t>Spalte7376</t>
  </si>
  <si>
    <t>Spalte7377</t>
  </si>
  <si>
    <t>Spalte7378</t>
  </si>
  <si>
    <t>Spalte7379</t>
  </si>
  <si>
    <t>Spalte7380</t>
  </si>
  <si>
    <t>Spalte7381</t>
  </si>
  <si>
    <t>Spalte7382</t>
  </si>
  <si>
    <t>Spalte7383</t>
  </si>
  <si>
    <t>Spalte7384</t>
  </si>
  <si>
    <t>Spalte7385</t>
  </si>
  <si>
    <t>Spalte7386</t>
  </si>
  <si>
    <t>Spalte7387</t>
  </si>
  <si>
    <t>Spalte7388</t>
  </si>
  <si>
    <t>Spalte7389</t>
  </si>
  <si>
    <t>Spalte7390</t>
  </si>
  <si>
    <t>Spalte7391</t>
  </si>
  <si>
    <t>Spalte7392</t>
  </si>
  <si>
    <t>Spalte7393</t>
  </si>
  <si>
    <t>Spalte7394</t>
  </si>
  <si>
    <t>Spalte7395</t>
  </si>
  <si>
    <t>Spalte7396</t>
  </si>
  <si>
    <t>Spalte7397</t>
  </si>
  <si>
    <t>Spalte7398</t>
  </si>
  <si>
    <t>Spalte7399</t>
  </si>
  <si>
    <t>Spalte7400</t>
  </si>
  <si>
    <t>Spalte7401</t>
  </si>
  <si>
    <t>Spalte7402</t>
  </si>
  <si>
    <t>Spalte7403</t>
  </si>
  <si>
    <t>Spalte7404</t>
  </si>
  <si>
    <t>Spalte7405</t>
  </si>
  <si>
    <t>Spalte7406</t>
  </si>
  <si>
    <t>Spalte7407</t>
  </si>
  <si>
    <t>Spalte7408</t>
  </si>
  <si>
    <t>Spalte7409</t>
  </si>
  <si>
    <t>Spalte7410</t>
  </si>
  <si>
    <t>Spalte7411</t>
  </si>
  <si>
    <t>Spalte7412</t>
  </si>
  <si>
    <t>Spalte7413</t>
  </si>
  <si>
    <t>Spalte7414</t>
  </si>
  <si>
    <t>Spalte7415</t>
  </si>
  <si>
    <t>Spalte7416</t>
  </si>
  <si>
    <t>Spalte7417</t>
  </si>
  <si>
    <t>Spalte7418</t>
  </si>
  <si>
    <t>Spalte7419</t>
  </si>
  <si>
    <t>Spalte7420</t>
  </si>
  <si>
    <t>Spalte7421</t>
  </si>
  <si>
    <t>Spalte7422</t>
  </si>
  <si>
    <t>Spalte7423</t>
  </si>
  <si>
    <t>Spalte7424</t>
  </si>
  <si>
    <t>Spalte7425</t>
  </si>
  <si>
    <t>Spalte7426</t>
  </si>
  <si>
    <t>Spalte7427</t>
  </si>
  <si>
    <t>Spalte7428</t>
  </si>
  <si>
    <t>Spalte7429</t>
  </si>
  <si>
    <t>Spalte7430</t>
  </si>
  <si>
    <t>Spalte7431</t>
  </si>
  <si>
    <t>Spalte7432</t>
  </si>
  <si>
    <t>Spalte7433</t>
  </si>
  <si>
    <t>Spalte7434</t>
  </si>
  <si>
    <t>Spalte7435</t>
  </si>
  <si>
    <t>Spalte7436</t>
  </si>
  <si>
    <t>Spalte7437</t>
  </si>
  <si>
    <t>Spalte7438</t>
  </si>
  <si>
    <t>Spalte7439</t>
  </si>
  <si>
    <t>Spalte7440</t>
  </si>
  <si>
    <t>Spalte7441</t>
  </si>
  <si>
    <t>Spalte7442</t>
  </si>
  <si>
    <t>Spalte7443</t>
  </si>
  <si>
    <t>Spalte7444</t>
  </si>
  <si>
    <t>Spalte7445</t>
  </si>
  <si>
    <t>Spalte7446</t>
  </si>
  <si>
    <t>Spalte7447</t>
  </si>
  <si>
    <t>Spalte7448</t>
  </si>
  <si>
    <t>Spalte7449</t>
  </si>
  <si>
    <t>Spalte7450</t>
  </si>
  <si>
    <t>Spalte7451</t>
  </si>
  <si>
    <t>Spalte7452</t>
  </si>
  <si>
    <t>Spalte7453</t>
  </si>
  <si>
    <t>Spalte7454</t>
  </si>
  <si>
    <t>Spalte7455</t>
  </si>
  <si>
    <t>Spalte7456</t>
  </si>
  <si>
    <t>Spalte7457</t>
  </si>
  <si>
    <t>Spalte7458</t>
  </si>
  <si>
    <t>Spalte7459</t>
  </si>
  <si>
    <t>Spalte7460</t>
  </si>
  <si>
    <t>Spalte7461</t>
  </si>
  <si>
    <t>Spalte7462</t>
  </si>
  <si>
    <t>Spalte7463</t>
  </si>
  <si>
    <t>Spalte7464</t>
  </si>
  <si>
    <t>Spalte7465</t>
  </si>
  <si>
    <t>Spalte7466</t>
  </si>
  <si>
    <t>Spalte7467</t>
  </si>
  <si>
    <t>Spalte7468</t>
  </si>
  <si>
    <t>Spalte7469</t>
  </si>
  <si>
    <t>Spalte7470</t>
  </si>
  <si>
    <t>Spalte7471</t>
  </si>
  <si>
    <t>Spalte7472</t>
  </si>
  <si>
    <t>Spalte7473</t>
  </si>
  <si>
    <t>Spalte7474</t>
  </si>
  <si>
    <t>Spalte7475</t>
  </si>
  <si>
    <t>Spalte7476</t>
  </si>
  <si>
    <t>Spalte7477</t>
  </si>
  <si>
    <t>Spalte7478</t>
  </si>
  <si>
    <t>Spalte7479</t>
  </si>
  <si>
    <t>Spalte7480</t>
  </si>
  <si>
    <t>Spalte7481</t>
  </si>
  <si>
    <t>Spalte7482</t>
  </si>
  <si>
    <t>Spalte7483</t>
  </si>
  <si>
    <t>Spalte7484</t>
  </si>
  <si>
    <t>Spalte7485</t>
  </si>
  <si>
    <t>Spalte7486</t>
  </si>
  <si>
    <t>Spalte7487</t>
  </si>
  <si>
    <t>Spalte7488</t>
  </si>
  <si>
    <t>Spalte7489</t>
  </si>
  <si>
    <t>Spalte7490</t>
  </si>
  <si>
    <t>Spalte7491</t>
  </si>
  <si>
    <t>Spalte7492</t>
  </si>
  <si>
    <t>Spalte7493</t>
  </si>
  <si>
    <t>Spalte7494</t>
  </si>
  <si>
    <t>Spalte7495</t>
  </si>
  <si>
    <t>Spalte7496</t>
  </si>
  <si>
    <t>Spalte7497</t>
  </si>
  <si>
    <t>Spalte7498</t>
  </si>
  <si>
    <t>Spalte7499</t>
  </si>
  <si>
    <t>Spalte7500</t>
  </si>
  <si>
    <t>Spalte7501</t>
  </si>
  <si>
    <t>Spalte7502</t>
  </si>
  <si>
    <t>Spalte7503</t>
  </si>
  <si>
    <t>Spalte7504</t>
  </si>
  <si>
    <t>Spalte7505</t>
  </si>
  <si>
    <t>Spalte7506</t>
  </si>
  <si>
    <t>Spalte7507</t>
  </si>
  <si>
    <t>Spalte7508</t>
  </si>
  <si>
    <t>Spalte7509</t>
  </si>
  <si>
    <t>Spalte7510</t>
  </si>
  <si>
    <t>Spalte7511</t>
  </si>
  <si>
    <t>Spalte7512</t>
  </si>
  <si>
    <t>Spalte7513</t>
  </si>
  <si>
    <t>Spalte7514</t>
  </si>
  <si>
    <t>Spalte7515</t>
  </si>
  <si>
    <t>Spalte7516</t>
  </si>
  <si>
    <t>Spalte7517</t>
  </si>
  <si>
    <t>Spalte7518</t>
  </si>
  <si>
    <t>Spalte7519</t>
  </si>
  <si>
    <t>Spalte7520</t>
  </si>
  <si>
    <t>Spalte7521</t>
  </si>
  <si>
    <t>Spalte7522</t>
  </si>
  <si>
    <t>Spalte7523</t>
  </si>
  <si>
    <t>Spalte7524</t>
  </si>
  <si>
    <t>Spalte7525</t>
  </si>
  <si>
    <t>Spalte7526</t>
  </si>
  <si>
    <t>Spalte7527</t>
  </si>
  <si>
    <t>Spalte7528</t>
  </si>
  <si>
    <t>Spalte7529</t>
  </si>
  <si>
    <t>Spalte7530</t>
  </si>
  <si>
    <t>Spalte7531</t>
  </si>
  <si>
    <t>Spalte7532</t>
  </si>
  <si>
    <t>Spalte7533</t>
  </si>
  <si>
    <t>Spalte7534</t>
  </si>
  <si>
    <t>Spalte7535</t>
  </si>
  <si>
    <t>Spalte7536</t>
  </si>
  <si>
    <t>Spalte7537</t>
  </si>
  <si>
    <t>Spalte7538</t>
  </si>
  <si>
    <t>Spalte7539</t>
  </si>
  <si>
    <t>Spalte7540</t>
  </si>
  <si>
    <t>Spalte7541</t>
  </si>
  <si>
    <t>Spalte7542</t>
  </si>
  <si>
    <t>Spalte7543</t>
  </si>
  <si>
    <t>Spalte7544</t>
  </si>
  <si>
    <t>Spalte7545</t>
  </si>
  <si>
    <t>Spalte7546</t>
  </si>
  <si>
    <t>Spalte7547</t>
  </si>
  <si>
    <t>Spalte7548</t>
  </si>
  <si>
    <t>Spalte7549</t>
  </si>
  <si>
    <t>Spalte7550</t>
  </si>
  <si>
    <t>Spalte7551</t>
  </si>
  <si>
    <t>Spalte7552</t>
  </si>
  <si>
    <t>Spalte7553</t>
  </si>
  <si>
    <t>Spalte7554</t>
  </si>
  <si>
    <t>Spalte7555</t>
  </si>
  <si>
    <t>Spalte7556</t>
  </si>
  <si>
    <t>Spalte7557</t>
  </si>
  <si>
    <t>Spalte7558</t>
  </si>
  <si>
    <t>Spalte7559</t>
  </si>
  <si>
    <t>Spalte7560</t>
  </si>
  <si>
    <t>Spalte7561</t>
  </si>
  <si>
    <t>Spalte7562</t>
  </si>
  <si>
    <t>Spalte7563</t>
  </si>
  <si>
    <t>Spalte7564</t>
  </si>
  <si>
    <t>Spalte7565</t>
  </si>
  <si>
    <t>Spalte7566</t>
  </si>
  <si>
    <t>Spalte7567</t>
  </si>
  <si>
    <t>Spalte7568</t>
  </si>
  <si>
    <t>Spalte7569</t>
  </si>
  <si>
    <t>Spalte7570</t>
  </si>
  <si>
    <t>Spalte7571</t>
  </si>
  <si>
    <t>Spalte7572</t>
  </si>
  <si>
    <t>Spalte7573</t>
  </si>
  <si>
    <t>Spalte7574</t>
  </si>
  <si>
    <t>Spalte7575</t>
  </si>
  <si>
    <t>Spalte7576</t>
  </si>
  <si>
    <t>Spalte7577</t>
  </si>
  <si>
    <t>Spalte7578</t>
  </si>
  <si>
    <t>Spalte7579</t>
  </si>
  <si>
    <t>Spalte7580</t>
  </si>
  <si>
    <t>Spalte7581</t>
  </si>
  <si>
    <t>Spalte7582</t>
  </si>
  <si>
    <t>Spalte7583</t>
  </si>
  <si>
    <t>Spalte7584</t>
  </si>
  <si>
    <t>Spalte7585</t>
  </si>
  <si>
    <t>Spalte7586</t>
  </si>
  <si>
    <t>Spalte7587</t>
  </si>
  <si>
    <t>Spalte7588</t>
  </si>
  <si>
    <t>Spalte7589</t>
  </si>
  <si>
    <t>Spalte7590</t>
  </si>
  <si>
    <t>Spalte7591</t>
  </si>
  <si>
    <t>Spalte7592</t>
  </si>
  <si>
    <t>Spalte7593</t>
  </si>
  <si>
    <t>Spalte7594</t>
  </si>
  <si>
    <t>Spalte7595</t>
  </si>
  <si>
    <t>Spalte7596</t>
  </si>
  <si>
    <t>Spalte7597</t>
  </si>
  <si>
    <t>Spalte7598</t>
  </si>
  <si>
    <t>Spalte7599</t>
  </si>
  <si>
    <t>Spalte7600</t>
  </si>
  <si>
    <t>Spalte7601</t>
  </si>
  <si>
    <t>Spalte7602</t>
  </si>
  <si>
    <t>Spalte7603</t>
  </si>
  <si>
    <t>Spalte7604</t>
  </si>
  <si>
    <t>Spalte7605</t>
  </si>
  <si>
    <t>Spalte7606</t>
  </si>
  <si>
    <t>Spalte7607</t>
  </si>
  <si>
    <t>Spalte7608</t>
  </si>
  <si>
    <t>Spalte7609</t>
  </si>
  <si>
    <t>Spalte7610</t>
  </si>
  <si>
    <t>Spalte7611</t>
  </si>
  <si>
    <t>Spalte7612</t>
  </si>
  <si>
    <t>Spalte7613</t>
  </si>
  <si>
    <t>Spalte7614</t>
  </si>
  <si>
    <t>Spalte7615</t>
  </si>
  <si>
    <t>Spalte7616</t>
  </si>
  <si>
    <t>Spalte7617</t>
  </si>
  <si>
    <t>Spalte7618</t>
  </si>
  <si>
    <t>Spalte7619</t>
  </si>
  <si>
    <t>Spalte7620</t>
  </si>
  <si>
    <t>Spalte7621</t>
  </si>
  <si>
    <t>Spalte7622</t>
  </si>
  <si>
    <t>Spalte7623</t>
  </si>
  <si>
    <t>Spalte7624</t>
  </si>
  <si>
    <t>Spalte7625</t>
  </si>
  <si>
    <t>Spalte7626</t>
  </si>
  <si>
    <t>Spalte7627</t>
  </si>
  <si>
    <t>Spalte7628</t>
  </si>
  <si>
    <t>Spalte7629</t>
  </si>
  <si>
    <t>Spalte7630</t>
  </si>
  <si>
    <t>Spalte7631</t>
  </si>
  <si>
    <t>Spalte7632</t>
  </si>
  <si>
    <t>Spalte7633</t>
  </si>
  <si>
    <t>Spalte7634</t>
  </si>
  <si>
    <t>Spalte7635</t>
  </si>
  <si>
    <t>Spalte7636</t>
  </si>
  <si>
    <t>Spalte7637</t>
  </si>
  <si>
    <t>Spalte7638</t>
  </si>
  <si>
    <t>Spalte7639</t>
  </si>
  <si>
    <t>Spalte7640</t>
  </si>
  <si>
    <t>Spalte7641</t>
  </si>
  <si>
    <t>Spalte7642</t>
  </si>
  <si>
    <t>Spalte7643</t>
  </si>
  <si>
    <t>Spalte7644</t>
  </si>
  <si>
    <t>Spalte7645</t>
  </si>
  <si>
    <t>Spalte7646</t>
  </si>
  <si>
    <t>Spalte7647</t>
  </si>
  <si>
    <t>Spalte7648</t>
  </si>
  <si>
    <t>Spalte7649</t>
  </si>
  <si>
    <t>Spalte7650</t>
  </si>
  <si>
    <t>Spalte7651</t>
  </si>
  <si>
    <t>Spalte7652</t>
  </si>
  <si>
    <t>Spalte7653</t>
  </si>
  <si>
    <t>Spalte7654</t>
  </si>
  <si>
    <t>Spalte7655</t>
  </si>
  <si>
    <t>Spalte7656</t>
  </si>
  <si>
    <t>Spalte7657</t>
  </si>
  <si>
    <t>Spalte7658</t>
  </si>
  <si>
    <t>Spalte7659</t>
  </si>
  <si>
    <t>Spalte7660</t>
  </si>
  <si>
    <t>Spalte7661</t>
  </si>
  <si>
    <t>Spalte7662</t>
  </si>
  <si>
    <t>Spalte7663</t>
  </si>
  <si>
    <t>Spalte7664</t>
  </si>
  <si>
    <t>Spalte7665</t>
  </si>
  <si>
    <t>Spalte7666</t>
  </si>
  <si>
    <t>Spalte7667</t>
  </si>
  <si>
    <t>Spalte7668</t>
  </si>
  <si>
    <t>Spalte7669</t>
  </si>
  <si>
    <t>Spalte7670</t>
  </si>
  <si>
    <t>Spalte7671</t>
  </si>
  <si>
    <t>Spalte7672</t>
  </si>
  <si>
    <t>Spalte7673</t>
  </si>
  <si>
    <t>Spalte7674</t>
  </si>
  <si>
    <t>Spalte7675</t>
  </si>
  <si>
    <t>Spalte7676</t>
  </si>
  <si>
    <t>Spalte7677</t>
  </si>
  <si>
    <t>Spalte7678</t>
  </si>
  <si>
    <t>Spalte7679</t>
  </si>
  <si>
    <t>Spalte7680</t>
  </si>
  <si>
    <t>Spalte7681</t>
  </si>
  <si>
    <t>Spalte7682</t>
  </si>
  <si>
    <t>Spalte7683</t>
  </si>
  <si>
    <t>Spalte7684</t>
  </si>
  <si>
    <t>Spalte7685</t>
  </si>
  <si>
    <t>Spalte7686</t>
  </si>
  <si>
    <t>Spalte7687</t>
  </si>
  <si>
    <t>Spalte7688</t>
  </si>
  <si>
    <t>Spalte7689</t>
  </si>
  <si>
    <t>Spalte7690</t>
  </si>
  <si>
    <t>Spalte7691</t>
  </si>
  <si>
    <t>Spalte7692</t>
  </si>
  <si>
    <t>Spalte7693</t>
  </si>
  <si>
    <t>Spalte7694</t>
  </si>
  <si>
    <t>Spalte7695</t>
  </si>
  <si>
    <t>Spalte7696</t>
  </si>
  <si>
    <t>Spalte7697</t>
  </si>
  <si>
    <t>Spalte7698</t>
  </si>
  <si>
    <t>Spalte7699</t>
  </si>
  <si>
    <t>Spalte7700</t>
  </si>
  <si>
    <t>Spalte7701</t>
  </si>
  <si>
    <t>Spalte7702</t>
  </si>
  <si>
    <t>Spalte7703</t>
  </si>
  <si>
    <t>Spalte7704</t>
  </si>
  <si>
    <t>Spalte7705</t>
  </si>
  <si>
    <t>Spalte7706</t>
  </si>
  <si>
    <t>Spalte7707</t>
  </si>
  <si>
    <t>Spalte7708</t>
  </si>
  <si>
    <t>Spalte7709</t>
  </si>
  <si>
    <t>Spalte7710</t>
  </si>
  <si>
    <t>Spalte7711</t>
  </si>
  <si>
    <t>Spalte7712</t>
  </si>
  <si>
    <t>Spalte7713</t>
  </si>
  <si>
    <t>Spalte7714</t>
  </si>
  <si>
    <t>Spalte7715</t>
  </si>
  <si>
    <t>Spalte7716</t>
  </si>
  <si>
    <t>Spalte7717</t>
  </si>
  <si>
    <t>Spalte7718</t>
  </si>
  <si>
    <t>Spalte7719</t>
  </si>
  <si>
    <t>Spalte7720</t>
  </si>
  <si>
    <t>Spalte7721</t>
  </si>
  <si>
    <t>Spalte7722</t>
  </si>
  <si>
    <t>Spalte7723</t>
  </si>
  <si>
    <t>Spalte7724</t>
  </si>
  <si>
    <t>Spalte7725</t>
  </si>
  <si>
    <t>Spalte7726</t>
  </si>
  <si>
    <t>Spalte7727</t>
  </si>
  <si>
    <t>Spalte7728</t>
  </si>
  <si>
    <t>Spalte7729</t>
  </si>
  <si>
    <t>Spalte7730</t>
  </si>
  <si>
    <t>Spalte7731</t>
  </si>
  <si>
    <t>Spalte7732</t>
  </si>
  <si>
    <t>Spalte7733</t>
  </si>
  <si>
    <t>Spalte7734</t>
  </si>
  <si>
    <t>Spalte7735</t>
  </si>
  <si>
    <t>Spalte7736</t>
  </si>
  <si>
    <t>Spalte7737</t>
  </si>
  <si>
    <t>Spalte7738</t>
  </si>
  <si>
    <t>Spalte7739</t>
  </si>
  <si>
    <t>Spalte7740</t>
  </si>
  <si>
    <t>Spalte7741</t>
  </si>
  <si>
    <t>Spalte7742</t>
  </si>
  <si>
    <t>Spalte7743</t>
  </si>
  <si>
    <t>Spalte7744</t>
  </si>
  <si>
    <t>Spalte7745</t>
  </si>
  <si>
    <t>Spalte7746</t>
  </si>
  <si>
    <t>Spalte7747</t>
  </si>
  <si>
    <t>Spalte7748</t>
  </si>
  <si>
    <t>Spalte7749</t>
  </si>
  <si>
    <t>Spalte7750</t>
  </si>
  <si>
    <t>Spalte7751</t>
  </si>
  <si>
    <t>Spalte7752</t>
  </si>
  <si>
    <t>Spalte7753</t>
  </si>
  <si>
    <t>Spalte7754</t>
  </si>
  <si>
    <t>Spalte7755</t>
  </si>
  <si>
    <t>Spalte7756</t>
  </si>
  <si>
    <t>Spalte7757</t>
  </si>
  <si>
    <t>Spalte7758</t>
  </si>
  <si>
    <t>Spalte7759</t>
  </si>
  <si>
    <t>Spalte7760</t>
  </si>
  <si>
    <t>Spalte7761</t>
  </si>
  <si>
    <t>Spalte7762</t>
  </si>
  <si>
    <t>Spalte7763</t>
  </si>
  <si>
    <t>Spalte7764</t>
  </si>
  <si>
    <t>Spalte7765</t>
  </si>
  <si>
    <t>Spalte7766</t>
  </si>
  <si>
    <t>Spalte7767</t>
  </si>
  <si>
    <t>Spalte7768</t>
  </si>
  <si>
    <t>Spalte7769</t>
  </si>
  <si>
    <t>Spalte7770</t>
  </si>
  <si>
    <t>Spalte7771</t>
  </si>
  <si>
    <t>Spalte7772</t>
  </si>
  <si>
    <t>Spalte7773</t>
  </si>
  <si>
    <t>Spalte7774</t>
  </si>
  <si>
    <t>Spalte7775</t>
  </si>
  <si>
    <t>Spalte7776</t>
  </si>
  <si>
    <t>Spalte7777</t>
  </si>
  <si>
    <t>Spalte7778</t>
  </si>
  <si>
    <t>Spalte7779</t>
  </si>
  <si>
    <t>Spalte7780</t>
  </si>
  <si>
    <t>Spalte7781</t>
  </si>
  <si>
    <t>Spalte7782</t>
  </si>
  <si>
    <t>Spalte7783</t>
  </si>
  <si>
    <t>Spalte7784</t>
  </si>
  <si>
    <t>Spalte7785</t>
  </si>
  <si>
    <t>Spalte7786</t>
  </si>
  <si>
    <t>Spalte7787</t>
  </si>
  <si>
    <t>Spalte7788</t>
  </si>
  <si>
    <t>Spalte7789</t>
  </si>
  <si>
    <t>Spalte7790</t>
  </si>
  <si>
    <t>Spalte7791</t>
  </si>
  <si>
    <t>Spalte7792</t>
  </si>
  <si>
    <t>Spalte7793</t>
  </si>
  <si>
    <t>Spalte7794</t>
  </si>
  <si>
    <t>Spalte7795</t>
  </si>
  <si>
    <t>Spalte7796</t>
  </si>
  <si>
    <t>Spalte7797</t>
  </si>
  <si>
    <t>Spalte7798</t>
  </si>
  <si>
    <t>Spalte7799</t>
  </si>
  <si>
    <t>Spalte7800</t>
  </si>
  <si>
    <t>Spalte7801</t>
  </si>
  <si>
    <t>Spalte7802</t>
  </si>
  <si>
    <t>Spalte7803</t>
  </si>
  <si>
    <t>Spalte7804</t>
  </si>
  <si>
    <t>Spalte7805</t>
  </si>
  <si>
    <t>Spalte7806</t>
  </si>
  <si>
    <t>Spalte7807</t>
  </si>
  <si>
    <t>Spalte7808</t>
  </si>
  <si>
    <t>Spalte7809</t>
  </si>
  <si>
    <t>Spalte7810</t>
  </si>
  <si>
    <t>Spalte7811</t>
  </si>
  <si>
    <t>Spalte7812</t>
  </si>
  <si>
    <t>Spalte7813</t>
  </si>
  <si>
    <t>Spalte7814</t>
  </si>
  <si>
    <t>Spalte7815</t>
  </si>
  <si>
    <t>Spalte7816</t>
  </si>
  <si>
    <t>Spalte7817</t>
  </si>
  <si>
    <t>Spalte7818</t>
  </si>
  <si>
    <t>Spalte7819</t>
  </si>
  <si>
    <t>Spalte7820</t>
  </si>
  <si>
    <t>Spalte7821</t>
  </si>
  <si>
    <t>Spalte7822</t>
  </si>
  <si>
    <t>Spalte7823</t>
  </si>
  <si>
    <t>Spalte7824</t>
  </si>
  <si>
    <t>Spalte7825</t>
  </si>
  <si>
    <t>Spalte7826</t>
  </si>
  <si>
    <t>Spalte7827</t>
  </si>
  <si>
    <t>Spalte7828</t>
  </si>
  <si>
    <t>Spalte7829</t>
  </si>
  <si>
    <t>Spalte7830</t>
  </si>
  <si>
    <t>Spalte7831</t>
  </si>
  <si>
    <t>Spalte7832</t>
  </si>
  <si>
    <t>Spalte7833</t>
  </si>
  <si>
    <t>Spalte7834</t>
  </si>
  <si>
    <t>Spalte7835</t>
  </si>
  <si>
    <t>Spalte7836</t>
  </si>
  <si>
    <t>Spalte7837</t>
  </si>
  <si>
    <t>Spalte7838</t>
  </si>
  <si>
    <t>Spalte7839</t>
  </si>
  <si>
    <t>Spalte7840</t>
  </si>
  <si>
    <t>Spalte7841</t>
  </si>
  <si>
    <t>Spalte7842</t>
  </si>
  <si>
    <t>Spalte7843</t>
  </si>
  <si>
    <t>Spalte7844</t>
  </si>
  <si>
    <t>Spalte7845</t>
  </si>
  <si>
    <t>Spalte7846</t>
  </si>
  <si>
    <t>Spalte7847</t>
  </si>
  <si>
    <t>Spalte7848</t>
  </si>
  <si>
    <t>Spalte7849</t>
  </si>
  <si>
    <t>Spalte7850</t>
  </si>
  <si>
    <t>Spalte7851</t>
  </si>
  <si>
    <t>Spalte7852</t>
  </si>
  <si>
    <t>Spalte7853</t>
  </si>
  <si>
    <t>Spalte7854</t>
  </si>
  <si>
    <t>Spalte7855</t>
  </si>
  <si>
    <t>Spalte7856</t>
  </si>
  <si>
    <t>Spalte7857</t>
  </si>
  <si>
    <t>Spalte7858</t>
  </si>
  <si>
    <t>Spalte7859</t>
  </si>
  <si>
    <t>Spalte7860</t>
  </si>
  <si>
    <t>Spalte7861</t>
  </si>
  <si>
    <t>Spalte7862</t>
  </si>
  <si>
    <t>Spalte7863</t>
  </si>
  <si>
    <t>Spalte7864</t>
  </si>
  <si>
    <t>Spalte7865</t>
  </si>
  <si>
    <t>Spalte7866</t>
  </si>
  <si>
    <t>Spalte7867</t>
  </si>
  <si>
    <t>Spalte7868</t>
  </si>
  <si>
    <t>Spalte7869</t>
  </si>
  <si>
    <t>Spalte7870</t>
  </si>
  <si>
    <t>Spalte7871</t>
  </si>
  <si>
    <t>Spalte7872</t>
  </si>
  <si>
    <t>Spalte7873</t>
  </si>
  <si>
    <t>Spalte7874</t>
  </si>
  <si>
    <t>Spalte7875</t>
  </si>
  <si>
    <t>Spalte7876</t>
  </si>
  <si>
    <t>Spalte7877</t>
  </si>
  <si>
    <t>Spalte7878</t>
  </si>
  <si>
    <t>Spalte7879</t>
  </si>
  <si>
    <t>Spalte7880</t>
  </si>
  <si>
    <t>Spalte7881</t>
  </si>
  <si>
    <t>Spalte7882</t>
  </si>
  <si>
    <t>Spalte7883</t>
  </si>
  <si>
    <t>Spalte7884</t>
  </si>
  <si>
    <t>Spalte7885</t>
  </si>
  <si>
    <t>Spalte7886</t>
  </si>
  <si>
    <t>Spalte7887</t>
  </si>
  <si>
    <t>Spalte7888</t>
  </si>
  <si>
    <t>Spalte7889</t>
  </si>
  <si>
    <t>Spalte7890</t>
  </si>
  <si>
    <t>Spalte7891</t>
  </si>
  <si>
    <t>Spalte7892</t>
  </si>
  <si>
    <t>Spalte7893</t>
  </si>
  <si>
    <t>Spalte7894</t>
  </si>
  <si>
    <t>Spalte7895</t>
  </si>
  <si>
    <t>Spalte7896</t>
  </si>
  <si>
    <t>Spalte7897</t>
  </si>
  <si>
    <t>Spalte7898</t>
  </si>
  <si>
    <t>Spalte7899</t>
  </si>
  <si>
    <t>Spalte7900</t>
  </si>
  <si>
    <t>Spalte7901</t>
  </si>
  <si>
    <t>Spalte7902</t>
  </si>
  <si>
    <t>Spalte7903</t>
  </si>
  <si>
    <t>Spalte7904</t>
  </si>
  <si>
    <t>Spalte7905</t>
  </si>
  <si>
    <t>Spalte7906</t>
  </si>
  <si>
    <t>Spalte7907</t>
  </si>
  <si>
    <t>Spalte7908</t>
  </si>
  <si>
    <t>Spalte7909</t>
  </si>
  <si>
    <t>Spalte7910</t>
  </si>
  <si>
    <t>Spalte7911</t>
  </si>
  <si>
    <t>Spalte7912</t>
  </si>
  <si>
    <t>Spalte7913</t>
  </si>
  <si>
    <t>Spalte7914</t>
  </si>
  <si>
    <t>Spalte7915</t>
  </si>
  <si>
    <t>Spalte7916</t>
  </si>
  <si>
    <t>Spalte7917</t>
  </si>
  <si>
    <t>Spalte7918</t>
  </si>
  <si>
    <t>Spalte7919</t>
  </si>
  <si>
    <t>Spalte7920</t>
  </si>
  <si>
    <t>Spalte7921</t>
  </si>
  <si>
    <t>Spalte7922</t>
  </si>
  <si>
    <t>Spalte7923</t>
  </si>
  <si>
    <t>Spalte7924</t>
  </si>
  <si>
    <t>Spalte7925</t>
  </si>
  <si>
    <t>Spalte7926</t>
  </si>
  <si>
    <t>Spalte7927</t>
  </si>
  <si>
    <t>Spalte7928</t>
  </si>
  <si>
    <t>Spalte7929</t>
  </si>
  <si>
    <t>Spalte7930</t>
  </si>
  <si>
    <t>Spalte7931</t>
  </si>
  <si>
    <t>Spalte7932</t>
  </si>
  <si>
    <t>Spalte7933</t>
  </si>
  <si>
    <t>Spalte7934</t>
  </si>
  <si>
    <t>Spalte7935</t>
  </si>
  <si>
    <t>Spalte7936</t>
  </si>
  <si>
    <t>Spalte7937</t>
  </si>
  <si>
    <t>Spalte7938</t>
  </si>
  <si>
    <t>Spalte7939</t>
  </si>
  <si>
    <t>Spalte7940</t>
  </si>
  <si>
    <t>Spalte7941</t>
  </si>
  <si>
    <t>Spalte7942</t>
  </si>
  <si>
    <t>Spalte7943</t>
  </si>
  <si>
    <t>Spalte7944</t>
  </si>
  <si>
    <t>Spalte7945</t>
  </si>
  <si>
    <t>Spalte7946</t>
  </si>
  <si>
    <t>Spalte7947</t>
  </si>
  <si>
    <t>Spalte7948</t>
  </si>
  <si>
    <t>Spalte7949</t>
  </si>
  <si>
    <t>Spalte7950</t>
  </si>
  <si>
    <t>Spalte7951</t>
  </si>
  <si>
    <t>Spalte7952</t>
  </si>
  <si>
    <t>Spalte7953</t>
  </si>
  <si>
    <t>Spalte7954</t>
  </si>
  <si>
    <t>Spalte7955</t>
  </si>
  <si>
    <t>Spalte7956</t>
  </si>
  <si>
    <t>Spalte7957</t>
  </si>
  <si>
    <t>Spalte7958</t>
  </si>
  <si>
    <t>Spalte7959</t>
  </si>
  <si>
    <t>Spalte7960</t>
  </si>
  <si>
    <t>Spalte7961</t>
  </si>
  <si>
    <t>Spalte7962</t>
  </si>
  <si>
    <t>Spalte7963</t>
  </si>
  <si>
    <t>Spalte7964</t>
  </si>
  <si>
    <t>Spalte7965</t>
  </si>
  <si>
    <t>Spalte7966</t>
  </si>
  <si>
    <t>Spalte7967</t>
  </si>
  <si>
    <t>Spalte7968</t>
  </si>
  <si>
    <t>Spalte7969</t>
  </si>
  <si>
    <t>Spalte7970</t>
  </si>
  <si>
    <t>Spalte7971</t>
  </si>
  <si>
    <t>Spalte7972</t>
  </si>
  <si>
    <t>Spalte7973</t>
  </si>
  <si>
    <t>Spalte7974</t>
  </si>
  <si>
    <t>Spalte7975</t>
  </si>
  <si>
    <t>Spalte7976</t>
  </si>
  <si>
    <t>Spalte7977</t>
  </si>
  <si>
    <t>Spalte7978</t>
  </si>
  <si>
    <t>Spalte7979</t>
  </si>
  <si>
    <t>Spalte7980</t>
  </si>
  <si>
    <t>Spalte7981</t>
  </si>
  <si>
    <t>Spalte7982</t>
  </si>
  <si>
    <t>Spalte7983</t>
  </si>
  <si>
    <t>Spalte7984</t>
  </si>
  <si>
    <t>Spalte7985</t>
  </si>
  <si>
    <t>Spalte7986</t>
  </si>
  <si>
    <t>Spalte7987</t>
  </si>
  <si>
    <t>Spalte7988</t>
  </si>
  <si>
    <t>Spalte7989</t>
  </si>
  <si>
    <t>Spalte7990</t>
  </si>
  <si>
    <t>Spalte7991</t>
  </si>
  <si>
    <t>Spalte7992</t>
  </si>
  <si>
    <t>Spalte7993</t>
  </si>
  <si>
    <t>Spalte7994</t>
  </si>
  <si>
    <t>Spalte7995</t>
  </si>
  <si>
    <t>Spalte7996</t>
  </si>
  <si>
    <t>Spalte7997</t>
  </si>
  <si>
    <t>Spalte7998</t>
  </si>
  <si>
    <t>Spalte7999</t>
  </si>
  <si>
    <t>Spalte8000</t>
  </si>
  <si>
    <t>Spalte8001</t>
  </si>
  <si>
    <t>Spalte8002</t>
  </si>
  <si>
    <t>Spalte8003</t>
  </si>
  <si>
    <t>Spalte8004</t>
  </si>
  <si>
    <t>Spalte8005</t>
  </si>
  <si>
    <t>Spalte8006</t>
  </si>
  <si>
    <t>Spalte8007</t>
  </si>
  <si>
    <t>Spalte8008</t>
  </si>
  <si>
    <t>Spalte8009</t>
  </si>
  <si>
    <t>Spalte8010</t>
  </si>
  <si>
    <t>Spalte8011</t>
  </si>
  <si>
    <t>Spalte8012</t>
  </si>
  <si>
    <t>Spalte8013</t>
  </si>
  <si>
    <t>Spalte8014</t>
  </si>
  <si>
    <t>Spalte8015</t>
  </si>
  <si>
    <t>Spalte8016</t>
  </si>
  <si>
    <t>Spalte8017</t>
  </si>
  <si>
    <t>Spalte8018</t>
  </si>
  <si>
    <t>Spalte8019</t>
  </si>
  <si>
    <t>Spalte8020</t>
  </si>
  <si>
    <t>Spalte8021</t>
  </si>
  <si>
    <t>Spalte8022</t>
  </si>
  <si>
    <t>Spalte8023</t>
  </si>
  <si>
    <t>Spalte8024</t>
  </si>
  <si>
    <t>Spalte8025</t>
  </si>
  <si>
    <t>Spalte8026</t>
  </si>
  <si>
    <t>Spalte8027</t>
  </si>
  <si>
    <t>Spalte8028</t>
  </si>
  <si>
    <t>Spalte8029</t>
  </si>
  <si>
    <t>Spalte8030</t>
  </si>
  <si>
    <t>Spalte8031</t>
  </si>
  <si>
    <t>Spalte8032</t>
  </si>
  <si>
    <t>Spalte8033</t>
  </si>
  <si>
    <t>Spalte8034</t>
  </si>
  <si>
    <t>Spalte8035</t>
  </si>
  <si>
    <t>Spalte8036</t>
  </si>
  <si>
    <t>Spalte8037</t>
  </si>
  <si>
    <t>Spalte8038</t>
  </si>
  <si>
    <t>Spalte8039</t>
  </si>
  <si>
    <t>Spalte8040</t>
  </si>
  <si>
    <t>Spalte8041</t>
  </si>
  <si>
    <t>Spalte8042</t>
  </si>
  <si>
    <t>Spalte8043</t>
  </si>
  <si>
    <t>Spalte8044</t>
  </si>
  <si>
    <t>Spalte8045</t>
  </si>
  <si>
    <t>Spalte8046</t>
  </si>
  <si>
    <t>Spalte8047</t>
  </si>
  <si>
    <t>Spalte8048</t>
  </si>
  <si>
    <t>Spalte8049</t>
  </si>
  <si>
    <t>Spalte8050</t>
  </si>
  <si>
    <t>Spalte8051</t>
  </si>
  <si>
    <t>Spalte8052</t>
  </si>
  <si>
    <t>Spalte8053</t>
  </si>
  <si>
    <t>Spalte8054</t>
  </si>
  <si>
    <t>Spalte8055</t>
  </si>
  <si>
    <t>Spalte8056</t>
  </si>
  <si>
    <t>Spalte8057</t>
  </si>
  <si>
    <t>Spalte8058</t>
  </si>
  <si>
    <t>Spalte8059</t>
  </si>
  <si>
    <t>Spalte8060</t>
  </si>
  <si>
    <t>Spalte8061</t>
  </si>
  <si>
    <t>Spalte8062</t>
  </si>
  <si>
    <t>Spalte8063</t>
  </si>
  <si>
    <t>Spalte8064</t>
  </si>
  <si>
    <t>Spalte8065</t>
  </si>
  <si>
    <t>Spalte8066</t>
  </si>
  <si>
    <t>Spalte8067</t>
  </si>
  <si>
    <t>Spalte8068</t>
  </si>
  <si>
    <t>Spalte8069</t>
  </si>
  <si>
    <t>Spalte8070</t>
  </si>
  <si>
    <t>Spalte8071</t>
  </si>
  <si>
    <t>Spalte8072</t>
  </si>
  <si>
    <t>Spalte8073</t>
  </si>
  <si>
    <t>Spalte8074</t>
  </si>
  <si>
    <t>Spalte8075</t>
  </si>
  <si>
    <t>Spalte8076</t>
  </si>
  <si>
    <t>Spalte8077</t>
  </si>
  <si>
    <t>Spalte8078</t>
  </si>
  <si>
    <t>Spalte8079</t>
  </si>
  <si>
    <t>Spalte8080</t>
  </si>
  <si>
    <t>Spalte8081</t>
  </si>
  <si>
    <t>Spalte8082</t>
  </si>
  <si>
    <t>Spalte8083</t>
  </si>
  <si>
    <t>Spalte8084</t>
  </si>
  <si>
    <t>Spalte8085</t>
  </si>
  <si>
    <t>Spalte8086</t>
  </si>
  <si>
    <t>Spalte8087</t>
  </si>
  <si>
    <t>Spalte8088</t>
  </si>
  <si>
    <t>Spalte8089</t>
  </si>
  <si>
    <t>Spalte8090</t>
  </si>
  <si>
    <t>Spalte8091</t>
  </si>
  <si>
    <t>Spalte8092</t>
  </si>
  <si>
    <t>Spalte8093</t>
  </si>
  <si>
    <t>Spalte8094</t>
  </si>
  <si>
    <t>Spalte8095</t>
  </si>
  <si>
    <t>Spalte8096</t>
  </si>
  <si>
    <t>Spalte8097</t>
  </si>
  <si>
    <t>Spalte8098</t>
  </si>
  <si>
    <t>Spalte8099</t>
  </si>
  <si>
    <t>Spalte8100</t>
  </si>
  <si>
    <t>Spalte8101</t>
  </si>
  <si>
    <t>Spalte8102</t>
  </si>
  <si>
    <t>Spalte8103</t>
  </si>
  <si>
    <t>Spalte8104</t>
  </si>
  <si>
    <t>Spalte8105</t>
  </si>
  <si>
    <t>Spalte8106</t>
  </si>
  <si>
    <t>Spalte8107</t>
  </si>
  <si>
    <t>Spalte8108</t>
  </si>
  <si>
    <t>Spalte8109</t>
  </si>
  <si>
    <t>Spalte8110</t>
  </si>
  <si>
    <t>Spalte8111</t>
  </si>
  <si>
    <t>Spalte8112</t>
  </si>
  <si>
    <t>Spalte8113</t>
  </si>
  <si>
    <t>Spalte8114</t>
  </si>
  <si>
    <t>Spalte8115</t>
  </si>
  <si>
    <t>Spalte8116</t>
  </si>
  <si>
    <t>Spalte8117</t>
  </si>
  <si>
    <t>Spalte8118</t>
  </si>
  <si>
    <t>Spalte8119</t>
  </si>
  <si>
    <t>Spalte8120</t>
  </si>
  <si>
    <t>Spalte8121</t>
  </si>
  <si>
    <t>Spalte8122</t>
  </si>
  <si>
    <t>Spalte8123</t>
  </si>
  <si>
    <t>Spalte8124</t>
  </si>
  <si>
    <t>Spalte8125</t>
  </si>
  <si>
    <t>Spalte8126</t>
  </si>
  <si>
    <t>Spalte8127</t>
  </si>
  <si>
    <t>Spalte8128</t>
  </si>
  <si>
    <t>Spalte8129</t>
  </si>
  <si>
    <t>Spalte8130</t>
  </si>
  <si>
    <t>Spalte8131</t>
  </si>
  <si>
    <t>Spalte8132</t>
  </si>
  <si>
    <t>Spalte8133</t>
  </si>
  <si>
    <t>Spalte8134</t>
  </si>
  <si>
    <t>Spalte8135</t>
  </si>
  <si>
    <t>Spalte8136</t>
  </si>
  <si>
    <t>Spalte8137</t>
  </si>
  <si>
    <t>Spalte8138</t>
  </si>
  <si>
    <t>Spalte8139</t>
  </si>
  <si>
    <t>Spalte8140</t>
  </si>
  <si>
    <t>Spalte8141</t>
  </si>
  <si>
    <t>Spalte8142</t>
  </si>
  <si>
    <t>Spalte8143</t>
  </si>
  <si>
    <t>Spalte8144</t>
  </si>
  <si>
    <t>Spalte8145</t>
  </si>
  <si>
    <t>Spalte8146</t>
  </si>
  <si>
    <t>Spalte8147</t>
  </si>
  <si>
    <t>Spalte8148</t>
  </si>
  <si>
    <t>Spalte8149</t>
  </si>
  <si>
    <t>Spalte8150</t>
  </si>
  <si>
    <t>Spalte8151</t>
  </si>
  <si>
    <t>Spalte8152</t>
  </si>
  <si>
    <t>Spalte8153</t>
  </si>
  <si>
    <t>Spalte8154</t>
  </si>
  <si>
    <t>Spalte8155</t>
  </si>
  <si>
    <t>Spalte8156</t>
  </si>
  <si>
    <t>Spalte8157</t>
  </si>
  <si>
    <t>Spalte8158</t>
  </si>
  <si>
    <t>Spalte8159</t>
  </si>
  <si>
    <t>Spalte8160</t>
  </si>
  <si>
    <t>Spalte8161</t>
  </si>
  <si>
    <t>Spalte8162</t>
  </si>
  <si>
    <t>Spalte8163</t>
  </si>
  <si>
    <t>Spalte8164</t>
  </si>
  <si>
    <t>Spalte8165</t>
  </si>
  <si>
    <t>Spalte8166</t>
  </si>
  <si>
    <t>Spalte8167</t>
  </si>
  <si>
    <t>Spalte8168</t>
  </si>
  <si>
    <t>Spalte8169</t>
  </si>
  <si>
    <t>Spalte8170</t>
  </si>
  <si>
    <t>Spalte8171</t>
  </si>
  <si>
    <t>Spalte8172</t>
  </si>
  <si>
    <t>Spalte8173</t>
  </si>
  <si>
    <t>Spalte8174</t>
  </si>
  <si>
    <t>Spalte8175</t>
  </si>
  <si>
    <t>Spalte8176</t>
  </si>
  <si>
    <t>Spalte8177</t>
  </si>
  <si>
    <t>Spalte8178</t>
  </si>
  <si>
    <t>Spalte8179</t>
  </si>
  <si>
    <t>Spalte8180</t>
  </si>
  <si>
    <t>Spalte8181</t>
  </si>
  <si>
    <t>Spalte8182</t>
  </si>
  <si>
    <t>Spalte8183</t>
  </si>
  <si>
    <t>Spalte8184</t>
  </si>
  <si>
    <t>Spalte8185</t>
  </si>
  <si>
    <t>Spalte8186</t>
  </si>
  <si>
    <t>Spalte8187</t>
  </si>
  <si>
    <t>Spalte8188</t>
  </si>
  <si>
    <t>Spalte8189</t>
  </si>
  <si>
    <t>Spalte8190</t>
  </si>
  <si>
    <t>Spalte8191</t>
  </si>
  <si>
    <t>Spalte8192</t>
  </si>
  <si>
    <t>Spalte8193</t>
  </si>
  <si>
    <t>Spalte8194</t>
  </si>
  <si>
    <t>Spalte8195</t>
  </si>
  <si>
    <t>Spalte8196</t>
  </si>
  <si>
    <t>Spalte8197</t>
  </si>
  <si>
    <t>Spalte8198</t>
  </si>
  <si>
    <t>Spalte8199</t>
  </si>
  <si>
    <t>Spalte8200</t>
  </si>
  <si>
    <t>Spalte8201</t>
  </si>
  <si>
    <t>Spalte8202</t>
  </si>
  <si>
    <t>Spalte8203</t>
  </si>
  <si>
    <t>Spalte8204</t>
  </si>
  <si>
    <t>Spalte8205</t>
  </si>
  <si>
    <t>Spalte8206</t>
  </si>
  <si>
    <t>Spalte8207</t>
  </si>
  <si>
    <t>Spalte8208</t>
  </si>
  <si>
    <t>Spalte8209</t>
  </si>
  <si>
    <t>Spalte8210</t>
  </si>
  <si>
    <t>Spalte8211</t>
  </si>
  <si>
    <t>Spalte8212</t>
  </si>
  <si>
    <t>Spalte8213</t>
  </si>
  <si>
    <t>Spalte8214</t>
  </si>
  <si>
    <t>Spalte8215</t>
  </si>
  <si>
    <t>Spalte8216</t>
  </si>
  <si>
    <t>Spalte8217</t>
  </si>
  <si>
    <t>Spalte8218</t>
  </si>
  <si>
    <t>Spalte8219</t>
  </si>
  <si>
    <t>Spalte8220</t>
  </si>
  <si>
    <t>Spalte8221</t>
  </si>
  <si>
    <t>Spalte8222</t>
  </si>
  <si>
    <t>Spalte8223</t>
  </si>
  <si>
    <t>Spalte8224</t>
  </si>
  <si>
    <t>Spalte8225</t>
  </si>
  <si>
    <t>Spalte8226</t>
  </si>
  <si>
    <t>Spalte8227</t>
  </si>
  <si>
    <t>Spalte8228</t>
  </si>
  <si>
    <t>Spalte8229</t>
  </si>
  <si>
    <t>Spalte8230</t>
  </si>
  <si>
    <t>Spalte8231</t>
  </si>
  <si>
    <t>Spalte8232</t>
  </si>
  <si>
    <t>Spalte8233</t>
  </si>
  <si>
    <t>Spalte8234</t>
  </si>
  <si>
    <t>Spalte8235</t>
  </si>
  <si>
    <t>Spalte8236</t>
  </si>
  <si>
    <t>Spalte8237</t>
  </si>
  <si>
    <t>Spalte8238</t>
  </si>
  <si>
    <t>Spalte8239</t>
  </si>
  <si>
    <t>Spalte8240</t>
  </si>
  <si>
    <t>Spalte8241</t>
  </si>
  <si>
    <t>Spalte8242</t>
  </si>
  <si>
    <t>Spalte8243</t>
  </si>
  <si>
    <t>Spalte8244</t>
  </si>
  <si>
    <t>Spalte8245</t>
  </si>
  <si>
    <t>Spalte8246</t>
  </si>
  <si>
    <t>Spalte8247</t>
  </si>
  <si>
    <t>Spalte8248</t>
  </si>
  <si>
    <t>Spalte8249</t>
  </si>
  <si>
    <t>Spalte8250</t>
  </si>
  <si>
    <t>Spalte8251</t>
  </si>
  <si>
    <t>Spalte8252</t>
  </si>
  <si>
    <t>Spalte8253</t>
  </si>
  <si>
    <t>Spalte8254</t>
  </si>
  <si>
    <t>Spalte8255</t>
  </si>
  <si>
    <t>Spalte8256</t>
  </si>
  <si>
    <t>Spalte8257</t>
  </si>
  <si>
    <t>Spalte8258</t>
  </si>
  <si>
    <t>Spalte8259</t>
  </si>
  <si>
    <t>Spalte8260</t>
  </si>
  <si>
    <t>Spalte8261</t>
  </si>
  <si>
    <t>Spalte8262</t>
  </si>
  <si>
    <t>Spalte8263</t>
  </si>
  <si>
    <t>Spalte8264</t>
  </si>
  <si>
    <t>Spalte8265</t>
  </si>
  <si>
    <t>Spalte8266</t>
  </si>
  <si>
    <t>Spalte8267</t>
  </si>
  <si>
    <t>Spalte8268</t>
  </si>
  <si>
    <t>Spalte8269</t>
  </si>
  <si>
    <t>Spalte8270</t>
  </si>
  <si>
    <t>Spalte8271</t>
  </si>
  <si>
    <t>Spalte8272</t>
  </si>
  <si>
    <t>Spalte8273</t>
  </si>
  <si>
    <t>Spalte8274</t>
  </si>
  <si>
    <t>Spalte8275</t>
  </si>
  <si>
    <t>Spalte8276</t>
  </si>
  <si>
    <t>Spalte8277</t>
  </si>
  <si>
    <t>Spalte8278</t>
  </si>
  <si>
    <t>Spalte8279</t>
  </si>
  <si>
    <t>Spalte8280</t>
  </si>
  <si>
    <t>Spalte8281</t>
  </si>
  <si>
    <t>Spalte8282</t>
  </si>
  <si>
    <t>Spalte8283</t>
  </si>
  <si>
    <t>Spalte8284</t>
  </si>
  <si>
    <t>Spalte8285</t>
  </si>
  <si>
    <t>Spalte8286</t>
  </si>
  <si>
    <t>Spalte8287</t>
  </si>
  <si>
    <t>Spalte8288</t>
  </si>
  <si>
    <t>Spalte8289</t>
  </si>
  <si>
    <t>Spalte8290</t>
  </si>
  <si>
    <t>Spalte8291</t>
  </si>
  <si>
    <t>Spalte8292</t>
  </si>
  <si>
    <t>Spalte8293</t>
  </si>
  <si>
    <t>Spalte8294</t>
  </si>
  <si>
    <t>Spalte8295</t>
  </si>
  <si>
    <t>Spalte8296</t>
  </si>
  <si>
    <t>Spalte8297</t>
  </si>
  <si>
    <t>Spalte8298</t>
  </si>
  <si>
    <t>Spalte8299</t>
  </si>
  <si>
    <t>Spalte8300</t>
  </si>
  <si>
    <t>Spalte8301</t>
  </si>
  <si>
    <t>Spalte8302</t>
  </si>
  <si>
    <t>Spalte8303</t>
  </si>
  <si>
    <t>Spalte8304</t>
  </si>
  <si>
    <t>Spalte8305</t>
  </si>
  <si>
    <t>Spalte8306</t>
  </si>
  <si>
    <t>Spalte8307</t>
  </si>
  <si>
    <t>Spalte8308</t>
  </si>
  <si>
    <t>Spalte8309</t>
  </si>
  <si>
    <t>Spalte8310</t>
  </si>
  <si>
    <t>Spalte8311</t>
  </si>
  <si>
    <t>Spalte8312</t>
  </si>
  <si>
    <t>Spalte8313</t>
  </si>
  <si>
    <t>Spalte8314</t>
  </si>
  <si>
    <t>Spalte8315</t>
  </si>
  <si>
    <t>Spalte8316</t>
  </si>
  <si>
    <t>Spalte8317</t>
  </si>
  <si>
    <t>Spalte8318</t>
  </si>
  <si>
    <t>Spalte8319</t>
  </si>
  <si>
    <t>Spalte8320</t>
  </si>
  <si>
    <t>Spalte8321</t>
  </si>
  <si>
    <t>Spalte8322</t>
  </si>
  <si>
    <t>Spalte8323</t>
  </si>
  <si>
    <t>Spalte8324</t>
  </si>
  <si>
    <t>Spalte8325</t>
  </si>
  <si>
    <t>Spalte8326</t>
  </si>
  <si>
    <t>Spalte8327</t>
  </si>
  <si>
    <t>Spalte8328</t>
  </si>
  <si>
    <t>Spalte8329</t>
  </si>
  <si>
    <t>Spalte8330</t>
  </si>
  <si>
    <t>Spalte8331</t>
  </si>
  <si>
    <t>Spalte8332</t>
  </si>
  <si>
    <t>Spalte8333</t>
  </si>
  <si>
    <t>Spalte8334</t>
  </si>
  <si>
    <t>Spalte8335</t>
  </si>
  <si>
    <t>Spalte8336</t>
  </si>
  <si>
    <t>Spalte8337</t>
  </si>
  <si>
    <t>Spalte8338</t>
  </si>
  <si>
    <t>Spalte8339</t>
  </si>
  <si>
    <t>Spalte8340</t>
  </si>
  <si>
    <t>Spalte8341</t>
  </si>
  <si>
    <t>Spalte8342</t>
  </si>
  <si>
    <t>Spalte8343</t>
  </si>
  <si>
    <t>Spalte8344</t>
  </si>
  <si>
    <t>Spalte8345</t>
  </si>
  <si>
    <t>Spalte8346</t>
  </si>
  <si>
    <t>Spalte8347</t>
  </si>
  <si>
    <t>Spalte8348</t>
  </si>
  <si>
    <t>Spalte8349</t>
  </si>
  <si>
    <t>Spalte8350</t>
  </si>
  <si>
    <t>Spalte8351</t>
  </si>
  <si>
    <t>Spalte8352</t>
  </si>
  <si>
    <t>Spalte8353</t>
  </si>
  <si>
    <t>Spalte8354</t>
  </si>
  <si>
    <t>Spalte8355</t>
  </si>
  <si>
    <t>Spalte8356</t>
  </si>
  <si>
    <t>Spalte8357</t>
  </si>
  <si>
    <t>Spalte8358</t>
  </si>
  <si>
    <t>Spalte8359</t>
  </si>
  <si>
    <t>Spalte8360</t>
  </si>
  <si>
    <t>Spalte8361</t>
  </si>
  <si>
    <t>Spalte8362</t>
  </si>
  <si>
    <t>Spalte8363</t>
  </si>
  <si>
    <t>Spalte8364</t>
  </si>
  <si>
    <t>Spalte8365</t>
  </si>
  <si>
    <t>Spalte8366</t>
  </si>
  <si>
    <t>Spalte8367</t>
  </si>
  <si>
    <t>Spalte8368</t>
  </si>
  <si>
    <t>Spalte8369</t>
  </si>
  <si>
    <t>Spalte8370</t>
  </si>
  <si>
    <t>Spalte8371</t>
  </si>
  <si>
    <t>Spalte8372</t>
  </si>
  <si>
    <t>Spalte8373</t>
  </si>
  <si>
    <t>Spalte8374</t>
  </si>
  <si>
    <t>Spalte8375</t>
  </si>
  <si>
    <t>Spalte8376</t>
  </si>
  <si>
    <t>Spalte8377</t>
  </si>
  <si>
    <t>Spalte8378</t>
  </si>
  <si>
    <t>Spalte8379</t>
  </si>
  <si>
    <t>Spalte8380</t>
  </si>
  <si>
    <t>Spalte8381</t>
  </si>
  <si>
    <t>Spalte8382</t>
  </si>
  <si>
    <t>Spalte8383</t>
  </si>
  <si>
    <t>Spalte8384</t>
  </si>
  <si>
    <t>Spalte8385</t>
  </si>
  <si>
    <t>Spalte8386</t>
  </si>
  <si>
    <t>Spalte8387</t>
  </si>
  <si>
    <t>Spalte8388</t>
  </si>
  <si>
    <t>Spalte8389</t>
  </si>
  <si>
    <t>Spalte8390</t>
  </si>
  <si>
    <t>Spalte8391</t>
  </si>
  <si>
    <t>Spalte8392</t>
  </si>
  <si>
    <t>Spalte8393</t>
  </si>
  <si>
    <t>Spalte8394</t>
  </si>
  <si>
    <t>Spalte8395</t>
  </si>
  <si>
    <t>Spalte8396</t>
  </si>
  <si>
    <t>Spalte8397</t>
  </si>
  <si>
    <t>Spalte8398</t>
  </si>
  <si>
    <t>Spalte8399</t>
  </si>
  <si>
    <t>Spalte8400</t>
  </si>
  <si>
    <t>Spalte8401</t>
  </si>
  <si>
    <t>Spalte8402</t>
  </si>
  <si>
    <t>Spalte8403</t>
  </si>
  <si>
    <t>Spalte8404</t>
  </si>
  <si>
    <t>Spalte8405</t>
  </si>
  <si>
    <t>Spalte8406</t>
  </si>
  <si>
    <t>Spalte8407</t>
  </si>
  <si>
    <t>Spalte8408</t>
  </si>
  <si>
    <t>Spalte8409</t>
  </si>
  <si>
    <t>Spalte8410</t>
  </si>
  <si>
    <t>Spalte8411</t>
  </si>
  <si>
    <t>Spalte8412</t>
  </si>
  <si>
    <t>Spalte8413</t>
  </si>
  <si>
    <t>Spalte8414</t>
  </si>
  <si>
    <t>Spalte8415</t>
  </si>
  <si>
    <t>Spalte8416</t>
  </si>
  <si>
    <t>Spalte8417</t>
  </si>
  <si>
    <t>Spalte8418</t>
  </si>
  <si>
    <t>Spalte8419</t>
  </si>
  <si>
    <t>Spalte8420</t>
  </si>
  <si>
    <t>Spalte8421</t>
  </si>
  <si>
    <t>Spalte8422</t>
  </si>
  <si>
    <t>Spalte8423</t>
  </si>
  <si>
    <t>Spalte8424</t>
  </si>
  <si>
    <t>Spalte8425</t>
  </si>
  <si>
    <t>Spalte8426</t>
  </si>
  <si>
    <t>Spalte8427</t>
  </si>
  <si>
    <t>Spalte8428</t>
  </si>
  <si>
    <t>Spalte8429</t>
  </si>
  <si>
    <t>Spalte8430</t>
  </si>
  <si>
    <t>Spalte8431</t>
  </si>
  <si>
    <t>Spalte8432</t>
  </si>
  <si>
    <t>Spalte8433</t>
  </si>
  <si>
    <t>Spalte8434</t>
  </si>
  <si>
    <t>Spalte8435</t>
  </si>
  <si>
    <t>Spalte8436</t>
  </si>
  <si>
    <t>Spalte8437</t>
  </si>
  <si>
    <t>Spalte8438</t>
  </si>
  <si>
    <t>Spalte8439</t>
  </si>
  <si>
    <t>Spalte8440</t>
  </si>
  <si>
    <t>Spalte8441</t>
  </si>
  <si>
    <t>Spalte8442</t>
  </si>
  <si>
    <t>Spalte8443</t>
  </si>
  <si>
    <t>Spalte8444</t>
  </si>
  <si>
    <t>Spalte8445</t>
  </si>
  <si>
    <t>Spalte8446</t>
  </si>
  <si>
    <t>Spalte8447</t>
  </si>
  <si>
    <t>Spalte8448</t>
  </si>
  <si>
    <t>Spalte8449</t>
  </si>
  <si>
    <t>Spalte8450</t>
  </si>
  <si>
    <t>Spalte8451</t>
  </si>
  <si>
    <t>Spalte8452</t>
  </si>
  <si>
    <t>Spalte8453</t>
  </si>
  <si>
    <t>Spalte8454</t>
  </si>
  <si>
    <t>Spalte8455</t>
  </si>
  <si>
    <t>Spalte8456</t>
  </si>
  <si>
    <t>Spalte8457</t>
  </si>
  <si>
    <t>Spalte8458</t>
  </si>
  <si>
    <t>Spalte8459</t>
  </si>
  <si>
    <t>Spalte8460</t>
  </si>
  <si>
    <t>Spalte8461</t>
  </si>
  <si>
    <t>Spalte8462</t>
  </si>
  <si>
    <t>Spalte8463</t>
  </si>
  <si>
    <t>Spalte8464</t>
  </si>
  <si>
    <t>Spalte8465</t>
  </si>
  <si>
    <t>Spalte8466</t>
  </si>
  <si>
    <t>Spalte8467</t>
  </si>
  <si>
    <t>Spalte8468</t>
  </si>
  <si>
    <t>Spalte8469</t>
  </si>
  <si>
    <t>Spalte8470</t>
  </si>
  <si>
    <t>Spalte8471</t>
  </si>
  <si>
    <t>Spalte8472</t>
  </si>
  <si>
    <t>Spalte8473</t>
  </si>
  <si>
    <t>Spalte8474</t>
  </si>
  <si>
    <t>Spalte8475</t>
  </si>
  <si>
    <t>Spalte8476</t>
  </si>
  <si>
    <t>Spalte8477</t>
  </si>
  <si>
    <t>Spalte8478</t>
  </si>
  <si>
    <t>Spalte8479</t>
  </si>
  <si>
    <t>Spalte8480</t>
  </si>
  <si>
    <t>Spalte8481</t>
  </si>
  <si>
    <t>Spalte8482</t>
  </si>
  <si>
    <t>Spalte8483</t>
  </si>
  <si>
    <t>Spalte8484</t>
  </si>
  <si>
    <t>Spalte8485</t>
  </si>
  <si>
    <t>Spalte8486</t>
  </si>
  <si>
    <t>Spalte8487</t>
  </si>
  <si>
    <t>Spalte8488</t>
  </si>
  <si>
    <t>Spalte8489</t>
  </si>
  <si>
    <t>Spalte8490</t>
  </si>
  <si>
    <t>Spalte8491</t>
  </si>
  <si>
    <t>Spalte8492</t>
  </si>
  <si>
    <t>Spalte8493</t>
  </si>
  <si>
    <t>Spalte8494</t>
  </si>
  <si>
    <t>Spalte8495</t>
  </si>
  <si>
    <t>Spalte8496</t>
  </si>
  <si>
    <t>Spalte8497</t>
  </si>
  <si>
    <t>Spalte8498</t>
  </si>
  <si>
    <t>Spalte8499</t>
  </si>
  <si>
    <t>Spalte8500</t>
  </si>
  <si>
    <t>Spalte8501</t>
  </si>
  <si>
    <t>Spalte8502</t>
  </si>
  <si>
    <t>Spalte8503</t>
  </si>
  <si>
    <t>Spalte8504</t>
  </si>
  <si>
    <t>Spalte8505</t>
  </si>
  <si>
    <t>Spalte8506</t>
  </si>
  <si>
    <t>Spalte8507</t>
  </si>
  <si>
    <t>Spalte8508</t>
  </si>
  <si>
    <t>Spalte8509</t>
  </si>
  <si>
    <t>Spalte8510</t>
  </si>
  <si>
    <t>Spalte8511</t>
  </si>
  <si>
    <t>Spalte8512</t>
  </si>
  <si>
    <t>Spalte8513</t>
  </si>
  <si>
    <t>Spalte8514</t>
  </si>
  <si>
    <t>Spalte8515</t>
  </si>
  <si>
    <t>Spalte8516</t>
  </si>
  <si>
    <t>Spalte8517</t>
  </si>
  <si>
    <t>Spalte8518</t>
  </si>
  <si>
    <t>Spalte8519</t>
  </si>
  <si>
    <t>Spalte8520</t>
  </si>
  <si>
    <t>Spalte8521</t>
  </si>
  <si>
    <t>Spalte8522</t>
  </si>
  <si>
    <t>Spalte8523</t>
  </si>
  <si>
    <t>Spalte8524</t>
  </si>
  <si>
    <t>Spalte8525</t>
  </si>
  <si>
    <t>Spalte8526</t>
  </si>
  <si>
    <t>Spalte8527</t>
  </si>
  <si>
    <t>Spalte8528</t>
  </si>
  <si>
    <t>Spalte8529</t>
  </si>
  <si>
    <t>Spalte8530</t>
  </si>
  <si>
    <t>Spalte8531</t>
  </si>
  <si>
    <t>Spalte8532</t>
  </si>
  <si>
    <t>Spalte8533</t>
  </si>
  <si>
    <t>Spalte8534</t>
  </si>
  <si>
    <t>Spalte8535</t>
  </si>
  <si>
    <t>Spalte8536</t>
  </si>
  <si>
    <t>Spalte8537</t>
  </si>
  <si>
    <t>Spalte8538</t>
  </si>
  <si>
    <t>Spalte8539</t>
  </si>
  <si>
    <t>Spalte8540</t>
  </si>
  <si>
    <t>Spalte8541</t>
  </si>
  <si>
    <t>Spalte8542</t>
  </si>
  <si>
    <t>Spalte8543</t>
  </si>
  <si>
    <t>Spalte8544</t>
  </si>
  <si>
    <t>Spalte8545</t>
  </si>
  <si>
    <t>Spalte8546</t>
  </si>
  <si>
    <t>Spalte8547</t>
  </si>
  <si>
    <t>Spalte8548</t>
  </si>
  <si>
    <t>Spalte8549</t>
  </si>
  <si>
    <t>Spalte8550</t>
  </si>
  <si>
    <t>Spalte8551</t>
  </si>
  <si>
    <t>Spalte8552</t>
  </si>
  <si>
    <t>Spalte8553</t>
  </si>
  <si>
    <t>Spalte8554</t>
  </si>
  <si>
    <t>Spalte8555</t>
  </si>
  <si>
    <t>Spalte8556</t>
  </si>
  <si>
    <t>Spalte8557</t>
  </si>
  <si>
    <t>Spalte8558</t>
  </si>
  <si>
    <t>Spalte8559</t>
  </si>
  <si>
    <t>Spalte8560</t>
  </si>
  <si>
    <t>Spalte8561</t>
  </si>
  <si>
    <t>Spalte8562</t>
  </si>
  <si>
    <t>Spalte8563</t>
  </si>
  <si>
    <t>Spalte8564</t>
  </si>
  <si>
    <t>Spalte8565</t>
  </si>
  <si>
    <t>Spalte8566</t>
  </si>
  <si>
    <t>Spalte8567</t>
  </si>
  <si>
    <t>Spalte8568</t>
  </si>
  <si>
    <t>Spalte8569</t>
  </si>
  <si>
    <t>Spalte8570</t>
  </si>
  <si>
    <t>Spalte8571</t>
  </si>
  <si>
    <t>Spalte8572</t>
  </si>
  <si>
    <t>Spalte8573</t>
  </si>
  <si>
    <t>Spalte8574</t>
  </si>
  <si>
    <t>Spalte8575</t>
  </si>
  <si>
    <t>Spalte8576</t>
  </si>
  <si>
    <t>Spalte8577</t>
  </si>
  <si>
    <t>Spalte8578</t>
  </si>
  <si>
    <t>Spalte8579</t>
  </si>
  <si>
    <t>Spalte8580</t>
  </si>
  <si>
    <t>Spalte8581</t>
  </si>
  <si>
    <t>Spalte8582</t>
  </si>
  <si>
    <t>Spalte8583</t>
  </si>
  <si>
    <t>Spalte8584</t>
  </si>
  <si>
    <t>Spalte8585</t>
  </si>
  <si>
    <t>Spalte8586</t>
  </si>
  <si>
    <t>Spalte8587</t>
  </si>
  <si>
    <t>Spalte8588</t>
  </si>
  <si>
    <t>Spalte8589</t>
  </si>
  <si>
    <t>Spalte8590</t>
  </si>
  <si>
    <t>Spalte8591</t>
  </si>
  <si>
    <t>Spalte8592</t>
  </si>
  <si>
    <t>Spalte8593</t>
  </si>
  <si>
    <t>Spalte8594</t>
  </si>
  <si>
    <t>Spalte8595</t>
  </si>
  <si>
    <t>Spalte8596</t>
  </si>
  <si>
    <t>Spalte8597</t>
  </si>
  <si>
    <t>Spalte8598</t>
  </si>
  <si>
    <t>Spalte8599</t>
  </si>
  <si>
    <t>Spalte8600</t>
  </si>
  <si>
    <t>Spalte8601</t>
  </si>
  <si>
    <t>Spalte8602</t>
  </si>
  <si>
    <t>Spalte8603</t>
  </si>
  <si>
    <t>Spalte8604</t>
  </si>
  <si>
    <t>Spalte8605</t>
  </si>
  <si>
    <t>Spalte8606</t>
  </si>
  <si>
    <t>Spalte8607</t>
  </si>
  <si>
    <t>Spalte8608</t>
  </si>
  <si>
    <t>Spalte8609</t>
  </si>
  <si>
    <t>Spalte8610</t>
  </si>
  <si>
    <t>Spalte8611</t>
  </si>
  <si>
    <t>Spalte8612</t>
  </si>
  <si>
    <t>Spalte8613</t>
  </si>
  <si>
    <t>Spalte8614</t>
  </si>
  <si>
    <t>Spalte8615</t>
  </si>
  <si>
    <t>Spalte8616</t>
  </si>
  <si>
    <t>Spalte8617</t>
  </si>
  <si>
    <t>Spalte8618</t>
  </si>
  <si>
    <t>Spalte8619</t>
  </si>
  <si>
    <t>Spalte8620</t>
  </si>
  <si>
    <t>Spalte8621</t>
  </si>
  <si>
    <t>Spalte8622</t>
  </si>
  <si>
    <t>Spalte8623</t>
  </si>
  <si>
    <t>Spalte8624</t>
  </si>
  <si>
    <t>Spalte8625</t>
  </si>
  <si>
    <t>Spalte8626</t>
  </si>
  <si>
    <t>Spalte8627</t>
  </si>
  <si>
    <t>Spalte8628</t>
  </si>
  <si>
    <t>Spalte8629</t>
  </si>
  <si>
    <t>Spalte8630</t>
  </si>
  <si>
    <t>Spalte8631</t>
  </si>
  <si>
    <t>Spalte8632</t>
  </si>
  <si>
    <t>Spalte8633</t>
  </si>
  <si>
    <t>Spalte8634</t>
  </si>
  <si>
    <t>Spalte8635</t>
  </si>
  <si>
    <t>Spalte8636</t>
  </si>
  <si>
    <t>Spalte8637</t>
  </si>
  <si>
    <t>Spalte8638</t>
  </si>
  <si>
    <t>Spalte8639</t>
  </si>
  <si>
    <t>Spalte8640</t>
  </si>
  <si>
    <t>Spalte8641</t>
  </si>
  <si>
    <t>Spalte8642</t>
  </si>
  <si>
    <t>Spalte8643</t>
  </si>
  <si>
    <t>Spalte8644</t>
  </si>
  <si>
    <t>Spalte8645</t>
  </si>
  <si>
    <t>Spalte8646</t>
  </si>
  <si>
    <t>Spalte8647</t>
  </si>
  <si>
    <t>Spalte8648</t>
  </si>
  <si>
    <t>Spalte8649</t>
  </si>
  <si>
    <t>Spalte8650</t>
  </si>
  <si>
    <t>Spalte8651</t>
  </si>
  <si>
    <t>Spalte8652</t>
  </si>
  <si>
    <t>Spalte8653</t>
  </si>
  <si>
    <t>Spalte8654</t>
  </si>
  <si>
    <t>Spalte8655</t>
  </si>
  <si>
    <t>Spalte8656</t>
  </si>
  <si>
    <t>Spalte8657</t>
  </si>
  <si>
    <t>Spalte8658</t>
  </si>
  <si>
    <t>Spalte8659</t>
  </si>
  <si>
    <t>Spalte8660</t>
  </si>
  <si>
    <t>Spalte8661</t>
  </si>
  <si>
    <t>Spalte8662</t>
  </si>
  <si>
    <t>Spalte8663</t>
  </si>
  <si>
    <t>Spalte8664</t>
  </si>
  <si>
    <t>Spalte8665</t>
  </si>
  <si>
    <t>Spalte8666</t>
  </si>
  <si>
    <t>Spalte8667</t>
  </si>
  <si>
    <t>Spalte8668</t>
  </si>
  <si>
    <t>Spalte8669</t>
  </si>
  <si>
    <t>Spalte8670</t>
  </si>
  <si>
    <t>Spalte8671</t>
  </si>
  <si>
    <t>Spalte8672</t>
  </si>
  <si>
    <t>Spalte8673</t>
  </si>
  <si>
    <t>Spalte8674</t>
  </si>
  <si>
    <t>Spalte8675</t>
  </si>
  <si>
    <t>Spalte8676</t>
  </si>
  <si>
    <t>Spalte8677</t>
  </si>
  <si>
    <t>Spalte8678</t>
  </si>
  <si>
    <t>Spalte8679</t>
  </si>
  <si>
    <t>Spalte8680</t>
  </si>
  <si>
    <t>Spalte8681</t>
  </si>
  <si>
    <t>Spalte8682</t>
  </si>
  <si>
    <t>Spalte8683</t>
  </si>
  <si>
    <t>Spalte8684</t>
  </si>
  <si>
    <t>Spalte8685</t>
  </si>
  <si>
    <t>Spalte8686</t>
  </si>
  <si>
    <t>Spalte8687</t>
  </si>
  <si>
    <t>Spalte8688</t>
  </si>
  <si>
    <t>Spalte8689</t>
  </si>
  <si>
    <t>Spalte8690</t>
  </si>
  <si>
    <t>Spalte8691</t>
  </si>
  <si>
    <t>Spalte8692</t>
  </si>
  <si>
    <t>Spalte8693</t>
  </si>
  <si>
    <t>Spalte8694</t>
  </si>
  <si>
    <t>Spalte8695</t>
  </si>
  <si>
    <t>Spalte8696</t>
  </si>
  <si>
    <t>Spalte8697</t>
  </si>
  <si>
    <t>Spalte8698</t>
  </si>
  <si>
    <t>Spalte8699</t>
  </si>
  <si>
    <t>Spalte8700</t>
  </si>
  <si>
    <t>Spalte8701</t>
  </si>
  <si>
    <t>Spalte8702</t>
  </si>
  <si>
    <t>Spalte8703</t>
  </si>
  <si>
    <t>Spalte8704</t>
  </si>
  <si>
    <t>Spalte8705</t>
  </si>
  <si>
    <t>Spalte8706</t>
  </si>
  <si>
    <t>Spalte8707</t>
  </si>
  <si>
    <t>Spalte8708</t>
  </si>
  <si>
    <t>Spalte8709</t>
  </si>
  <si>
    <t>Spalte8710</t>
  </si>
  <si>
    <t>Spalte8711</t>
  </si>
  <si>
    <t>Spalte8712</t>
  </si>
  <si>
    <t>Spalte8713</t>
  </si>
  <si>
    <t>Spalte8714</t>
  </si>
  <si>
    <t>Spalte8715</t>
  </si>
  <si>
    <t>Spalte8716</t>
  </si>
  <si>
    <t>Spalte8717</t>
  </si>
  <si>
    <t>Spalte8718</t>
  </si>
  <si>
    <t>Spalte8719</t>
  </si>
  <si>
    <t>Spalte8720</t>
  </si>
  <si>
    <t>Spalte8721</t>
  </si>
  <si>
    <t>Spalte8722</t>
  </si>
  <si>
    <t>Spalte8723</t>
  </si>
  <si>
    <t>Spalte8724</t>
  </si>
  <si>
    <t>Spalte8725</t>
  </si>
  <si>
    <t>Spalte8726</t>
  </si>
  <si>
    <t>Spalte8727</t>
  </si>
  <si>
    <t>Spalte8728</t>
  </si>
  <si>
    <t>Spalte8729</t>
  </si>
  <si>
    <t>Spalte8730</t>
  </si>
  <si>
    <t>Spalte8731</t>
  </si>
  <si>
    <t>Spalte8732</t>
  </si>
  <si>
    <t>Spalte8733</t>
  </si>
  <si>
    <t>Spalte8734</t>
  </si>
  <si>
    <t>Spalte8735</t>
  </si>
  <si>
    <t>Spalte8736</t>
  </si>
  <si>
    <t>Spalte8737</t>
  </si>
  <si>
    <t>Spalte8738</t>
  </si>
  <si>
    <t>Spalte8739</t>
  </si>
  <si>
    <t>Spalte8740</t>
  </si>
  <si>
    <t>Spalte8741</t>
  </si>
  <si>
    <t>Spalte8742</t>
  </si>
  <si>
    <t>Spalte8743</t>
  </si>
  <si>
    <t>Spalte8744</t>
  </si>
  <si>
    <t>Spalte8745</t>
  </si>
  <si>
    <t>Spalte8746</t>
  </si>
  <si>
    <t>Spalte8747</t>
  </si>
  <si>
    <t>Spalte8748</t>
  </si>
  <si>
    <t>Spalte8749</t>
  </si>
  <si>
    <t>Spalte8750</t>
  </si>
  <si>
    <t>Spalte8751</t>
  </si>
  <si>
    <t>Spalte8752</t>
  </si>
  <si>
    <t>Spalte8753</t>
  </si>
  <si>
    <t>Spalte8754</t>
  </si>
  <si>
    <t>Spalte8755</t>
  </si>
  <si>
    <t>Spalte8756</t>
  </si>
  <si>
    <t>Spalte8757</t>
  </si>
  <si>
    <t>Spalte8758</t>
  </si>
  <si>
    <t>Spalte8759</t>
  </si>
  <si>
    <t>Spalte8760</t>
  </si>
  <si>
    <t>Spalte8761</t>
  </si>
  <si>
    <t>Spalte8762</t>
  </si>
  <si>
    <t>Spalte8763</t>
  </si>
  <si>
    <t>Spalte8764</t>
  </si>
  <si>
    <t>Spalte8765</t>
  </si>
  <si>
    <t>Spalte8766</t>
  </si>
  <si>
    <t>Spalte8767</t>
  </si>
  <si>
    <t>Spalte8768</t>
  </si>
  <si>
    <t>Spalte8769</t>
  </si>
  <si>
    <t>Spalte8770</t>
  </si>
  <si>
    <t>Spalte8771</t>
  </si>
  <si>
    <t>Spalte8772</t>
  </si>
  <si>
    <t>Spalte8773</t>
  </si>
  <si>
    <t>Spalte8774</t>
  </si>
  <si>
    <t>Spalte8775</t>
  </si>
  <si>
    <t>Spalte8776</t>
  </si>
  <si>
    <t>Spalte8777</t>
  </si>
  <si>
    <t>Spalte8778</t>
  </si>
  <si>
    <t>Spalte8779</t>
  </si>
  <si>
    <t>Spalte8780</t>
  </si>
  <si>
    <t>Spalte8781</t>
  </si>
  <si>
    <t>Spalte8782</t>
  </si>
  <si>
    <t>Spalte8783</t>
  </si>
  <si>
    <t>Spalte8784</t>
  </si>
  <si>
    <t>Spalte8785</t>
  </si>
  <si>
    <t>Spalte8786</t>
  </si>
  <si>
    <t>Spalte8787</t>
  </si>
  <si>
    <t>Spalte8788</t>
  </si>
  <si>
    <t>Spalte8789</t>
  </si>
  <si>
    <t>Spalte8790</t>
  </si>
  <si>
    <t>Spalte8791</t>
  </si>
  <si>
    <t>Spalte8792</t>
  </si>
  <si>
    <t>Spalte8793</t>
  </si>
  <si>
    <t>Spalte8794</t>
  </si>
  <si>
    <t>Spalte8795</t>
  </si>
  <si>
    <t>Spalte8796</t>
  </si>
  <si>
    <t>Spalte8797</t>
  </si>
  <si>
    <t>Spalte8798</t>
  </si>
  <si>
    <t>Spalte8799</t>
  </si>
  <si>
    <t>Spalte8800</t>
  </si>
  <si>
    <t>Spalte8801</t>
  </si>
  <si>
    <t>Spalte8802</t>
  </si>
  <si>
    <t>Spalte8803</t>
  </si>
  <si>
    <t>Spalte8804</t>
  </si>
  <si>
    <t>Spalte8805</t>
  </si>
  <si>
    <t>Spalte8806</t>
  </si>
  <si>
    <t>Spalte8807</t>
  </si>
  <si>
    <t>Spalte8808</t>
  </si>
  <si>
    <t>Spalte8809</t>
  </si>
  <si>
    <t>Spalte8810</t>
  </si>
  <si>
    <t>Spalte8811</t>
  </si>
  <si>
    <t>Spalte8812</t>
  </si>
  <si>
    <t>Spalte8813</t>
  </si>
  <si>
    <t>Spalte8814</t>
  </si>
  <si>
    <t>Spalte8815</t>
  </si>
  <si>
    <t>Spalte8816</t>
  </si>
  <si>
    <t>Spalte8817</t>
  </si>
  <si>
    <t>Spalte8818</t>
  </si>
  <si>
    <t>Spalte8819</t>
  </si>
  <si>
    <t>Spalte8820</t>
  </si>
  <si>
    <t>Spalte8821</t>
  </si>
  <si>
    <t>Spalte8822</t>
  </si>
  <si>
    <t>Spalte8823</t>
  </si>
  <si>
    <t>Spalte8824</t>
  </si>
  <si>
    <t>Spalte8825</t>
  </si>
  <si>
    <t>Spalte8826</t>
  </si>
  <si>
    <t>Spalte8827</t>
  </si>
  <si>
    <t>Spalte8828</t>
  </si>
  <si>
    <t>Spalte8829</t>
  </si>
  <si>
    <t>Spalte8830</t>
  </si>
  <si>
    <t>Spalte8831</t>
  </si>
  <si>
    <t>Spalte8832</t>
  </si>
  <si>
    <t>Spalte8833</t>
  </si>
  <si>
    <t>Spalte8834</t>
  </si>
  <si>
    <t>Spalte8835</t>
  </si>
  <si>
    <t>Spalte8836</t>
  </si>
  <si>
    <t>Spalte8837</t>
  </si>
  <si>
    <t>Spalte8838</t>
  </si>
  <si>
    <t>Spalte8839</t>
  </si>
  <si>
    <t>Spalte8840</t>
  </si>
  <si>
    <t>Spalte8841</t>
  </si>
  <si>
    <t>Spalte8842</t>
  </si>
  <si>
    <t>Spalte8843</t>
  </si>
  <si>
    <t>Spalte8844</t>
  </si>
  <si>
    <t>Spalte8845</t>
  </si>
  <si>
    <t>Spalte8846</t>
  </si>
  <si>
    <t>Spalte8847</t>
  </si>
  <si>
    <t>Spalte8848</t>
  </si>
  <si>
    <t>Spalte8849</t>
  </si>
  <si>
    <t>Spalte8850</t>
  </si>
  <si>
    <t>Spalte8851</t>
  </si>
  <si>
    <t>Spalte8852</t>
  </si>
  <si>
    <t>Spalte8853</t>
  </si>
  <si>
    <t>Spalte8854</t>
  </si>
  <si>
    <t>Spalte8855</t>
  </si>
  <si>
    <t>Spalte8856</t>
  </si>
  <si>
    <t>Spalte8857</t>
  </si>
  <si>
    <t>Spalte8858</t>
  </si>
  <si>
    <t>Spalte8859</t>
  </si>
  <si>
    <t>Spalte8860</t>
  </si>
  <si>
    <t>Spalte8861</t>
  </si>
  <si>
    <t>Spalte8862</t>
  </si>
  <si>
    <t>Spalte8863</t>
  </si>
  <si>
    <t>Spalte8864</t>
  </si>
  <si>
    <t>Spalte8865</t>
  </si>
  <si>
    <t>Spalte8866</t>
  </si>
  <si>
    <t>Spalte8867</t>
  </si>
  <si>
    <t>Spalte8868</t>
  </si>
  <si>
    <t>Spalte8869</t>
  </si>
  <si>
    <t>Spalte8870</t>
  </si>
  <si>
    <t>Spalte8871</t>
  </si>
  <si>
    <t>Spalte8872</t>
  </si>
  <si>
    <t>Spalte8873</t>
  </si>
  <si>
    <t>Spalte8874</t>
  </si>
  <si>
    <t>Spalte8875</t>
  </si>
  <si>
    <t>Spalte8876</t>
  </si>
  <si>
    <t>Spalte8877</t>
  </si>
  <si>
    <t>Spalte8878</t>
  </si>
  <si>
    <t>Spalte8879</t>
  </si>
  <si>
    <t>Spalte8880</t>
  </si>
  <si>
    <t>Spalte8881</t>
  </si>
  <si>
    <t>Spalte8882</t>
  </si>
  <si>
    <t>Spalte8883</t>
  </si>
  <si>
    <t>Spalte8884</t>
  </si>
  <si>
    <t>Spalte8885</t>
  </si>
  <si>
    <t>Spalte8886</t>
  </si>
  <si>
    <t>Spalte8887</t>
  </si>
  <si>
    <t>Spalte8888</t>
  </si>
  <si>
    <t>Spalte8889</t>
  </si>
  <si>
    <t>Spalte8890</t>
  </si>
  <si>
    <t>Spalte8891</t>
  </si>
  <si>
    <t>Spalte8892</t>
  </si>
  <si>
    <t>Spalte8893</t>
  </si>
  <si>
    <t>Spalte8894</t>
  </si>
  <si>
    <t>Spalte8895</t>
  </si>
  <si>
    <t>Spalte8896</t>
  </si>
  <si>
    <t>Spalte8897</t>
  </si>
  <si>
    <t>Spalte8898</t>
  </si>
  <si>
    <t>Spalte8899</t>
  </si>
  <si>
    <t>Spalte8900</t>
  </si>
  <si>
    <t>Spalte8901</t>
  </si>
  <si>
    <t>Spalte8902</t>
  </si>
  <si>
    <t>Spalte8903</t>
  </si>
  <si>
    <t>Spalte8904</t>
  </si>
  <si>
    <t>Spalte8905</t>
  </si>
  <si>
    <t>Spalte8906</t>
  </si>
  <si>
    <t>Spalte8907</t>
  </si>
  <si>
    <t>Spalte8908</t>
  </si>
  <si>
    <t>Spalte8909</t>
  </si>
  <si>
    <t>Spalte8910</t>
  </si>
  <si>
    <t>Spalte8911</t>
  </si>
  <si>
    <t>Spalte8912</t>
  </si>
  <si>
    <t>Spalte8913</t>
  </si>
  <si>
    <t>Spalte8914</t>
  </si>
  <si>
    <t>Spalte8915</t>
  </si>
  <si>
    <t>Spalte8916</t>
  </si>
  <si>
    <t>Spalte8917</t>
  </si>
  <si>
    <t>Spalte8918</t>
  </si>
  <si>
    <t>Spalte8919</t>
  </si>
  <si>
    <t>Spalte8920</t>
  </si>
  <si>
    <t>Spalte8921</t>
  </si>
  <si>
    <t>Spalte8922</t>
  </si>
  <si>
    <t>Spalte8923</t>
  </si>
  <si>
    <t>Spalte8924</t>
  </si>
  <si>
    <t>Spalte8925</t>
  </si>
  <si>
    <t>Spalte8926</t>
  </si>
  <si>
    <t>Spalte8927</t>
  </si>
  <si>
    <t>Spalte8928</t>
  </si>
  <si>
    <t>Spalte8929</t>
  </si>
  <si>
    <t>Spalte8930</t>
  </si>
  <si>
    <t>Spalte8931</t>
  </si>
  <si>
    <t>Spalte8932</t>
  </si>
  <si>
    <t>Spalte8933</t>
  </si>
  <si>
    <t>Spalte8934</t>
  </si>
  <si>
    <t>Spalte8935</t>
  </si>
  <si>
    <t>Spalte8936</t>
  </si>
  <si>
    <t>Spalte8937</t>
  </si>
  <si>
    <t>Spalte8938</t>
  </si>
  <si>
    <t>Spalte8939</t>
  </si>
  <si>
    <t>Spalte8940</t>
  </si>
  <si>
    <t>Spalte8941</t>
  </si>
  <si>
    <t>Spalte8942</t>
  </si>
  <si>
    <t>Spalte8943</t>
  </si>
  <si>
    <t>Spalte8944</t>
  </si>
  <si>
    <t>Spalte8945</t>
  </si>
  <si>
    <t>Spalte8946</t>
  </si>
  <si>
    <t>Spalte8947</t>
  </si>
  <si>
    <t>Spalte8948</t>
  </si>
  <si>
    <t>Spalte8949</t>
  </si>
  <si>
    <t>Spalte8950</t>
  </si>
  <si>
    <t>Spalte8951</t>
  </si>
  <si>
    <t>Spalte8952</t>
  </si>
  <si>
    <t>Spalte8953</t>
  </si>
  <si>
    <t>Spalte8954</t>
  </si>
  <si>
    <t>Spalte8955</t>
  </si>
  <si>
    <t>Spalte8956</t>
  </si>
  <si>
    <t>Spalte8957</t>
  </si>
  <si>
    <t>Spalte8958</t>
  </si>
  <si>
    <t>Spalte8959</t>
  </si>
  <si>
    <t>Spalte8960</t>
  </si>
  <si>
    <t>Spalte8961</t>
  </si>
  <si>
    <t>Spalte8962</t>
  </si>
  <si>
    <t>Spalte8963</t>
  </si>
  <si>
    <t>Spalte8964</t>
  </si>
  <si>
    <t>Spalte8965</t>
  </si>
  <si>
    <t>Spalte8966</t>
  </si>
  <si>
    <t>Spalte8967</t>
  </si>
  <si>
    <t>Spalte8968</t>
  </si>
  <si>
    <t>Spalte8969</t>
  </si>
  <si>
    <t>Spalte8970</t>
  </si>
  <si>
    <t>Spalte8971</t>
  </si>
  <si>
    <t>Spalte8972</t>
  </si>
  <si>
    <t>Spalte8973</t>
  </si>
  <si>
    <t>Spalte8974</t>
  </si>
  <si>
    <t>Spalte8975</t>
  </si>
  <si>
    <t>Spalte8976</t>
  </si>
  <si>
    <t>Spalte8977</t>
  </si>
  <si>
    <t>Spalte8978</t>
  </si>
  <si>
    <t>Spalte8979</t>
  </si>
  <si>
    <t>Spalte8980</t>
  </si>
  <si>
    <t>Spalte8981</t>
  </si>
  <si>
    <t>Spalte8982</t>
  </si>
  <si>
    <t>Spalte8983</t>
  </si>
  <si>
    <t>Spalte8984</t>
  </si>
  <si>
    <t>Spalte8985</t>
  </si>
  <si>
    <t>Spalte8986</t>
  </si>
  <si>
    <t>Spalte8987</t>
  </si>
  <si>
    <t>Spalte8988</t>
  </si>
  <si>
    <t>Spalte8989</t>
  </si>
  <si>
    <t>Spalte8990</t>
  </si>
  <si>
    <t>Spalte8991</t>
  </si>
  <si>
    <t>Spalte8992</t>
  </si>
  <si>
    <t>Spalte8993</t>
  </si>
  <si>
    <t>Spalte8994</t>
  </si>
  <si>
    <t>Spalte8995</t>
  </si>
  <si>
    <t>Spalte8996</t>
  </si>
  <si>
    <t>Spalte8997</t>
  </si>
  <si>
    <t>Spalte8998</t>
  </si>
  <si>
    <t>Spalte8999</t>
  </si>
  <si>
    <t>Spalte9000</t>
  </si>
  <si>
    <t>Spalte9001</t>
  </si>
  <si>
    <t>Spalte9002</t>
  </si>
  <si>
    <t>Spalte9003</t>
  </si>
  <si>
    <t>Spalte9004</t>
  </si>
  <si>
    <t>Spalte9005</t>
  </si>
  <si>
    <t>Spalte9006</t>
  </si>
  <si>
    <t>Spalte9007</t>
  </si>
  <si>
    <t>Spalte9008</t>
  </si>
  <si>
    <t>Spalte9009</t>
  </si>
  <si>
    <t>Spalte9010</t>
  </si>
  <si>
    <t>Spalte9011</t>
  </si>
  <si>
    <t>Spalte9012</t>
  </si>
  <si>
    <t>Spalte9013</t>
  </si>
  <si>
    <t>Spalte9014</t>
  </si>
  <si>
    <t>Spalte9015</t>
  </si>
  <si>
    <t>Spalte9016</t>
  </si>
  <si>
    <t>Spalte9017</t>
  </si>
  <si>
    <t>Spalte9018</t>
  </si>
  <si>
    <t>Spalte9019</t>
  </si>
  <si>
    <t>Spalte9020</t>
  </si>
  <si>
    <t>Spalte9021</t>
  </si>
  <si>
    <t>Spalte9022</t>
  </si>
  <si>
    <t>Spalte9023</t>
  </si>
  <si>
    <t>Spalte9024</t>
  </si>
  <si>
    <t>Spalte9025</t>
  </si>
  <si>
    <t>Spalte9026</t>
  </si>
  <si>
    <t>Spalte9027</t>
  </si>
  <si>
    <t>Spalte9028</t>
  </si>
  <si>
    <t>Spalte9029</t>
  </si>
  <si>
    <t>Spalte9030</t>
  </si>
  <si>
    <t>Spalte9031</t>
  </si>
  <si>
    <t>Spalte9032</t>
  </si>
  <si>
    <t>Spalte9033</t>
  </si>
  <si>
    <t>Spalte9034</t>
  </si>
  <si>
    <t>Spalte9035</t>
  </si>
  <si>
    <t>Spalte9036</t>
  </si>
  <si>
    <t>Spalte9037</t>
  </si>
  <si>
    <t>Spalte9038</t>
  </si>
  <si>
    <t>Spalte9039</t>
  </si>
  <si>
    <t>Spalte9040</t>
  </si>
  <si>
    <t>Spalte9041</t>
  </si>
  <si>
    <t>Spalte9042</t>
  </si>
  <si>
    <t>Spalte9043</t>
  </si>
  <si>
    <t>Spalte9044</t>
  </si>
  <si>
    <t>Spalte9045</t>
  </si>
  <si>
    <t>Spalte9046</t>
  </si>
  <si>
    <t>Spalte9047</t>
  </si>
  <si>
    <t>Spalte9048</t>
  </si>
  <si>
    <t>Spalte9049</t>
  </si>
  <si>
    <t>Spalte9050</t>
  </si>
  <si>
    <t>Spalte9051</t>
  </si>
  <si>
    <t>Spalte9052</t>
  </si>
  <si>
    <t>Spalte9053</t>
  </si>
  <si>
    <t>Spalte9054</t>
  </si>
  <si>
    <t>Spalte9055</t>
  </si>
  <si>
    <t>Spalte9056</t>
  </si>
  <si>
    <t>Spalte9057</t>
  </si>
  <si>
    <t>Spalte9058</t>
  </si>
  <si>
    <t>Spalte9059</t>
  </si>
  <si>
    <t>Spalte9060</t>
  </si>
  <si>
    <t>Spalte9061</t>
  </si>
  <si>
    <t>Spalte9062</t>
  </si>
  <si>
    <t>Spalte9063</t>
  </si>
  <si>
    <t>Spalte9064</t>
  </si>
  <si>
    <t>Spalte9065</t>
  </si>
  <si>
    <t>Spalte9066</t>
  </si>
  <si>
    <t>Spalte9067</t>
  </si>
  <si>
    <t>Spalte9068</t>
  </si>
  <si>
    <t>Spalte9069</t>
  </si>
  <si>
    <t>Spalte9070</t>
  </si>
  <si>
    <t>Spalte9071</t>
  </si>
  <si>
    <t>Spalte9072</t>
  </si>
  <si>
    <t>Spalte9073</t>
  </si>
  <si>
    <t>Spalte9074</t>
  </si>
  <si>
    <t>Spalte9075</t>
  </si>
  <si>
    <t>Spalte9076</t>
  </si>
  <si>
    <t>Spalte9077</t>
  </si>
  <si>
    <t>Spalte9078</t>
  </si>
  <si>
    <t>Spalte9079</t>
  </si>
  <si>
    <t>Spalte9080</t>
  </si>
  <si>
    <t>Spalte9081</t>
  </si>
  <si>
    <t>Spalte9082</t>
  </si>
  <si>
    <t>Spalte9083</t>
  </si>
  <si>
    <t>Spalte9084</t>
  </si>
  <si>
    <t>Spalte9085</t>
  </si>
  <si>
    <t>Spalte9086</t>
  </si>
  <si>
    <t>Spalte9087</t>
  </si>
  <si>
    <t>Spalte9088</t>
  </si>
  <si>
    <t>Spalte9089</t>
  </si>
  <si>
    <t>Spalte9090</t>
  </si>
  <si>
    <t>Spalte9091</t>
  </si>
  <si>
    <t>Spalte9092</t>
  </si>
  <si>
    <t>Spalte9093</t>
  </si>
  <si>
    <t>Spalte9094</t>
  </si>
  <si>
    <t>Spalte9095</t>
  </si>
  <si>
    <t>Spalte9096</t>
  </si>
  <si>
    <t>Spalte9097</t>
  </si>
  <si>
    <t>Spalte9098</t>
  </si>
  <si>
    <t>Spalte9099</t>
  </si>
  <si>
    <t>Spalte9100</t>
  </si>
  <si>
    <t>Spalte9101</t>
  </si>
  <si>
    <t>Spalte9102</t>
  </si>
  <si>
    <t>Spalte9103</t>
  </si>
  <si>
    <t>Spalte9104</t>
  </si>
  <si>
    <t>Spalte9105</t>
  </si>
  <si>
    <t>Spalte9106</t>
  </si>
  <si>
    <t>Spalte9107</t>
  </si>
  <si>
    <t>Spalte9108</t>
  </si>
  <si>
    <t>Spalte9109</t>
  </si>
  <si>
    <t>Spalte9110</t>
  </si>
  <si>
    <t>Spalte9111</t>
  </si>
  <si>
    <t>Spalte9112</t>
  </si>
  <si>
    <t>Spalte9113</t>
  </si>
  <si>
    <t>Spalte9114</t>
  </si>
  <si>
    <t>Spalte9115</t>
  </si>
  <si>
    <t>Spalte9116</t>
  </si>
  <si>
    <t>Spalte9117</t>
  </si>
  <si>
    <t>Spalte9118</t>
  </si>
  <si>
    <t>Spalte9119</t>
  </si>
  <si>
    <t>Spalte9120</t>
  </si>
  <si>
    <t>Spalte9121</t>
  </si>
  <si>
    <t>Spalte9122</t>
  </si>
  <si>
    <t>Spalte9123</t>
  </si>
  <si>
    <t>Spalte9124</t>
  </si>
  <si>
    <t>Spalte9125</t>
  </si>
  <si>
    <t>Spalte9126</t>
  </si>
  <si>
    <t>Spalte9127</t>
  </si>
  <si>
    <t>Spalte9128</t>
  </si>
  <si>
    <t>Spalte9129</t>
  </si>
  <si>
    <t>Spalte9130</t>
  </si>
  <si>
    <t>Spalte9131</t>
  </si>
  <si>
    <t>Spalte9132</t>
  </si>
  <si>
    <t>Spalte9133</t>
  </si>
  <si>
    <t>Spalte9134</t>
  </si>
  <si>
    <t>Spalte9135</t>
  </si>
  <si>
    <t>Spalte9136</t>
  </si>
  <si>
    <t>Spalte9137</t>
  </si>
  <si>
    <t>Spalte9138</t>
  </si>
  <si>
    <t>Spalte9139</t>
  </si>
  <si>
    <t>Spalte9140</t>
  </si>
  <si>
    <t>Spalte9141</t>
  </si>
  <si>
    <t>Spalte9142</t>
  </si>
  <si>
    <t>Spalte9143</t>
  </si>
  <si>
    <t>Spalte9144</t>
  </si>
  <si>
    <t>Spalte9145</t>
  </si>
  <si>
    <t>Spalte9146</t>
  </si>
  <si>
    <t>Spalte9147</t>
  </si>
  <si>
    <t>Spalte9148</t>
  </si>
  <si>
    <t>Spalte9149</t>
  </si>
  <si>
    <t>Spalte9150</t>
  </si>
  <si>
    <t>Spalte9151</t>
  </si>
  <si>
    <t>Spalte9152</t>
  </si>
  <si>
    <t>Spalte9153</t>
  </si>
  <si>
    <t>Spalte9154</t>
  </si>
  <si>
    <t>Spalte9155</t>
  </si>
  <si>
    <t>Spalte9156</t>
  </si>
  <si>
    <t>Spalte9157</t>
  </si>
  <si>
    <t>Spalte9158</t>
  </si>
  <si>
    <t>Spalte9159</t>
  </si>
  <si>
    <t>Spalte9160</t>
  </si>
  <si>
    <t>Spalte9161</t>
  </si>
  <si>
    <t>Spalte9162</t>
  </si>
  <si>
    <t>Spalte9163</t>
  </si>
  <si>
    <t>Spalte9164</t>
  </si>
  <si>
    <t>Spalte9165</t>
  </si>
  <si>
    <t>Spalte9166</t>
  </si>
  <si>
    <t>Spalte9167</t>
  </si>
  <si>
    <t>Spalte9168</t>
  </si>
  <si>
    <t>Spalte9169</t>
  </si>
  <si>
    <t>Spalte9170</t>
  </si>
  <si>
    <t>Spalte9171</t>
  </si>
  <si>
    <t>Spalte9172</t>
  </si>
  <si>
    <t>Spalte9173</t>
  </si>
  <si>
    <t>Spalte9174</t>
  </si>
  <si>
    <t>Spalte9175</t>
  </si>
  <si>
    <t>Spalte9176</t>
  </si>
  <si>
    <t>Spalte9177</t>
  </si>
  <si>
    <t>Spalte9178</t>
  </si>
  <si>
    <t>Spalte9179</t>
  </si>
  <si>
    <t>Spalte9180</t>
  </si>
  <si>
    <t>Spalte9181</t>
  </si>
  <si>
    <t>Spalte9182</t>
  </si>
  <si>
    <t>Spalte9183</t>
  </si>
  <si>
    <t>Spalte9184</t>
  </si>
  <si>
    <t>Spalte9185</t>
  </si>
  <si>
    <t>Spalte9186</t>
  </si>
  <si>
    <t>Spalte9187</t>
  </si>
  <si>
    <t>Spalte9188</t>
  </si>
  <si>
    <t>Spalte9189</t>
  </si>
  <si>
    <t>Spalte9190</t>
  </si>
  <si>
    <t>Spalte9191</t>
  </si>
  <si>
    <t>Spalte9192</t>
  </si>
  <si>
    <t>Spalte9193</t>
  </si>
  <si>
    <t>Spalte9194</t>
  </si>
  <si>
    <t>Spalte9195</t>
  </si>
  <si>
    <t>Spalte9196</t>
  </si>
  <si>
    <t>Spalte9197</t>
  </si>
  <si>
    <t>Spalte9198</t>
  </si>
  <si>
    <t>Spalte9199</t>
  </si>
  <si>
    <t>Spalte9200</t>
  </si>
  <si>
    <t>Spalte9201</t>
  </si>
  <si>
    <t>Spalte9202</t>
  </si>
  <si>
    <t>Spalte9203</t>
  </si>
  <si>
    <t>Spalte9204</t>
  </si>
  <si>
    <t>Spalte9205</t>
  </si>
  <si>
    <t>Spalte9206</t>
  </si>
  <si>
    <t>Spalte9207</t>
  </si>
  <si>
    <t>Spalte9208</t>
  </si>
  <si>
    <t>Spalte9209</t>
  </si>
  <si>
    <t>Spalte9210</t>
  </si>
  <si>
    <t>Spalte9211</t>
  </si>
  <si>
    <t>Spalte9212</t>
  </si>
  <si>
    <t>Spalte9213</t>
  </si>
  <si>
    <t>Spalte9214</t>
  </si>
  <si>
    <t>Spalte9215</t>
  </si>
  <si>
    <t>Spalte9216</t>
  </si>
  <si>
    <t>Spalte9217</t>
  </si>
  <si>
    <t>Spalte9218</t>
  </si>
  <si>
    <t>Spalte9219</t>
  </si>
  <si>
    <t>Spalte9220</t>
  </si>
  <si>
    <t>Spalte9221</t>
  </si>
  <si>
    <t>Spalte9222</t>
  </si>
  <si>
    <t>Spalte9223</t>
  </si>
  <si>
    <t>Spalte9224</t>
  </si>
  <si>
    <t>Spalte9225</t>
  </si>
  <si>
    <t>Spalte9226</t>
  </si>
  <si>
    <t>Spalte9227</t>
  </si>
  <si>
    <t>Spalte9228</t>
  </si>
  <si>
    <t>Spalte9229</t>
  </si>
  <si>
    <t>Spalte9230</t>
  </si>
  <si>
    <t>Spalte9231</t>
  </si>
  <si>
    <t>Spalte9232</t>
  </si>
  <si>
    <t>Spalte9233</t>
  </si>
  <si>
    <t>Spalte9234</t>
  </si>
  <si>
    <t>Spalte9235</t>
  </si>
  <si>
    <t>Spalte9236</t>
  </si>
  <si>
    <t>Spalte9237</t>
  </si>
  <si>
    <t>Spalte9238</t>
  </si>
  <si>
    <t>Spalte9239</t>
  </si>
  <si>
    <t>Spalte9240</t>
  </si>
  <si>
    <t>Spalte9241</t>
  </si>
  <si>
    <t>Spalte9242</t>
  </si>
  <si>
    <t>Spalte9243</t>
  </si>
  <si>
    <t>Spalte9244</t>
  </si>
  <si>
    <t>Spalte9245</t>
  </si>
  <si>
    <t>Spalte9246</t>
  </si>
  <si>
    <t>Spalte9247</t>
  </si>
  <si>
    <t>Spalte9248</t>
  </si>
  <si>
    <t>Spalte9249</t>
  </si>
  <si>
    <t>Spalte9250</t>
  </si>
  <si>
    <t>Spalte9251</t>
  </si>
  <si>
    <t>Spalte9252</t>
  </si>
  <si>
    <t>Spalte9253</t>
  </si>
  <si>
    <t>Spalte9254</t>
  </si>
  <si>
    <t>Spalte9255</t>
  </si>
  <si>
    <t>Spalte9256</t>
  </si>
  <si>
    <t>Spalte9257</t>
  </si>
  <si>
    <t>Spalte9258</t>
  </si>
  <si>
    <t>Spalte9259</t>
  </si>
  <si>
    <t>Spalte9260</t>
  </si>
  <si>
    <t>Spalte9261</t>
  </si>
  <si>
    <t>Spalte9262</t>
  </si>
  <si>
    <t>Spalte9263</t>
  </si>
  <si>
    <t>Spalte9264</t>
  </si>
  <si>
    <t>Spalte9265</t>
  </si>
  <si>
    <t>Spalte9266</t>
  </si>
  <si>
    <t>Spalte9267</t>
  </si>
  <si>
    <t>Spalte9268</t>
  </si>
  <si>
    <t>Spalte9269</t>
  </si>
  <si>
    <t>Spalte9270</t>
  </si>
  <si>
    <t>Spalte9271</t>
  </si>
  <si>
    <t>Spalte9272</t>
  </si>
  <si>
    <t>Spalte9273</t>
  </si>
  <si>
    <t>Spalte9274</t>
  </si>
  <si>
    <t>Spalte9275</t>
  </si>
  <si>
    <t>Spalte9276</t>
  </si>
  <si>
    <t>Spalte9277</t>
  </si>
  <si>
    <t>Spalte9278</t>
  </si>
  <si>
    <t>Spalte9279</t>
  </si>
  <si>
    <t>Spalte9280</t>
  </si>
  <si>
    <t>Spalte9281</t>
  </si>
  <si>
    <t>Spalte9282</t>
  </si>
  <si>
    <t>Spalte9283</t>
  </si>
  <si>
    <t>Spalte9284</t>
  </si>
  <si>
    <t>Spalte9285</t>
  </si>
  <si>
    <t>Spalte9286</t>
  </si>
  <si>
    <t>Spalte9287</t>
  </si>
  <si>
    <t>Spalte9288</t>
  </si>
  <si>
    <t>Spalte9289</t>
  </si>
  <si>
    <t>Spalte9290</t>
  </si>
  <si>
    <t>Spalte9291</t>
  </si>
  <si>
    <t>Spalte9292</t>
  </si>
  <si>
    <t>Spalte9293</t>
  </si>
  <si>
    <t>Spalte9294</t>
  </si>
  <si>
    <t>Spalte9295</t>
  </si>
  <si>
    <t>Spalte9296</t>
  </si>
  <si>
    <t>Spalte9297</t>
  </si>
  <si>
    <t>Spalte9298</t>
  </si>
  <si>
    <t>Spalte9299</t>
  </si>
  <si>
    <t>Spalte9300</t>
  </si>
  <si>
    <t>Spalte9301</t>
  </si>
  <si>
    <t>Spalte9302</t>
  </si>
  <si>
    <t>Spalte9303</t>
  </si>
  <si>
    <t>Spalte9304</t>
  </si>
  <si>
    <t>Spalte9305</t>
  </si>
  <si>
    <t>Spalte9306</t>
  </si>
  <si>
    <t>Spalte9307</t>
  </si>
  <si>
    <t>Spalte9308</t>
  </si>
  <si>
    <t>Spalte9309</t>
  </si>
  <si>
    <t>Spalte9310</t>
  </si>
  <si>
    <t>Spalte9311</t>
  </si>
  <si>
    <t>Spalte9312</t>
  </si>
  <si>
    <t>Spalte9313</t>
  </si>
  <si>
    <t>Spalte9314</t>
  </si>
  <si>
    <t>Spalte9315</t>
  </si>
  <si>
    <t>Spalte9316</t>
  </si>
  <si>
    <t>Spalte9317</t>
  </si>
  <si>
    <t>Spalte9318</t>
  </si>
  <si>
    <t>Spalte9319</t>
  </si>
  <si>
    <t>Spalte9320</t>
  </si>
  <si>
    <t>Spalte9321</t>
  </si>
  <si>
    <t>Spalte9322</t>
  </si>
  <si>
    <t>Spalte9323</t>
  </si>
  <si>
    <t>Spalte9324</t>
  </si>
  <si>
    <t>Spalte9325</t>
  </si>
  <si>
    <t>Spalte9326</t>
  </si>
  <si>
    <t>Spalte9327</t>
  </si>
  <si>
    <t>Spalte9328</t>
  </si>
  <si>
    <t>Spalte9329</t>
  </si>
  <si>
    <t>Spalte9330</t>
  </si>
  <si>
    <t>Spalte9331</t>
  </si>
  <si>
    <t>Spalte9332</t>
  </si>
  <si>
    <t>Spalte9333</t>
  </si>
  <si>
    <t>Spalte9334</t>
  </si>
  <si>
    <t>Spalte9335</t>
  </si>
  <si>
    <t>Spalte9336</t>
  </si>
  <si>
    <t>Spalte9337</t>
  </si>
  <si>
    <t>Spalte9338</t>
  </si>
  <si>
    <t>Spalte9339</t>
  </si>
  <si>
    <t>Spalte9340</t>
  </si>
  <si>
    <t>Spalte9341</t>
  </si>
  <si>
    <t>Spalte9342</t>
  </si>
  <si>
    <t>Spalte9343</t>
  </si>
  <si>
    <t>Spalte9344</t>
  </si>
  <si>
    <t>Spalte9345</t>
  </si>
  <si>
    <t>Spalte9346</t>
  </si>
  <si>
    <t>Spalte9347</t>
  </si>
  <si>
    <t>Spalte9348</t>
  </si>
  <si>
    <t>Spalte9349</t>
  </si>
  <si>
    <t>Spalte9350</t>
  </si>
  <si>
    <t>Spalte9351</t>
  </si>
  <si>
    <t>Spalte9352</t>
  </si>
  <si>
    <t>Spalte9353</t>
  </si>
  <si>
    <t>Spalte9354</t>
  </si>
  <si>
    <t>Spalte9355</t>
  </si>
  <si>
    <t>Spalte9356</t>
  </si>
  <si>
    <t>Spalte9357</t>
  </si>
  <si>
    <t>Spalte9358</t>
  </si>
  <si>
    <t>Spalte9359</t>
  </si>
  <si>
    <t>Spalte9360</t>
  </si>
  <si>
    <t>Spalte9361</t>
  </si>
  <si>
    <t>Spalte9362</t>
  </si>
  <si>
    <t>Spalte9363</t>
  </si>
  <si>
    <t>Spalte9364</t>
  </si>
  <si>
    <t>Spalte9365</t>
  </si>
  <si>
    <t>Spalte9366</t>
  </si>
  <si>
    <t>Spalte9367</t>
  </si>
  <si>
    <t>Spalte9368</t>
  </si>
  <si>
    <t>Spalte9369</t>
  </si>
  <si>
    <t>Spalte9370</t>
  </si>
  <si>
    <t>Spalte9371</t>
  </si>
  <si>
    <t>Spalte9372</t>
  </si>
  <si>
    <t>Spalte9373</t>
  </si>
  <si>
    <t>Spalte9374</t>
  </si>
  <si>
    <t>Spalte9375</t>
  </si>
  <si>
    <t>Spalte9376</t>
  </si>
  <si>
    <t>Spalte9377</t>
  </si>
  <si>
    <t>Spalte9378</t>
  </si>
  <si>
    <t>Spalte9379</t>
  </si>
  <si>
    <t>Spalte9380</t>
  </si>
  <si>
    <t>Spalte9381</t>
  </si>
  <si>
    <t>Spalte9382</t>
  </si>
  <si>
    <t>Spalte9383</t>
  </si>
  <si>
    <t>Spalte9384</t>
  </si>
  <si>
    <t>Spalte9385</t>
  </si>
  <si>
    <t>Spalte9386</t>
  </si>
  <si>
    <t>Spalte9387</t>
  </si>
  <si>
    <t>Spalte9388</t>
  </si>
  <si>
    <t>Spalte9389</t>
  </si>
  <si>
    <t>Spalte9390</t>
  </si>
  <si>
    <t>Spalte9391</t>
  </si>
  <si>
    <t>Spalte9392</t>
  </si>
  <si>
    <t>Spalte9393</t>
  </si>
  <si>
    <t>Spalte9394</t>
  </si>
  <si>
    <t>Spalte9395</t>
  </si>
  <si>
    <t>Spalte9396</t>
  </si>
  <si>
    <t>Spalte9397</t>
  </si>
  <si>
    <t>Spalte9398</t>
  </si>
  <si>
    <t>Spalte9399</t>
  </si>
  <si>
    <t>Spalte9400</t>
  </si>
  <si>
    <t>Spalte9401</t>
  </si>
  <si>
    <t>Spalte9402</t>
  </si>
  <si>
    <t>Spalte9403</t>
  </si>
  <si>
    <t>Spalte9404</t>
  </si>
  <si>
    <t>Spalte9405</t>
  </si>
  <si>
    <t>Spalte9406</t>
  </si>
  <si>
    <t>Spalte9407</t>
  </si>
  <si>
    <t>Spalte9408</t>
  </si>
  <si>
    <t>Spalte9409</t>
  </si>
  <si>
    <t>Spalte9410</t>
  </si>
  <si>
    <t>Spalte9411</t>
  </si>
  <si>
    <t>Spalte9412</t>
  </si>
  <si>
    <t>Spalte9413</t>
  </si>
  <si>
    <t>Spalte9414</t>
  </si>
  <si>
    <t>Spalte9415</t>
  </si>
  <si>
    <t>Spalte9416</t>
  </si>
  <si>
    <t>Spalte9417</t>
  </si>
  <si>
    <t>Spalte9418</t>
  </si>
  <si>
    <t>Spalte9419</t>
  </si>
  <si>
    <t>Spalte9420</t>
  </si>
  <si>
    <t>Spalte9421</t>
  </si>
  <si>
    <t>Spalte9422</t>
  </si>
  <si>
    <t>Spalte9423</t>
  </si>
  <si>
    <t>Spalte9424</t>
  </si>
  <si>
    <t>Spalte9425</t>
  </si>
  <si>
    <t>Spalte9426</t>
  </si>
  <si>
    <t>Spalte9427</t>
  </si>
  <si>
    <t>Spalte9428</t>
  </si>
  <si>
    <t>Spalte9429</t>
  </si>
  <si>
    <t>Spalte9430</t>
  </si>
  <si>
    <t>Spalte9431</t>
  </si>
  <si>
    <t>Spalte9432</t>
  </si>
  <si>
    <t>Spalte9433</t>
  </si>
  <si>
    <t>Spalte9434</t>
  </si>
  <si>
    <t>Spalte9435</t>
  </si>
  <si>
    <t>Spalte9436</t>
  </si>
  <si>
    <t>Spalte9437</t>
  </si>
  <si>
    <t>Spalte9438</t>
  </si>
  <si>
    <t>Spalte9439</t>
  </si>
  <si>
    <t>Spalte9440</t>
  </si>
  <si>
    <t>Spalte9441</t>
  </si>
  <si>
    <t>Spalte9442</t>
  </si>
  <si>
    <t>Spalte9443</t>
  </si>
  <si>
    <t>Spalte9444</t>
  </si>
  <si>
    <t>Spalte9445</t>
  </si>
  <si>
    <t>Spalte9446</t>
  </si>
  <si>
    <t>Spalte9447</t>
  </si>
  <si>
    <t>Spalte9448</t>
  </si>
  <si>
    <t>Spalte9449</t>
  </si>
  <si>
    <t>Spalte9450</t>
  </si>
  <si>
    <t>Spalte9451</t>
  </si>
  <si>
    <t>Spalte9452</t>
  </si>
  <si>
    <t>Spalte9453</t>
  </si>
  <si>
    <t>Spalte9454</t>
  </si>
  <si>
    <t>Spalte9455</t>
  </si>
  <si>
    <t>Spalte9456</t>
  </si>
  <si>
    <t>Spalte9457</t>
  </si>
  <si>
    <t>Spalte9458</t>
  </si>
  <si>
    <t>Spalte9459</t>
  </si>
  <si>
    <t>Spalte9460</t>
  </si>
  <si>
    <t>Spalte9461</t>
  </si>
  <si>
    <t>Spalte9462</t>
  </si>
  <si>
    <t>Spalte9463</t>
  </si>
  <si>
    <t>Spalte9464</t>
  </si>
  <si>
    <t>Spalte9465</t>
  </si>
  <si>
    <t>Spalte9466</t>
  </si>
  <si>
    <t>Spalte9467</t>
  </si>
  <si>
    <t>Spalte9468</t>
  </si>
  <si>
    <t>Spalte9469</t>
  </si>
  <si>
    <t>Spalte9470</t>
  </si>
  <si>
    <t>Spalte9471</t>
  </si>
  <si>
    <t>Spalte9472</t>
  </si>
  <si>
    <t>Spalte9473</t>
  </si>
  <si>
    <t>Spalte9474</t>
  </si>
  <si>
    <t>Spalte9475</t>
  </si>
  <si>
    <t>Spalte9476</t>
  </si>
  <si>
    <t>Spalte9477</t>
  </si>
  <si>
    <t>Spalte9478</t>
  </si>
  <si>
    <t>Spalte9479</t>
  </si>
  <si>
    <t>Spalte9480</t>
  </si>
  <si>
    <t>Spalte9481</t>
  </si>
  <si>
    <t>Spalte9482</t>
  </si>
  <si>
    <t>Spalte9483</t>
  </si>
  <si>
    <t>Spalte9484</t>
  </si>
  <si>
    <t>Spalte9485</t>
  </si>
  <si>
    <t>Spalte9486</t>
  </si>
  <si>
    <t>Spalte9487</t>
  </si>
  <si>
    <t>Spalte9488</t>
  </si>
  <si>
    <t>Spalte9489</t>
  </si>
  <si>
    <t>Spalte9490</t>
  </si>
  <si>
    <t>Spalte9491</t>
  </si>
  <si>
    <t>Spalte9492</t>
  </si>
  <si>
    <t>Spalte9493</t>
  </si>
  <si>
    <t>Spalte9494</t>
  </si>
  <si>
    <t>Spalte9495</t>
  </si>
  <si>
    <t>Spalte9496</t>
  </si>
  <si>
    <t>Spalte9497</t>
  </si>
  <si>
    <t>Spalte9498</t>
  </si>
  <si>
    <t>Spalte9499</t>
  </si>
  <si>
    <t>Spalte9500</t>
  </si>
  <si>
    <t>Spalte9501</t>
  </si>
  <si>
    <t>Spalte9502</t>
  </si>
  <si>
    <t>Spalte9503</t>
  </si>
  <si>
    <t>Spalte9504</t>
  </si>
  <si>
    <t>Spalte9505</t>
  </si>
  <si>
    <t>Spalte9506</t>
  </si>
  <si>
    <t>Spalte9507</t>
  </si>
  <si>
    <t>Spalte9508</t>
  </si>
  <si>
    <t>Spalte9509</t>
  </si>
  <si>
    <t>Spalte9510</t>
  </si>
  <si>
    <t>Spalte9511</t>
  </si>
  <si>
    <t>Spalte9512</t>
  </si>
  <si>
    <t>Spalte9513</t>
  </si>
  <si>
    <t>Spalte9514</t>
  </si>
  <si>
    <t>Spalte9515</t>
  </si>
  <si>
    <t>Spalte9516</t>
  </si>
  <si>
    <t>Spalte9517</t>
  </si>
  <si>
    <t>Spalte9518</t>
  </si>
  <si>
    <t>Spalte9519</t>
  </si>
  <si>
    <t>Spalte9520</t>
  </si>
  <si>
    <t>Spalte9521</t>
  </si>
  <si>
    <t>Spalte9522</t>
  </si>
  <si>
    <t>Spalte9523</t>
  </si>
  <si>
    <t>Spalte9524</t>
  </si>
  <si>
    <t>Spalte9525</t>
  </si>
  <si>
    <t>Spalte9526</t>
  </si>
  <si>
    <t>Spalte9527</t>
  </si>
  <si>
    <t>Spalte9528</t>
  </si>
  <si>
    <t>Spalte9529</t>
  </si>
  <si>
    <t>Spalte9530</t>
  </si>
  <si>
    <t>Spalte9531</t>
  </si>
  <si>
    <t>Spalte9532</t>
  </si>
  <si>
    <t>Spalte9533</t>
  </si>
  <si>
    <t>Spalte9534</t>
  </si>
  <si>
    <t>Spalte9535</t>
  </si>
  <si>
    <t>Spalte9536</t>
  </si>
  <si>
    <t>Spalte9537</t>
  </si>
  <si>
    <t>Spalte9538</t>
  </si>
  <si>
    <t>Spalte9539</t>
  </si>
  <si>
    <t>Spalte9540</t>
  </si>
  <si>
    <t>Spalte9541</t>
  </si>
  <si>
    <t>Spalte9542</t>
  </si>
  <si>
    <t>Spalte9543</t>
  </si>
  <si>
    <t>Spalte9544</t>
  </si>
  <si>
    <t>Spalte9545</t>
  </si>
  <si>
    <t>Spalte9546</t>
  </si>
  <si>
    <t>Spalte9547</t>
  </si>
  <si>
    <t>Spalte9548</t>
  </si>
  <si>
    <t>Spalte9549</t>
  </si>
  <si>
    <t>Spalte9550</t>
  </si>
  <si>
    <t>Spalte9551</t>
  </si>
  <si>
    <t>Spalte9552</t>
  </si>
  <si>
    <t>Spalte9553</t>
  </si>
  <si>
    <t>Spalte9554</t>
  </si>
  <si>
    <t>Spalte9555</t>
  </si>
  <si>
    <t>Spalte9556</t>
  </si>
  <si>
    <t>Spalte9557</t>
  </si>
  <si>
    <t>Spalte9558</t>
  </si>
  <si>
    <t>Spalte9559</t>
  </si>
  <si>
    <t>Spalte9560</t>
  </si>
  <si>
    <t>Spalte9561</t>
  </si>
  <si>
    <t>Spalte9562</t>
  </si>
  <si>
    <t>Spalte9563</t>
  </si>
  <si>
    <t>Spalte9564</t>
  </si>
  <si>
    <t>Spalte9565</t>
  </si>
  <si>
    <t>Spalte9566</t>
  </si>
  <si>
    <t>Spalte9567</t>
  </si>
  <si>
    <t>Spalte9568</t>
  </si>
  <si>
    <t>Spalte9569</t>
  </si>
  <si>
    <t>Spalte9570</t>
  </si>
  <si>
    <t>Spalte9571</t>
  </si>
  <si>
    <t>Spalte9572</t>
  </si>
  <si>
    <t>Spalte9573</t>
  </si>
  <si>
    <t>Spalte9574</t>
  </si>
  <si>
    <t>Spalte9575</t>
  </si>
  <si>
    <t>Spalte9576</t>
  </si>
  <si>
    <t>Spalte9577</t>
  </si>
  <si>
    <t>Spalte9578</t>
  </si>
  <si>
    <t>Spalte9579</t>
  </si>
  <si>
    <t>Spalte9580</t>
  </si>
  <si>
    <t>Spalte9581</t>
  </si>
  <si>
    <t>Spalte9582</t>
  </si>
  <si>
    <t>Spalte9583</t>
  </si>
  <si>
    <t>Spalte9584</t>
  </si>
  <si>
    <t>Spalte9585</t>
  </si>
  <si>
    <t>Spalte9586</t>
  </si>
  <si>
    <t>Spalte9587</t>
  </si>
  <si>
    <t>Spalte9588</t>
  </si>
  <si>
    <t>Spalte9589</t>
  </si>
  <si>
    <t>Spalte9590</t>
  </si>
  <si>
    <t>Spalte9591</t>
  </si>
  <si>
    <t>Spalte9592</t>
  </si>
  <si>
    <t>Spalte9593</t>
  </si>
  <si>
    <t>Spalte9594</t>
  </si>
  <si>
    <t>Spalte9595</t>
  </si>
  <si>
    <t>Spalte9596</t>
  </si>
  <si>
    <t>Spalte9597</t>
  </si>
  <si>
    <t>Spalte9598</t>
  </si>
  <si>
    <t>Spalte9599</t>
  </si>
  <si>
    <t>Spalte9600</t>
  </si>
  <si>
    <t>Spalte9601</t>
  </si>
  <si>
    <t>Spalte9602</t>
  </si>
  <si>
    <t>Spalte9603</t>
  </si>
  <si>
    <t>Spalte9604</t>
  </si>
  <si>
    <t>Spalte9605</t>
  </si>
  <si>
    <t>Spalte9606</t>
  </si>
  <si>
    <t>Spalte9607</t>
  </si>
  <si>
    <t>Spalte9608</t>
  </si>
  <si>
    <t>Spalte9609</t>
  </si>
  <si>
    <t>Spalte9610</t>
  </si>
  <si>
    <t>Spalte9611</t>
  </si>
  <si>
    <t>Spalte9612</t>
  </si>
  <si>
    <t>Spalte9613</t>
  </si>
  <si>
    <t>Spalte9614</t>
  </si>
  <si>
    <t>Spalte9615</t>
  </si>
  <si>
    <t>Spalte9616</t>
  </si>
  <si>
    <t>Spalte9617</t>
  </si>
  <si>
    <t>Spalte9618</t>
  </si>
  <si>
    <t>Spalte9619</t>
  </si>
  <si>
    <t>Spalte9620</t>
  </si>
  <si>
    <t>Spalte9621</t>
  </si>
  <si>
    <t>Spalte9622</t>
  </si>
  <si>
    <t>Spalte9623</t>
  </si>
  <si>
    <t>Spalte9624</t>
  </si>
  <si>
    <t>Spalte9625</t>
  </si>
  <si>
    <t>Spalte9626</t>
  </si>
  <si>
    <t>Spalte9627</t>
  </si>
  <si>
    <t>Spalte9628</t>
  </si>
  <si>
    <t>Spalte9629</t>
  </si>
  <si>
    <t>Spalte9630</t>
  </si>
  <si>
    <t>Spalte9631</t>
  </si>
  <si>
    <t>Spalte9632</t>
  </si>
  <si>
    <t>Spalte9633</t>
  </si>
  <si>
    <t>Spalte9634</t>
  </si>
  <si>
    <t>Spalte9635</t>
  </si>
  <si>
    <t>Spalte9636</t>
  </si>
  <si>
    <t>Spalte9637</t>
  </si>
  <si>
    <t>Spalte9638</t>
  </si>
  <si>
    <t>Spalte9639</t>
  </si>
  <si>
    <t>Spalte9640</t>
  </si>
  <si>
    <t>Spalte9641</t>
  </si>
  <si>
    <t>Spalte9642</t>
  </si>
  <si>
    <t>Spalte9643</t>
  </si>
  <si>
    <t>Spalte9644</t>
  </si>
  <si>
    <t>Spalte9645</t>
  </si>
  <si>
    <t>Spalte9646</t>
  </si>
  <si>
    <t>Spalte9647</t>
  </si>
  <si>
    <t>Spalte9648</t>
  </si>
  <si>
    <t>Spalte9649</t>
  </si>
  <si>
    <t>Spalte9650</t>
  </si>
  <si>
    <t>Spalte9651</t>
  </si>
  <si>
    <t>Spalte9652</t>
  </si>
  <si>
    <t>Spalte9653</t>
  </si>
  <si>
    <t>Spalte9654</t>
  </si>
  <si>
    <t>Spalte9655</t>
  </si>
  <si>
    <t>Spalte9656</t>
  </si>
  <si>
    <t>Spalte9657</t>
  </si>
  <si>
    <t>Spalte9658</t>
  </si>
  <si>
    <t>Spalte9659</t>
  </si>
  <si>
    <t>Spalte9660</t>
  </si>
  <si>
    <t>Spalte9661</t>
  </si>
  <si>
    <t>Spalte9662</t>
  </si>
  <si>
    <t>Spalte9663</t>
  </si>
  <si>
    <t>Spalte9664</t>
  </si>
  <si>
    <t>Spalte9665</t>
  </si>
  <si>
    <t>Spalte9666</t>
  </si>
  <si>
    <t>Spalte9667</t>
  </si>
  <si>
    <t>Spalte9668</t>
  </si>
  <si>
    <t>Spalte9669</t>
  </si>
  <si>
    <t>Spalte9670</t>
  </si>
  <si>
    <t>Spalte9671</t>
  </si>
  <si>
    <t>Spalte9672</t>
  </si>
  <si>
    <t>Spalte9673</t>
  </si>
  <si>
    <t>Spalte9674</t>
  </si>
  <si>
    <t>Spalte9675</t>
  </si>
  <si>
    <t>Spalte9676</t>
  </si>
  <si>
    <t>Spalte9677</t>
  </si>
  <si>
    <t>Spalte9678</t>
  </si>
  <si>
    <t>Spalte9679</t>
  </si>
  <si>
    <t>Spalte9680</t>
  </si>
  <si>
    <t>Spalte9681</t>
  </si>
  <si>
    <t>Spalte9682</t>
  </si>
  <si>
    <t>Spalte9683</t>
  </si>
  <si>
    <t>Spalte9684</t>
  </si>
  <si>
    <t>Spalte9685</t>
  </si>
  <si>
    <t>Spalte9686</t>
  </si>
  <si>
    <t>Spalte9687</t>
  </si>
  <si>
    <t>Spalte9688</t>
  </si>
  <si>
    <t>Spalte9689</t>
  </si>
  <si>
    <t>Spalte9690</t>
  </si>
  <si>
    <t>Spalte9691</t>
  </si>
  <si>
    <t>Spalte9692</t>
  </si>
  <si>
    <t>Spalte9693</t>
  </si>
  <si>
    <t>Spalte9694</t>
  </si>
  <si>
    <t>Spalte9695</t>
  </si>
  <si>
    <t>Spalte9696</t>
  </si>
  <si>
    <t>Spalte9697</t>
  </si>
  <si>
    <t>Spalte9698</t>
  </si>
  <si>
    <t>Spalte9699</t>
  </si>
  <si>
    <t>Spalte9700</t>
  </si>
  <si>
    <t>Spalte9701</t>
  </si>
  <si>
    <t>Spalte9702</t>
  </si>
  <si>
    <t>Spalte9703</t>
  </si>
  <si>
    <t>Spalte9704</t>
  </si>
  <si>
    <t>Spalte9705</t>
  </si>
  <si>
    <t>Spalte9706</t>
  </si>
  <si>
    <t>Spalte9707</t>
  </si>
  <si>
    <t>Spalte9708</t>
  </si>
  <si>
    <t>Spalte9709</t>
  </si>
  <si>
    <t>Spalte9710</t>
  </si>
  <si>
    <t>Spalte9711</t>
  </si>
  <si>
    <t>Spalte9712</t>
  </si>
  <si>
    <t>Spalte9713</t>
  </si>
  <si>
    <t>Spalte9714</t>
  </si>
  <si>
    <t>Spalte9715</t>
  </si>
  <si>
    <t>Spalte9716</t>
  </si>
  <si>
    <t>Spalte9717</t>
  </si>
  <si>
    <t>Spalte9718</t>
  </si>
  <si>
    <t>Spalte9719</t>
  </si>
  <si>
    <t>Spalte9720</t>
  </si>
  <si>
    <t>Spalte9721</t>
  </si>
  <si>
    <t>Spalte9722</t>
  </si>
  <si>
    <t>Spalte9723</t>
  </si>
  <si>
    <t>Spalte9724</t>
  </si>
  <si>
    <t>Spalte9725</t>
  </si>
  <si>
    <t>Spalte9726</t>
  </si>
  <si>
    <t>Spalte9727</t>
  </si>
  <si>
    <t>Spalte9728</t>
  </si>
  <si>
    <t>Spalte9729</t>
  </si>
  <si>
    <t>Spalte9730</t>
  </si>
  <si>
    <t>Spalte9731</t>
  </si>
  <si>
    <t>Spalte9732</t>
  </si>
  <si>
    <t>Spalte9733</t>
  </si>
  <si>
    <t>Spalte9734</t>
  </si>
  <si>
    <t>Spalte9735</t>
  </si>
  <si>
    <t>Spalte9736</t>
  </si>
  <si>
    <t>Spalte9737</t>
  </si>
  <si>
    <t>Spalte9738</t>
  </si>
  <si>
    <t>Spalte9739</t>
  </si>
  <si>
    <t>Spalte9740</t>
  </si>
  <si>
    <t>Spalte9741</t>
  </si>
  <si>
    <t>Spalte9742</t>
  </si>
  <si>
    <t>Spalte9743</t>
  </si>
  <si>
    <t>Spalte9744</t>
  </si>
  <si>
    <t>Spalte9745</t>
  </si>
  <si>
    <t>Spalte9746</t>
  </si>
  <si>
    <t>Spalte9747</t>
  </si>
  <si>
    <t>Spalte9748</t>
  </si>
  <si>
    <t>Spalte9749</t>
  </si>
  <si>
    <t>Spalte9750</t>
  </si>
  <si>
    <t>Spalte9751</t>
  </si>
  <si>
    <t>Spalte9752</t>
  </si>
  <si>
    <t>Spalte9753</t>
  </si>
  <si>
    <t>Spalte9754</t>
  </si>
  <si>
    <t>Spalte9755</t>
  </si>
  <si>
    <t>Spalte9756</t>
  </si>
  <si>
    <t>Spalte9757</t>
  </si>
  <si>
    <t>Spalte9758</t>
  </si>
  <si>
    <t>Spalte9759</t>
  </si>
  <si>
    <t>Spalte9760</t>
  </si>
  <si>
    <t>Spalte9761</t>
  </si>
  <si>
    <t>Spalte9762</t>
  </si>
  <si>
    <t>Spalte9763</t>
  </si>
  <si>
    <t>Spalte9764</t>
  </si>
  <si>
    <t>Spalte9765</t>
  </si>
  <si>
    <t>Spalte9766</t>
  </si>
  <si>
    <t>Spalte9767</t>
  </si>
  <si>
    <t>Spalte9768</t>
  </si>
  <si>
    <t>Spalte9769</t>
  </si>
  <si>
    <t>Spalte9770</t>
  </si>
  <si>
    <t>Spalte9771</t>
  </si>
  <si>
    <t>Spalte9772</t>
  </si>
  <si>
    <t>Spalte9773</t>
  </si>
  <si>
    <t>Spalte9774</t>
  </si>
  <si>
    <t>Spalte9775</t>
  </si>
  <si>
    <t>Spalte9776</t>
  </si>
  <si>
    <t>Spalte9777</t>
  </si>
  <si>
    <t>Spalte9778</t>
  </si>
  <si>
    <t>Spalte9779</t>
  </si>
  <si>
    <t>Spalte9780</t>
  </si>
  <si>
    <t>Spalte9781</t>
  </si>
  <si>
    <t>Spalte9782</t>
  </si>
  <si>
    <t>Spalte9783</t>
  </si>
  <si>
    <t>Spalte9784</t>
  </si>
  <si>
    <t>Spalte9785</t>
  </si>
  <si>
    <t>Spalte9786</t>
  </si>
  <si>
    <t>Spalte9787</t>
  </si>
  <si>
    <t>Spalte9788</t>
  </si>
  <si>
    <t>Spalte9789</t>
  </si>
  <si>
    <t>Spalte9790</t>
  </si>
  <si>
    <t>Spalte9791</t>
  </si>
  <si>
    <t>Spalte9792</t>
  </si>
  <si>
    <t>Spalte9793</t>
  </si>
  <si>
    <t>Spalte9794</t>
  </si>
  <si>
    <t>Spalte9795</t>
  </si>
  <si>
    <t>Spalte9796</t>
  </si>
  <si>
    <t>Spalte9797</t>
  </si>
  <si>
    <t>Spalte9798</t>
  </si>
  <si>
    <t>Spalte9799</t>
  </si>
  <si>
    <t>Spalte9800</t>
  </si>
  <si>
    <t>Spalte9801</t>
  </si>
  <si>
    <t>Spalte9802</t>
  </si>
  <si>
    <t>Spalte9803</t>
  </si>
  <si>
    <t>Spalte9804</t>
  </si>
  <si>
    <t>Spalte9805</t>
  </si>
  <si>
    <t>Spalte9806</t>
  </si>
  <si>
    <t>Spalte9807</t>
  </si>
  <si>
    <t>Spalte9808</t>
  </si>
  <si>
    <t>Spalte9809</t>
  </si>
  <si>
    <t>Spalte9810</t>
  </si>
  <si>
    <t>Spalte9811</t>
  </si>
  <si>
    <t>Spalte9812</t>
  </si>
  <si>
    <t>Spalte9813</t>
  </si>
  <si>
    <t>Spalte9814</t>
  </si>
  <si>
    <t>Spalte9815</t>
  </si>
  <si>
    <t>Spalte9816</t>
  </si>
  <si>
    <t>Spalte9817</t>
  </si>
  <si>
    <t>Spalte9818</t>
  </si>
  <si>
    <t>Spalte9819</t>
  </si>
  <si>
    <t>Spalte9820</t>
  </si>
  <si>
    <t>Spalte9821</t>
  </si>
  <si>
    <t>Spalte9822</t>
  </si>
  <si>
    <t>Spalte9823</t>
  </si>
  <si>
    <t>Spalte9824</t>
  </si>
  <si>
    <t>Spalte9825</t>
  </si>
  <si>
    <t>Spalte9826</t>
  </si>
  <si>
    <t>Spalte9827</t>
  </si>
  <si>
    <t>Spalte9828</t>
  </si>
  <si>
    <t>Spalte9829</t>
  </si>
  <si>
    <t>Spalte9830</t>
  </si>
  <si>
    <t>Spalte9831</t>
  </si>
  <si>
    <t>Spalte9832</t>
  </si>
  <si>
    <t>Spalte9833</t>
  </si>
  <si>
    <t>Spalte9834</t>
  </si>
  <si>
    <t>Spalte9835</t>
  </si>
  <si>
    <t>Spalte9836</t>
  </si>
  <si>
    <t>Spalte9837</t>
  </si>
  <si>
    <t>Spalte9838</t>
  </si>
  <si>
    <t>Spalte9839</t>
  </si>
  <si>
    <t>Spalte9840</t>
  </si>
  <si>
    <t>Spalte9841</t>
  </si>
  <si>
    <t>Spalte9842</t>
  </si>
  <si>
    <t>Spalte9843</t>
  </si>
  <si>
    <t>Spalte9844</t>
  </si>
  <si>
    <t>Spalte9845</t>
  </si>
  <si>
    <t>Spalte9846</t>
  </si>
  <si>
    <t>Spalte9847</t>
  </si>
  <si>
    <t>Spalte9848</t>
  </si>
  <si>
    <t>Spalte9849</t>
  </si>
  <si>
    <t>Spalte9850</t>
  </si>
  <si>
    <t>Spalte9851</t>
  </si>
  <si>
    <t>Spalte9852</t>
  </si>
  <si>
    <t>Spalte9853</t>
  </si>
  <si>
    <t>Spalte9854</t>
  </si>
  <si>
    <t>Spalte9855</t>
  </si>
  <si>
    <t>Spalte9856</t>
  </si>
  <si>
    <t>Spalte9857</t>
  </si>
  <si>
    <t>Spalte9858</t>
  </si>
  <si>
    <t>Spalte9859</t>
  </si>
  <si>
    <t>Spalte9860</t>
  </si>
  <si>
    <t>Spalte9861</t>
  </si>
  <si>
    <t>Spalte9862</t>
  </si>
  <si>
    <t>Spalte9863</t>
  </si>
  <si>
    <t>Spalte9864</t>
  </si>
  <si>
    <t>Spalte9865</t>
  </si>
  <si>
    <t>Spalte9866</t>
  </si>
  <si>
    <t>Spalte9867</t>
  </si>
  <si>
    <t>Spalte9868</t>
  </si>
  <si>
    <t>Spalte9869</t>
  </si>
  <si>
    <t>Spalte9870</t>
  </si>
  <si>
    <t>Spalte9871</t>
  </si>
  <si>
    <t>Spalte9872</t>
  </si>
  <si>
    <t>Spalte9873</t>
  </si>
  <si>
    <t>Spalte9874</t>
  </si>
  <si>
    <t>Spalte9875</t>
  </si>
  <si>
    <t>Spalte9876</t>
  </si>
  <si>
    <t>Spalte9877</t>
  </si>
  <si>
    <t>Spalte9878</t>
  </si>
  <si>
    <t>Spalte9879</t>
  </si>
  <si>
    <t>Spalte9880</t>
  </si>
  <si>
    <t>Spalte9881</t>
  </si>
  <si>
    <t>Spalte9882</t>
  </si>
  <si>
    <t>Spalte9883</t>
  </si>
  <si>
    <t>Spalte9884</t>
  </si>
  <si>
    <t>Spalte9885</t>
  </si>
  <si>
    <t>Spalte9886</t>
  </si>
  <si>
    <t>Spalte9887</t>
  </si>
  <si>
    <t>Spalte9888</t>
  </si>
  <si>
    <t>Spalte9889</t>
  </si>
  <si>
    <t>Spalte9890</t>
  </si>
  <si>
    <t>Spalte9891</t>
  </si>
  <si>
    <t>Spalte9892</t>
  </si>
  <si>
    <t>Spalte9893</t>
  </si>
  <si>
    <t>Spalte9894</t>
  </si>
  <si>
    <t>Spalte9895</t>
  </si>
  <si>
    <t>Spalte9896</t>
  </si>
  <si>
    <t>Spalte9897</t>
  </si>
  <si>
    <t>Spalte9898</t>
  </si>
  <si>
    <t>Spalte9899</t>
  </si>
  <si>
    <t>Spalte9900</t>
  </si>
  <si>
    <t>Spalte9901</t>
  </si>
  <si>
    <t>Spalte9902</t>
  </si>
  <si>
    <t>Spalte9903</t>
  </si>
  <si>
    <t>Spalte9904</t>
  </si>
  <si>
    <t>Spalte9905</t>
  </si>
  <si>
    <t>Spalte9906</t>
  </si>
  <si>
    <t>Spalte9907</t>
  </si>
  <si>
    <t>Spalte9908</t>
  </si>
  <si>
    <t>Spalte9909</t>
  </si>
  <si>
    <t>Spalte9910</t>
  </si>
  <si>
    <t>Spalte9911</t>
  </si>
  <si>
    <t>Spalte9912</t>
  </si>
  <si>
    <t>Spalte9913</t>
  </si>
  <si>
    <t>Spalte9914</t>
  </si>
  <si>
    <t>Spalte9915</t>
  </si>
  <si>
    <t>Spalte9916</t>
  </si>
  <si>
    <t>Spalte9917</t>
  </si>
  <si>
    <t>Spalte9918</t>
  </si>
  <si>
    <t>Spalte9919</t>
  </si>
  <si>
    <t>Spalte9920</t>
  </si>
  <si>
    <t>Spalte9921</t>
  </si>
  <si>
    <t>Spalte9922</t>
  </si>
  <si>
    <t>Spalte9923</t>
  </si>
  <si>
    <t>Spalte9924</t>
  </si>
  <si>
    <t>Spalte9925</t>
  </si>
  <si>
    <t>Spalte9926</t>
  </si>
  <si>
    <t>Spalte9927</t>
  </si>
  <si>
    <t>Spalte9928</t>
  </si>
  <si>
    <t>Spalte9929</t>
  </si>
  <si>
    <t>Spalte9930</t>
  </si>
  <si>
    <t>Spalte9931</t>
  </si>
  <si>
    <t>Spalte9932</t>
  </si>
  <si>
    <t>Spalte9933</t>
  </si>
  <si>
    <t>Spalte9934</t>
  </si>
  <si>
    <t>Spalte9935</t>
  </si>
  <si>
    <t>Spalte9936</t>
  </si>
  <si>
    <t>Spalte9937</t>
  </si>
  <si>
    <t>Spalte9938</t>
  </si>
  <si>
    <t>Spalte9939</t>
  </si>
  <si>
    <t>Spalte9940</t>
  </si>
  <si>
    <t>Spalte9941</t>
  </si>
  <si>
    <t>Spalte9942</t>
  </si>
  <si>
    <t>Spalte9943</t>
  </si>
  <si>
    <t>Spalte9944</t>
  </si>
  <si>
    <t>Spalte9945</t>
  </si>
  <si>
    <t>Spalte9946</t>
  </si>
  <si>
    <t>Spalte9947</t>
  </si>
  <si>
    <t>Spalte9948</t>
  </si>
  <si>
    <t>Spalte9949</t>
  </si>
  <si>
    <t>Spalte9950</t>
  </si>
  <si>
    <t>Spalte9951</t>
  </si>
  <si>
    <t>Spalte9952</t>
  </si>
  <si>
    <t>Spalte9953</t>
  </si>
  <si>
    <t>Spalte9954</t>
  </si>
  <si>
    <t>Spalte9955</t>
  </si>
  <si>
    <t>Spalte9956</t>
  </si>
  <si>
    <t>Spalte9957</t>
  </si>
  <si>
    <t>Spalte9958</t>
  </si>
  <si>
    <t>Spalte9959</t>
  </si>
  <si>
    <t>Spalte9960</t>
  </si>
  <si>
    <t>Spalte9961</t>
  </si>
  <si>
    <t>Spalte9962</t>
  </si>
  <si>
    <t>Spalte9963</t>
  </si>
  <si>
    <t>Spalte9964</t>
  </si>
  <si>
    <t>Spalte9965</t>
  </si>
  <si>
    <t>Spalte9966</t>
  </si>
  <si>
    <t>Spalte9967</t>
  </si>
  <si>
    <t>Spalte9968</t>
  </si>
  <si>
    <t>Spalte9969</t>
  </si>
  <si>
    <t>Spalte9970</t>
  </si>
  <si>
    <t>Spalte9971</t>
  </si>
  <si>
    <t>Spalte9972</t>
  </si>
  <si>
    <t>Spalte9973</t>
  </si>
  <si>
    <t>Spalte9974</t>
  </si>
  <si>
    <t>Spalte9975</t>
  </si>
  <si>
    <t>Spalte9976</t>
  </si>
  <si>
    <t>Spalte9977</t>
  </si>
  <si>
    <t>Spalte9978</t>
  </si>
  <si>
    <t>Spalte9979</t>
  </si>
  <si>
    <t>Spalte9980</t>
  </si>
  <si>
    <t>Spalte9981</t>
  </si>
  <si>
    <t>Spalte9982</t>
  </si>
  <si>
    <t>Spalte9983</t>
  </si>
  <si>
    <t>Spalte9984</t>
  </si>
  <si>
    <t>Spalte9985</t>
  </si>
  <si>
    <t>Spalte9986</t>
  </si>
  <si>
    <t>Spalte9987</t>
  </si>
  <si>
    <t>Spalte9988</t>
  </si>
  <si>
    <t>Spalte9989</t>
  </si>
  <si>
    <t>Spalte9990</t>
  </si>
  <si>
    <t>Spalte9991</t>
  </si>
  <si>
    <t>Spalte9992</t>
  </si>
  <si>
    <t>Spalte9993</t>
  </si>
  <si>
    <t>Spalte9994</t>
  </si>
  <si>
    <t>Spalte9995</t>
  </si>
  <si>
    <t>Spalte9996</t>
  </si>
  <si>
    <t>Spalte9997</t>
  </si>
  <si>
    <t>Spalte9998</t>
  </si>
  <si>
    <t>Spalte9999</t>
  </si>
  <si>
    <t>Spalte10000</t>
  </si>
  <si>
    <t>Spalte10001</t>
  </si>
  <si>
    <t>Spalte10002</t>
  </si>
  <si>
    <t>Spalte10003</t>
  </si>
  <si>
    <t>Spalte10004</t>
  </si>
  <si>
    <t>Spalte10005</t>
  </si>
  <si>
    <t>Spalte10006</t>
  </si>
  <si>
    <t>Spalte10007</t>
  </si>
  <si>
    <t>Spalte10008</t>
  </si>
  <si>
    <t>Spalte10009</t>
  </si>
  <si>
    <t>Spalte10010</t>
  </si>
  <si>
    <t>Spalte10011</t>
  </si>
  <si>
    <t>Spalte10012</t>
  </si>
  <si>
    <t>Spalte10013</t>
  </si>
  <si>
    <t>Spalte10014</t>
  </si>
  <si>
    <t>Spalte10015</t>
  </si>
  <si>
    <t>Spalte10016</t>
  </si>
  <si>
    <t>Spalte10017</t>
  </si>
  <si>
    <t>Spalte10018</t>
  </si>
  <si>
    <t>Spalte10019</t>
  </si>
  <si>
    <t>Spalte10020</t>
  </si>
  <si>
    <t>Spalte10021</t>
  </si>
  <si>
    <t>Spalte10022</t>
  </si>
  <si>
    <t>Spalte10023</t>
  </si>
  <si>
    <t>Spalte10024</t>
  </si>
  <si>
    <t>Spalte10025</t>
  </si>
  <si>
    <t>Spalte10026</t>
  </si>
  <si>
    <t>Spalte10027</t>
  </si>
  <si>
    <t>Spalte10028</t>
  </si>
  <si>
    <t>Spalte10029</t>
  </si>
  <si>
    <t>Spalte10030</t>
  </si>
  <si>
    <t>Spalte10031</t>
  </si>
  <si>
    <t>Spalte10032</t>
  </si>
  <si>
    <t>Spalte10033</t>
  </si>
  <si>
    <t>Spalte10034</t>
  </si>
  <si>
    <t>Spalte10035</t>
  </si>
  <si>
    <t>Spalte10036</t>
  </si>
  <si>
    <t>Spalte10037</t>
  </si>
  <si>
    <t>Spalte10038</t>
  </si>
  <si>
    <t>Spalte10039</t>
  </si>
  <si>
    <t>Spalte10040</t>
  </si>
  <si>
    <t>Spalte10041</t>
  </si>
  <si>
    <t>Spalte10042</t>
  </si>
  <si>
    <t>Spalte10043</t>
  </si>
  <si>
    <t>Spalte10044</t>
  </si>
  <si>
    <t>Spalte10045</t>
  </si>
  <si>
    <t>Spalte10046</t>
  </si>
  <si>
    <t>Spalte10047</t>
  </si>
  <si>
    <t>Spalte10048</t>
  </si>
  <si>
    <t>Spalte10049</t>
  </si>
  <si>
    <t>Spalte10050</t>
  </si>
  <si>
    <t>Spalte10051</t>
  </si>
  <si>
    <t>Spalte10052</t>
  </si>
  <si>
    <t>Spalte10053</t>
  </si>
  <si>
    <t>Spalte10054</t>
  </si>
  <si>
    <t>Spalte10055</t>
  </si>
  <si>
    <t>Spalte10056</t>
  </si>
  <si>
    <t>Spalte10057</t>
  </si>
  <si>
    <t>Spalte10058</t>
  </si>
  <si>
    <t>Spalte10059</t>
  </si>
  <si>
    <t>Spalte10060</t>
  </si>
  <si>
    <t>Spalte10061</t>
  </si>
  <si>
    <t>Spalte10062</t>
  </si>
  <si>
    <t>Spalte10063</t>
  </si>
  <si>
    <t>Spalte10064</t>
  </si>
  <si>
    <t>Spalte10065</t>
  </si>
  <si>
    <t>Spalte10066</t>
  </si>
  <si>
    <t>Spalte10067</t>
  </si>
  <si>
    <t>Spalte10068</t>
  </si>
  <si>
    <t>Spalte10069</t>
  </si>
  <si>
    <t>Spalte10070</t>
  </si>
  <si>
    <t>Spalte10071</t>
  </si>
  <si>
    <t>Spalte10072</t>
  </si>
  <si>
    <t>Spalte10073</t>
  </si>
  <si>
    <t>Spalte10074</t>
  </si>
  <si>
    <t>Spalte10075</t>
  </si>
  <si>
    <t>Spalte10076</t>
  </si>
  <si>
    <t>Spalte10077</t>
  </si>
  <si>
    <t>Spalte10078</t>
  </si>
  <si>
    <t>Spalte10079</t>
  </si>
  <si>
    <t>Spalte10080</t>
  </si>
  <si>
    <t>Spalte10081</t>
  </si>
  <si>
    <t>Spalte10082</t>
  </si>
  <si>
    <t>Spalte10083</t>
  </si>
  <si>
    <t>Spalte10084</t>
  </si>
  <si>
    <t>Spalte10085</t>
  </si>
  <si>
    <t>Spalte10086</t>
  </si>
  <si>
    <t>Spalte10087</t>
  </si>
  <si>
    <t>Spalte10088</t>
  </si>
  <si>
    <t>Spalte10089</t>
  </si>
  <si>
    <t>Spalte10090</t>
  </si>
  <si>
    <t>Spalte10091</t>
  </si>
  <si>
    <t>Spalte10092</t>
  </si>
  <si>
    <t>Spalte10093</t>
  </si>
  <si>
    <t>Spalte10094</t>
  </si>
  <si>
    <t>Spalte10095</t>
  </si>
  <si>
    <t>Spalte10096</t>
  </si>
  <si>
    <t>Spalte10097</t>
  </si>
  <si>
    <t>Spalte10098</t>
  </si>
  <si>
    <t>Spalte10099</t>
  </si>
  <si>
    <t>Spalte10100</t>
  </si>
  <si>
    <t>Spalte10101</t>
  </si>
  <si>
    <t>Spalte10102</t>
  </si>
  <si>
    <t>Spalte10103</t>
  </si>
  <si>
    <t>Spalte10104</t>
  </si>
  <si>
    <t>Spalte10105</t>
  </si>
  <si>
    <t>Spalte10106</t>
  </si>
  <si>
    <t>Spalte10107</t>
  </si>
  <si>
    <t>Spalte10108</t>
  </si>
  <si>
    <t>Spalte10109</t>
  </si>
  <si>
    <t>Spalte10110</t>
  </si>
  <si>
    <t>Spalte10111</t>
  </si>
  <si>
    <t>Spalte10112</t>
  </si>
  <si>
    <t>Spalte10113</t>
  </si>
  <si>
    <t>Spalte10114</t>
  </si>
  <si>
    <t>Spalte10115</t>
  </si>
  <si>
    <t>Spalte10116</t>
  </si>
  <si>
    <t>Spalte10117</t>
  </si>
  <si>
    <t>Spalte10118</t>
  </si>
  <si>
    <t>Spalte10119</t>
  </si>
  <si>
    <t>Spalte10120</t>
  </si>
  <si>
    <t>Spalte10121</t>
  </si>
  <si>
    <t>Spalte10122</t>
  </si>
  <si>
    <t>Spalte10123</t>
  </si>
  <si>
    <t>Spalte10124</t>
  </si>
  <si>
    <t>Spalte10125</t>
  </si>
  <si>
    <t>Spalte10126</t>
  </si>
  <si>
    <t>Spalte10127</t>
  </si>
  <si>
    <t>Spalte10128</t>
  </si>
  <si>
    <t>Spalte10129</t>
  </si>
  <si>
    <t>Spalte10130</t>
  </si>
  <si>
    <t>Spalte10131</t>
  </si>
  <si>
    <t>Spalte10132</t>
  </si>
  <si>
    <t>Spalte10133</t>
  </si>
  <si>
    <t>Spalte10134</t>
  </si>
  <si>
    <t>Spalte10135</t>
  </si>
  <si>
    <t>Spalte10136</t>
  </si>
  <si>
    <t>Spalte10137</t>
  </si>
  <si>
    <t>Spalte10138</t>
  </si>
  <si>
    <t>Spalte10139</t>
  </si>
  <si>
    <t>Spalte10140</t>
  </si>
  <si>
    <t>Spalte10141</t>
  </si>
  <si>
    <t>Spalte10142</t>
  </si>
  <si>
    <t>Spalte10143</t>
  </si>
  <si>
    <t>Spalte10144</t>
  </si>
  <si>
    <t>Spalte10145</t>
  </si>
  <si>
    <t>Spalte10146</t>
  </si>
  <si>
    <t>Spalte10147</t>
  </si>
  <si>
    <t>Spalte10148</t>
  </si>
  <si>
    <t>Spalte10149</t>
  </si>
  <si>
    <t>Spalte10150</t>
  </si>
  <si>
    <t>Spalte10151</t>
  </si>
  <si>
    <t>Spalte10152</t>
  </si>
  <si>
    <t>Spalte10153</t>
  </si>
  <si>
    <t>Spalte10154</t>
  </si>
  <si>
    <t>Spalte10155</t>
  </si>
  <si>
    <t>Spalte10156</t>
  </si>
  <si>
    <t>Spalte10157</t>
  </si>
  <si>
    <t>Spalte10158</t>
  </si>
  <si>
    <t>Spalte10159</t>
  </si>
  <si>
    <t>Spalte10160</t>
  </si>
  <si>
    <t>Spalte10161</t>
  </si>
  <si>
    <t>Spalte10162</t>
  </si>
  <si>
    <t>Spalte10163</t>
  </si>
  <si>
    <t>Spalte10164</t>
  </si>
  <si>
    <t>Spalte10165</t>
  </si>
  <si>
    <t>Spalte10166</t>
  </si>
  <si>
    <t>Spalte10167</t>
  </si>
  <si>
    <t>Spalte10168</t>
  </si>
  <si>
    <t>Spalte10169</t>
  </si>
  <si>
    <t>Spalte10170</t>
  </si>
  <si>
    <t>Spalte10171</t>
  </si>
  <si>
    <t>Spalte10172</t>
  </si>
  <si>
    <t>Spalte10173</t>
  </si>
  <si>
    <t>Spalte10174</t>
  </si>
  <si>
    <t>Spalte10175</t>
  </si>
  <si>
    <t>Spalte10176</t>
  </si>
  <si>
    <t>Spalte10177</t>
  </si>
  <si>
    <t>Spalte10178</t>
  </si>
  <si>
    <t>Spalte10179</t>
  </si>
  <si>
    <t>Spalte10180</t>
  </si>
  <si>
    <t>Spalte10181</t>
  </si>
  <si>
    <t>Spalte10182</t>
  </si>
  <si>
    <t>Spalte10183</t>
  </si>
  <si>
    <t>Spalte10184</t>
  </si>
  <si>
    <t>Spalte10185</t>
  </si>
  <si>
    <t>Spalte10186</t>
  </si>
  <si>
    <t>Spalte10187</t>
  </si>
  <si>
    <t>Spalte10188</t>
  </si>
  <si>
    <t>Spalte10189</t>
  </si>
  <si>
    <t>Spalte10190</t>
  </si>
  <si>
    <t>Spalte10191</t>
  </si>
  <si>
    <t>Spalte10192</t>
  </si>
  <si>
    <t>Spalte10193</t>
  </si>
  <si>
    <t>Spalte10194</t>
  </si>
  <si>
    <t>Spalte10195</t>
  </si>
  <si>
    <t>Spalte10196</t>
  </si>
  <si>
    <t>Spalte10197</t>
  </si>
  <si>
    <t>Spalte10198</t>
  </si>
  <si>
    <t>Spalte10199</t>
  </si>
  <si>
    <t>Spalte10200</t>
  </si>
  <si>
    <t>Spalte10201</t>
  </si>
  <si>
    <t>Spalte10202</t>
  </si>
  <si>
    <t>Spalte10203</t>
  </si>
  <si>
    <t>Spalte10204</t>
  </si>
  <si>
    <t>Spalte10205</t>
  </si>
  <si>
    <t>Spalte10206</t>
  </si>
  <si>
    <t>Spalte10207</t>
  </si>
  <si>
    <t>Spalte10208</t>
  </si>
  <si>
    <t>Spalte10209</t>
  </si>
  <si>
    <t>Spalte10210</t>
  </si>
  <si>
    <t>Spalte10211</t>
  </si>
  <si>
    <t>Spalte10212</t>
  </si>
  <si>
    <t>Spalte10213</t>
  </si>
  <si>
    <t>Spalte10214</t>
  </si>
  <si>
    <t>Spalte10215</t>
  </si>
  <si>
    <t>Spalte10216</t>
  </si>
  <si>
    <t>Spalte10217</t>
  </si>
  <si>
    <t>Spalte10218</t>
  </si>
  <si>
    <t>Spalte10219</t>
  </si>
  <si>
    <t>Spalte10220</t>
  </si>
  <si>
    <t>Spalte10221</t>
  </si>
  <si>
    <t>Spalte10222</t>
  </si>
  <si>
    <t>Spalte10223</t>
  </si>
  <si>
    <t>Spalte10224</t>
  </si>
  <si>
    <t>Spalte10225</t>
  </si>
  <si>
    <t>Spalte10226</t>
  </si>
  <si>
    <t>Spalte10227</t>
  </si>
  <si>
    <t>Spalte10228</t>
  </si>
  <si>
    <t>Spalte10229</t>
  </si>
  <si>
    <t>Spalte10230</t>
  </si>
  <si>
    <t>Spalte10231</t>
  </si>
  <si>
    <t>Spalte10232</t>
  </si>
  <si>
    <t>Spalte10233</t>
  </si>
  <si>
    <t>Spalte10234</t>
  </si>
  <si>
    <t>Spalte10235</t>
  </si>
  <si>
    <t>Spalte10236</t>
  </si>
  <si>
    <t>Spalte10237</t>
  </si>
  <si>
    <t>Spalte10238</t>
  </si>
  <si>
    <t>Spalte10239</t>
  </si>
  <si>
    <t>Spalte10240</t>
  </si>
  <si>
    <t>Spalte10241</t>
  </si>
  <si>
    <t>Spalte10242</t>
  </si>
  <si>
    <t>Spalte10243</t>
  </si>
  <si>
    <t>Spalte10244</t>
  </si>
  <si>
    <t>Spalte10245</t>
  </si>
  <si>
    <t>Spalte10246</t>
  </si>
  <si>
    <t>Spalte10247</t>
  </si>
  <si>
    <t>Spalte10248</t>
  </si>
  <si>
    <t>Spalte10249</t>
  </si>
  <si>
    <t>Spalte10250</t>
  </si>
  <si>
    <t>Spalte10251</t>
  </si>
  <si>
    <t>Spalte10252</t>
  </si>
  <si>
    <t>Spalte10253</t>
  </si>
  <si>
    <t>Spalte10254</t>
  </si>
  <si>
    <t>Spalte10255</t>
  </si>
  <si>
    <t>Spalte10256</t>
  </si>
  <si>
    <t>Spalte10257</t>
  </si>
  <si>
    <t>Spalte10258</t>
  </si>
  <si>
    <t>Spalte10259</t>
  </si>
  <si>
    <t>Spalte10260</t>
  </si>
  <si>
    <t>Spalte10261</t>
  </si>
  <si>
    <t>Spalte10262</t>
  </si>
  <si>
    <t>Spalte10263</t>
  </si>
  <si>
    <t>Spalte10264</t>
  </si>
  <si>
    <t>Spalte10265</t>
  </si>
  <si>
    <t>Spalte10266</t>
  </si>
  <si>
    <t>Spalte10267</t>
  </si>
  <si>
    <t>Spalte10268</t>
  </si>
  <si>
    <t>Spalte10269</t>
  </si>
  <si>
    <t>Spalte10270</t>
  </si>
  <si>
    <t>Spalte10271</t>
  </si>
  <si>
    <t>Spalte10272</t>
  </si>
  <si>
    <t>Spalte10273</t>
  </si>
  <si>
    <t>Spalte10274</t>
  </si>
  <si>
    <t>Spalte10275</t>
  </si>
  <si>
    <t>Spalte10276</t>
  </si>
  <si>
    <t>Spalte10277</t>
  </si>
  <si>
    <t>Spalte10278</t>
  </si>
  <si>
    <t>Spalte10279</t>
  </si>
  <si>
    <t>Spalte10280</t>
  </si>
  <si>
    <t>Spalte10281</t>
  </si>
  <si>
    <t>Spalte10282</t>
  </si>
  <si>
    <t>Spalte10283</t>
  </si>
  <si>
    <t>Spalte10284</t>
  </si>
  <si>
    <t>Spalte10285</t>
  </si>
  <si>
    <t>Spalte10286</t>
  </si>
  <si>
    <t>Spalte10287</t>
  </si>
  <si>
    <t>Spalte10288</t>
  </si>
  <si>
    <t>Spalte10289</t>
  </si>
  <si>
    <t>Spalte10290</t>
  </si>
  <si>
    <t>Spalte10291</t>
  </si>
  <si>
    <t>Spalte10292</t>
  </si>
  <si>
    <t>Spalte10293</t>
  </si>
  <si>
    <t>Spalte10294</t>
  </si>
  <si>
    <t>Spalte10295</t>
  </si>
  <si>
    <t>Spalte10296</t>
  </si>
  <si>
    <t>Spalte10297</t>
  </si>
  <si>
    <t>Spalte10298</t>
  </si>
  <si>
    <t>Spalte10299</t>
  </si>
  <si>
    <t>Spalte10300</t>
  </si>
  <si>
    <t>Spalte10301</t>
  </si>
  <si>
    <t>Spalte10302</t>
  </si>
  <si>
    <t>Spalte10303</t>
  </si>
  <si>
    <t>Spalte10304</t>
  </si>
  <si>
    <t>Spalte10305</t>
  </si>
  <si>
    <t>Spalte10306</t>
  </si>
  <si>
    <t>Spalte10307</t>
  </si>
  <si>
    <t>Spalte10308</t>
  </si>
  <si>
    <t>Spalte10309</t>
  </si>
  <si>
    <t>Spalte10310</t>
  </si>
  <si>
    <t>Spalte10311</t>
  </si>
  <si>
    <t>Spalte10312</t>
  </si>
  <si>
    <t>Spalte10313</t>
  </si>
  <si>
    <t>Spalte10314</t>
  </si>
  <si>
    <t>Spalte10315</t>
  </si>
  <si>
    <t>Spalte10316</t>
  </si>
  <si>
    <t>Spalte10317</t>
  </si>
  <si>
    <t>Spalte10318</t>
  </si>
  <si>
    <t>Spalte10319</t>
  </si>
  <si>
    <t>Spalte10320</t>
  </si>
  <si>
    <t>Spalte10321</t>
  </si>
  <si>
    <t>Spalte10322</t>
  </si>
  <si>
    <t>Spalte10323</t>
  </si>
  <si>
    <t>Spalte10324</t>
  </si>
  <si>
    <t>Spalte10325</t>
  </si>
  <si>
    <t>Spalte10326</t>
  </si>
  <si>
    <t>Spalte10327</t>
  </si>
  <si>
    <t>Spalte10328</t>
  </si>
  <si>
    <t>Spalte10329</t>
  </si>
  <si>
    <t>Spalte10330</t>
  </si>
  <si>
    <t>Spalte10331</t>
  </si>
  <si>
    <t>Spalte10332</t>
  </si>
  <si>
    <t>Spalte10333</t>
  </si>
  <si>
    <t>Spalte10334</t>
  </si>
  <si>
    <t>Spalte10335</t>
  </si>
  <si>
    <t>Spalte10336</t>
  </si>
  <si>
    <t>Spalte10337</t>
  </si>
  <si>
    <t>Spalte10338</t>
  </si>
  <si>
    <t>Spalte10339</t>
  </si>
  <si>
    <t>Spalte10340</t>
  </si>
  <si>
    <t>Spalte10341</t>
  </si>
  <si>
    <t>Spalte10342</t>
  </si>
  <si>
    <t>Spalte10343</t>
  </si>
  <si>
    <t>Spalte10344</t>
  </si>
  <si>
    <t>Spalte10345</t>
  </si>
  <si>
    <t>Spalte10346</t>
  </si>
  <si>
    <t>Spalte10347</t>
  </si>
  <si>
    <t>Spalte10348</t>
  </si>
  <si>
    <t>Spalte10349</t>
  </si>
  <si>
    <t>Spalte10350</t>
  </si>
  <si>
    <t>Spalte10351</t>
  </si>
  <si>
    <t>Spalte10352</t>
  </si>
  <si>
    <t>Spalte10353</t>
  </si>
  <si>
    <t>Spalte10354</t>
  </si>
  <si>
    <t>Spalte10355</t>
  </si>
  <si>
    <t>Spalte10356</t>
  </si>
  <si>
    <t>Spalte10357</t>
  </si>
  <si>
    <t>Spalte10358</t>
  </si>
  <si>
    <t>Spalte10359</t>
  </si>
  <si>
    <t>Spalte10360</t>
  </si>
  <si>
    <t>Spalte10361</t>
  </si>
  <si>
    <t>Spalte10362</t>
  </si>
  <si>
    <t>Spalte10363</t>
  </si>
  <si>
    <t>Spalte10364</t>
  </si>
  <si>
    <t>Spalte10365</t>
  </si>
  <si>
    <t>Spalte10366</t>
  </si>
  <si>
    <t>Spalte10367</t>
  </si>
  <si>
    <t>Spalte10368</t>
  </si>
  <si>
    <t>Spalte10369</t>
  </si>
  <si>
    <t>Spalte10370</t>
  </si>
  <si>
    <t>Spalte10371</t>
  </si>
  <si>
    <t>Spalte10372</t>
  </si>
  <si>
    <t>Spalte10373</t>
  </si>
  <si>
    <t>Spalte10374</t>
  </si>
  <si>
    <t>Spalte10375</t>
  </si>
  <si>
    <t>Spalte10376</t>
  </si>
  <si>
    <t>Spalte10377</t>
  </si>
  <si>
    <t>Spalte10378</t>
  </si>
  <si>
    <t>Spalte10379</t>
  </si>
  <si>
    <t>Spalte10380</t>
  </si>
  <si>
    <t>Spalte10381</t>
  </si>
  <si>
    <t>Spalte10382</t>
  </si>
  <si>
    <t>Spalte10383</t>
  </si>
  <si>
    <t>Spalte10384</t>
  </si>
  <si>
    <t>Spalte10385</t>
  </si>
  <si>
    <t>Spalte10386</t>
  </si>
  <si>
    <t>Spalte10387</t>
  </si>
  <si>
    <t>Spalte10388</t>
  </si>
  <si>
    <t>Spalte10389</t>
  </si>
  <si>
    <t>Spalte10390</t>
  </si>
  <si>
    <t>Spalte10391</t>
  </si>
  <si>
    <t>Spalte10392</t>
  </si>
  <si>
    <t>Spalte10393</t>
  </si>
  <si>
    <t>Spalte10394</t>
  </si>
  <si>
    <t>Spalte10395</t>
  </si>
  <si>
    <t>Spalte10396</t>
  </si>
  <si>
    <t>Spalte10397</t>
  </si>
  <si>
    <t>Spalte10398</t>
  </si>
  <si>
    <t>Spalte10399</t>
  </si>
  <si>
    <t>Spalte10400</t>
  </si>
  <si>
    <t>Spalte10401</t>
  </si>
  <si>
    <t>Spalte10402</t>
  </si>
  <si>
    <t>Spalte10403</t>
  </si>
  <si>
    <t>Spalte10404</t>
  </si>
  <si>
    <t>Spalte10405</t>
  </si>
  <si>
    <t>Spalte10406</t>
  </si>
  <si>
    <t>Spalte10407</t>
  </si>
  <si>
    <t>Spalte10408</t>
  </si>
  <si>
    <t>Spalte10409</t>
  </si>
  <si>
    <t>Spalte10410</t>
  </si>
  <si>
    <t>Spalte10411</t>
  </si>
  <si>
    <t>Spalte10412</t>
  </si>
  <si>
    <t>Spalte10413</t>
  </si>
  <si>
    <t>Spalte10414</t>
  </si>
  <si>
    <t>Spalte10415</t>
  </si>
  <si>
    <t>Spalte10416</t>
  </si>
  <si>
    <t>Spalte10417</t>
  </si>
  <si>
    <t>Spalte10418</t>
  </si>
  <si>
    <t>Spalte10419</t>
  </si>
  <si>
    <t>Spalte10420</t>
  </si>
  <si>
    <t>Spalte10421</t>
  </si>
  <si>
    <t>Spalte10422</t>
  </si>
  <si>
    <t>Spalte10423</t>
  </si>
  <si>
    <t>Spalte10424</t>
  </si>
  <si>
    <t>Spalte10425</t>
  </si>
  <si>
    <t>Spalte10426</t>
  </si>
  <si>
    <t>Spalte10427</t>
  </si>
  <si>
    <t>Spalte10428</t>
  </si>
  <si>
    <t>Spalte10429</t>
  </si>
  <si>
    <t>Spalte10430</t>
  </si>
  <si>
    <t>Spalte10431</t>
  </si>
  <si>
    <t>Spalte10432</t>
  </si>
  <si>
    <t>Spalte10433</t>
  </si>
  <si>
    <t>Spalte10434</t>
  </si>
  <si>
    <t>Spalte10435</t>
  </si>
  <si>
    <t>Spalte10436</t>
  </si>
  <si>
    <t>Spalte10437</t>
  </si>
  <si>
    <t>Spalte10438</t>
  </si>
  <si>
    <t>Spalte10439</t>
  </si>
  <si>
    <t>Spalte10440</t>
  </si>
  <si>
    <t>Spalte10441</t>
  </si>
  <si>
    <t>Spalte10442</t>
  </si>
  <si>
    <t>Spalte10443</t>
  </si>
  <si>
    <t>Spalte10444</t>
  </si>
  <si>
    <t>Spalte10445</t>
  </si>
  <si>
    <t>Spalte10446</t>
  </si>
  <si>
    <t>Spalte10447</t>
  </si>
  <si>
    <t>Spalte10448</t>
  </si>
  <si>
    <t>Spalte10449</t>
  </si>
  <si>
    <t>Spalte10450</t>
  </si>
  <si>
    <t>Spalte10451</t>
  </si>
  <si>
    <t>Spalte10452</t>
  </si>
  <si>
    <t>Spalte10453</t>
  </si>
  <si>
    <t>Spalte10454</t>
  </si>
  <si>
    <t>Spalte10455</t>
  </si>
  <si>
    <t>Spalte10456</t>
  </si>
  <si>
    <t>Spalte10457</t>
  </si>
  <si>
    <t>Spalte10458</t>
  </si>
  <si>
    <t>Spalte10459</t>
  </si>
  <si>
    <t>Spalte10460</t>
  </si>
  <si>
    <t>Spalte10461</t>
  </si>
  <si>
    <t>Spalte10462</t>
  </si>
  <si>
    <t>Spalte10463</t>
  </si>
  <si>
    <t>Spalte10464</t>
  </si>
  <si>
    <t>Spalte10465</t>
  </si>
  <si>
    <t>Spalte10466</t>
  </si>
  <si>
    <t>Spalte10467</t>
  </si>
  <si>
    <t>Spalte10468</t>
  </si>
  <si>
    <t>Spalte10469</t>
  </si>
  <si>
    <t>Spalte10470</t>
  </si>
  <si>
    <t>Spalte10471</t>
  </si>
  <si>
    <t>Spalte10472</t>
  </si>
  <si>
    <t>Spalte10473</t>
  </si>
  <si>
    <t>Spalte10474</t>
  </si>
  <si>
    <t>Spalte10475</t>
  </si>
  <si>
    <t>Spalte10476</t>
  </si>
  <si>
    <t>Spalte10477</t>
  </si>
  <si>
    <t>Spalte10478</t>
  </si>
  <si>
    <t>Spalte10479</t>
  </si>
  <si>
    <t>Spalte10480</t>
  </si>
  <si>
    <t>Spalte10481</t>
  </si>
  <si>
    <t>Spalte10482</t>
  </si>
  <si>
    <t>Spalte10483</t>
  </si>
  <si>
    <t>Spalte10484</t>
  </si>
  <si>
    <t>Spalte10485</t>
  </si>
  <si>
    <t>Spalte10486</t>
  </si>
  <si>
    <t>Spalte10487</t>
  </si>
  <si>
    <t>Spalte10488</t>
  </si>
  <si>
    <t>Spalte10489</t>
  </si>
  <si>
    <t>Spalte10490</t>
  </si>
  <si>
    <t>Spalte10491</t>
  </si>
  <si>
    <t>Spalte10492</t>
  </si>
  <si>
    <t>Spalte10493</t>
  </si>
  <si>
    <t>Spalte10494</t>
  </si>
  <si>
    <t>Spalte10495</t>
  </si>
  <si>
    <t>Spalte10496</t>
  </si>
  <si>
    <t>Spalte10497</t>
  </si>
  <si>
    <t>Spalte10498</t>
  </si>
  <si>
    <t>Spalte10499</t>
  </si>
  <si>
    <t>Spalte10500</t>
  </si>
  <si>
    <t>Spalte10501</t>
  </si>
  <si>
    <t>Spalte10502</t>
  </si>
  <si>
    <t>Spalte10503</t>
  </si>
  <si>
    <t>Spalte10504</t>
  </si>
  <si>
    <t>Spalte10505</t>
  </si>
  <si>
    <t>Spalte10506</t>
  </si>
  <si>
    <t>Spalte10507</t>
  </si>
  <si>
    <t>Spalte10508</t>
  </si>
  <si>
    <t>Spalte10509</t>
  </si>
  <si>
    <t>Spalte10510</t>
  </si>
  <si>
    <t>Spalte10511</t>
  </si>
  <si>
    <t>Spalte10512</t>
  </si>
  <si>
    <t>Spalte10513</t>
  </si>
  <si>
    <t>Spalte10514</t>
  </si>
  <si>
    <t>Spalte10515</t>
  </si>
  <si>
    <t>Spalte10516</t>
  </si>
  <si>
    <t>Spalte10517</t>
  </si>
  <si>
    <t>Spalte10518</t>
  </si>
  <si>
    <t>Spalte10519</t>
  </si>
  <si>
    <t>Spalte10520</t>
  </si>
  <si>
    <t>Spalte10521</t>
  </si>
  <si>
    <t>Spalte10522</t>
  </si>
  <si>
    <t>Spalte10523</t>
  </si>
  <si>
    <t>Spalte10524</t>
  </si>
  <si>
    <t>Spalte10525</t>
  </si>
  <si>
    <t>Spalte10526</t>
  </si>
  <si>
    <t>Spalte10527</t>
  </si>
  <si>
    <t>Spalte10528</t>
  </si>
  <si>
    <t>Spalte10529</t>
  </si>
  <si>
    <t>Spalte10530</t>
  </si>
  <si>
    <t>Spalte10531</t>
  </si>
  <si>
    <t>Spalte10532</t>
  </si>
  <si>
    <t>Spalte10533</t>
  </si>
  <si>
    <t>Spalte10534</t>
  </si>
  <si>
    <t>Spalte10535</t>
  </si>
  <si>
    <t>Spalte10536</t>
  </si>
  <si>
    <t>Spalte10537</t>
  </si>
  <si>
    <t>Spalte10538</t>
  </si>
  <si>
    <t>Spalte10539</t>
  </si>
  <si>
    <t>Spalte10540</t>
  </si>
  <si>
    <t>Spalte10541</t>
  </si>
  <si>
    <t>Spalte10542</t>
  </si>
  <si>
    <t>Spalte10543</t>
  </si>
  <si>
    <t>Spalte10544</t>
  </si>
  <si>
    <t>Spalte10545</t>
  </si>
  <si>
    <t>Spalte10546</t>
  </si>
  <si>
    <t>Spalte10547</t>
  </si>
  <si>
    <t>Spalte10548</t>
  </si>
  <si>
    <t>Spalte10549</t>
  </si>
  <si>
    <t>Spalte10550</t>
  </si>
  <si>
    <t>Spalte10551</t>
  </si>
  <si>
    <t>Spalte10552</t>
  </si>
  <si>
    <t>Spalte10553</t>
  </si>
  <si>
    <t>Spalte10554</t>
  </si>
  <si>
    <t>Spalte10555</t>
  </si>
  <si>
    <t>Spalte10556</t>
  </si>
  <si>
    <t>Spalte10557</t>
  </si>
  <si>
    <t>Spalte10558</t>
  </si>
  <si>
    <t>Spalte10559</t>
  </si>
  <si>
    <t>Spalte10560</t>
  </si>
  <si>
    <t>Spalte10561</t>
  </si>
  <si>
    <t>Spalte10562</t>
  </si>
  <si>
    <t>Spalte10563</t>
  </si>
  <si>
    <t>Spalte10564</t>
  </si>
  <si>
    <t>Spalte10565</t>
  </si>
  <si>
    <t>Spalte10566</t>
  </si>
  <si>
    <t>Spalte10567</t>
  </si>
  <si>
    <t>Spalte10568</t>
  </si>
  <si>
    <t>Spalte10569</t>
  </si>
  <si>
    <t>Spalte10570</t>
  </si>
  <si>
    <t>Spalte10571</t>
  </si>
  <si>
    <t>Spalte10572</t>
  </si>
  <si>
    <t>Spalte10573</t>
  </si>
  <si>
    <t>Spalte10574</t>
  </si>
  <si>
    <t>Spalte10575</t>
  </si>
  <si>
    <t>Spalte10576</t>
  </si>
  <si>
    <t>Spalte10577</t>
  </si>
  <si>
    <t>Spalte10578</t>
  </si>
  <si>
    <t>Spalte10579</t>
  </si>
  <si>
    <t>Spalte10580</t>
  </si>
  <si>
    <t>Spalte10581</t>
  </si>
  <si>
    <t>Spalte10582</t>
  </si>
  <si>
    <t>Spalte10583</t>
  </si>
  <si>
    <t>Spalte10584</t>
  </si>
  <si>
    <t>Spalte10585</t>
  </si>
  <si>
    <t>Spalte10586</t>
  </si>
  <si>
    <t>Spalte10587</t>
  </si>
  <si>
    <t>Spalte10588</t>
  </si>
  <si>
    <t>Spalte10589</t>
  </si>
  <si>
    <t>Spalte10590</t>
  </si>
  <si>
    <t>Spalte10591</t>
  </si>
  <si>
    <t>Spalte10592</t>
  </si>
  <si>
    <t>Spalte10593</t>
  </si>
  <si>
    <t>Spalte10594</t>
  </si>
  <si>
    <t>Spalte10595</t>
  </si>
  <si>
    <t>Spalte10596</t>
  </si>
  <si>
    <t>Spalte10597</t>
  </si>
  <si>
    <t>Spalte10598</t>
  </si>
  <si>
    <t>Spalte10599</t>
  </si>
  <si>
    <t>Spalte10600</t>
  </si>
  <si>
    <t>Spalte10601</t>
  </si>
  <si>
    <t>Spalte10602</t>
  </si>
  <si>
    <t>Spalte10603</t>
  </si>
  <si>
    <t>Spalte10604</t>
  </si>
  <si>
    <t>Spalte10605</t>
  </si>
  <si>
    <t>Spalte10606</t>
  </si>
  <si>
    <t>Spalte10607</t>
  </si>
  <si>
    <t>Spalte10608</t>
  </si>
  <si>
    <t>Spalte10609</t>
  </si>
  <si>
    <t>Spalte10610</t>
  </si>
  <si>
    <t>Spalte10611</t>
  </si>
  <si>
    <t>Spalte10612</t>
  </si>
  <si>
    <t>Spalte10613</t>
  </si>
  <si>
    <t>Spalte10614</t>
  </si>
  <si>
    <t>Spalte10615</t>
  </si>
  <si>
    <t>Spalte10616</t>
  </si>
  <si>
    <t>Spalte10617</t>
  </si>
  <si>
    <t>Spalte10618</t>
  </si>
  <si>
    <t>Spalte10619</t>
  </si>
  <si>
    <t>Spalte10620</t>
  </si>
  <si>
    <t>Spalte10621</t>
  </si>
  <si>
    <t>Spalte10622</t>
  </si>
  <si>
    <t>Spalte10623</t>
  </si>
  <si>
    <t>Spalte10624</t>
  </si>
  <si>
    <t>Spalte10625</t>
  </si>
  <si>
    <t>Spalte10626</t>
  </si>
  <si>
    <t>Spalte10627</t>
  </si>
  <si>
    <t>Spalte10628</t>
  </si>
  <si>
    <t>Spalte10629</t>
  </si>
  <si>
    <t>Spalte10630</t>
  </si>
  <si>
    <t>Spalte10631</t>
  </si>
  <si>
    <t>Spalte10632</t>
  </si>
  <si>
    <t>Spalte10633</t>
  </si>
  <si>
    <t>Spalte10634</t>
  </si>
  <si>
    <t>Spalte10635</t>
  </si>
  <si>
    <t>Spalte10636</t>
  </si>
  <si>
    <t>Spalte10637</t>
  </si>
  <si>
    <t>Spalte10638</t>
  </si>
  <si>
    <t>Spalte10639</t>
  </si>
  <si>
    <t>Spalte10640</t>
  </si>
  <si>
    <t>Spalte10641</t>
  </si>
  <si>
    <t>Spalte10642</t>
  </si>
  <si>
    <t>Spalte10643</t>
  </si>
  <si>
    <t>Spalte10644</t>
  </si>
  <si>
    <t>Spalte10645</t>
  </si>
  <si>
    <t>Spalte10646</t>
  </si>
  <si>
    <t>Spalte10647</t>
  </si>
  <si>
    <t>Spalte10648</t>
  </si>
  <si>
    <t>Spalte10649</t>
  </si>
  <si>
    <t>Spalte10650</t>
  </si>
  <si>
    <t>Spalte10651</t>
  </si>
  <si>
    <t>Spalte10652</t>
  </si>
  <si>
    <t>Spalte10653</t>
  </si>
  <si>
    <t>Spalte10654</t>
  </si>
  <si>
    <t>Spalte10655</t>
  </si>
  <si>
    <t>Spalte10656</t>
  </si>
  <si>
    <t>Spalte10657</t>
  </si>
  <si>
    <t>Spalte10658</t>
  </si>
  <si>
    <t>Spalte10659</t>
  </si>
  <si>
    <t>Spalte10660</t>
  </si>
  <si>
    <t>Spalte10661</t>
  </si>
  <si>
    <t>Spalte10662</t>
  </si>
  <si>
    <t>Spalte10663</t>
  </si>
  <si>
    <t>Spalte10664</t>
  </si>
  <si>
    <t>Spalte10665</t>
  </si>
  <si>
    <t>Spalte10666</t>
  </si>
  <si>
    <t>Spalte10667</t>
  </si>
  <si>
    <t>Spalte10668</t>
  </si>
  <si>
    <t>Spalte10669</t>
  </si>
  <si>
    <t>Spalte10670</t>
  </si>
  <si>
    <t>Spalte10671</t>
  </si>
  <si>
    <t>Spalte10672</t>
  </si>
  <si>
    <t>Spalte10673</t>
  </si>
  <si>
    <t>Spalte10674</t>
  </si>
  <si>
    <t>Spalte10675</t>
  </si>
  <si>
    <t>Spalte10676</t>
  </si>
  <si>
    <t>Spalte10677</t>
  </si>
  <si>
    <t>Spalte10678</t>
  </si>
  <si>
    <t>Spalte10679</t>
  </si>
  <si>
    <t>Spalte10680</t>
  </si>
  <si>
    <t>Spalte10681</t>
  </si>
  <si>
    <t>Spalte10682</t>
  </si>
  <si>
    <t>Spalte10683</t>
  </si>
  <si>
    <t>Spalte10684</t>
  </si>
  <si>
    <t>Spalte10685</t>
  </si>
  <si>
    <t>Spalte10686</t>
  </si>
  <si>
    <t>Spalte10687</t>
  </si>
  <si>
    <t>Spalte10688</t>
  </si>
  <si>
    <t>Spalte10689</t>
  </si>
  <si>
    <t>Spalte10690</t>
  </si>
  <si>
    <t>Spalte10691</t>
  </si>
  <si>
    <t>Spalte10692</t>
  </si>
  <si>
    <t>Spalte10693</t>
  </si>
  <si>
    <t>Spalte10694</t>
  </si>
  <si>
    <t>Spalte10695</t>
  </si>
  <si>
    <t>Spalte10696</t>
  </si>
  <si>
    <t>Spalte10697</t>
  </si>
  <si>
    <t>Spalte10698</t>
  </si>
  <si>
    <t>Spalte10699</t>
  </si>
  <si>
    <t>Spalte10700</t>
  </si>
  <si>
    <t>Spalte10701</t>
  </si>
  <si>
    <t>Spalte10702</t>
  </si>
  <si>
    <t>Spalte10703</t>
  </si>
  <si>
    <t>Spalte10704</t>
  </si>
  <si>
    <t>Spalte10705</t>
  </si>
  <si>
    <t>Spalte10706</t>
  </si>
  <si>
    <t>Spalte10707</t>
  </si>
  <si>
    <t>Spalte10708</t>
  </si>
  <si>
    <t>Spalte10709</t>
  </si>
  <si>
    <t>Spalte10710</t>
  </si>
  <si>
    <t>Spalte10711</t>
  </si>
  <si>
    <t>Spalte10712</t>
  </si>
  <si>
    <t>Spalte10713</t>
  </si>
  <si>
    <t>Spalte10714</t>
  </si>
  <si>
    <t>Spalte10715</t>
  </si>
  <si>
    <t>Spalte10716</t>
  </si>
  <si>
    <t>Spalte10717</t>
  </si>
  <si>
    <t>Spalte10718</t>
  </si>
  <si>
    <t>Spalte10719</t>
  </si>
  <si>
    <t>Spalte10720</t>
  </si>
  <si>
    <t>Spalte10721</t>
  </si>
  <si>
    <t>Spalte10722</t>
  </si>
  <si>
    <t>Spalte10723</t>
  </si>
  <si>
    <t>Spalte10724</t>
  </si>
  <si>
    <t>Spalte10725</t>
  </si>
  <si>
    <t>Spalte10726</t>
  </si>
  <si>
    <t>Spalte10727</t>
  </si>
  <si>
    <t>Spalte10728</t>
  </si>
  <si>
    <t>Spalte10729</t>
  </si>
  <si>
    <t>Spalte10730</t>
  </si>
  <si>
    <t>Spalte10731</t>
  </si>
  <si>
    <t>Spalte10732</t>
  </si>
  <si>
    <t>Spalte10733</t>
  </si>
  <si>
    <t>Spalte10734</t>
  </si>
  <si>
    <t>Spalte10735</t>
  </si>
  <si>
    <t>Spalte10736</t>
  </si>
  <si>
    <t>Spalte10737</t>
  </si>
  <si>
    <t>Spalte10738</t>
  </si>
  <si>
    <t>Spalte10739</t>
  </si>
  <si>
    <t>Spalte10740</t>
  </si>
  <si>
    <t>Spalte10741</t>
  </si>
  <si>
    <t>Spalte10742</t>
  </si>
  <si>
    <t>Spalte10743</t>
  </si>
  <si>
    <t>Spalte10744</t>
  </si>
  <si>
    <t>Spalte10745</t>
  </si>
  <si>
    <t>Spalte10746</t>
  </si>
  <si>
    <t>Spalte10747</t>
  </si>
  <si>
    <t>Spalte10748</t>
  </si>
  <si>
    <t>Spalte10749</t>
  </si>
  <si>
    <t>Spalte10750</t>
  </si>
  <si>
    <t>Spalte10751</t>
  </si>
  <si>
    <t>Spalte10752</t>
  </si>
  <si>
    <t>Spalte10753</t>
  </si>
  <si>
    <t>Spalte10754</t>
  </si>
  <si>
    <t>Spalte10755</t>
  </si>
  <si>
    <t>Spalte10756</t>
  </si>
  <si>
    <t>Spalte10757</t>
  </si>
  <si>
    <t>Spalte10758</t>
  </si>
  <si>
    <t>Spalte10759</t>
  </si>
  <si>
    <t>Spalte10760</t>
  </si>
  <si>
    <t>Spalte10761</t>
  </si>
  <si>
    <t>Spalte10762</t>
  </si>
  <si>
    <t>Spalte10763</t>
  </si>
  <si>
    <t>Spalte10764</t>
  </si>
  <si>
    <t>Spalte10765</t>
  </si>
  <si>
    <t>Spalte10766</t>
  </si>
  <si>
    <t>Spalte10767</t>
  </si>
  <si>
    <t>Spalte10768</t>
  </si>
  <si>
    <t>Spalte10769</t>
  </si>
  <si>
    <t>Spalte10770</t>
  </si>
  <si>
    <t>Spalte10771</t>
  </si>
  <si>
    <t>Spalte10772</t>
  </si>
  <si>
    <t>Spalte10773</t>
  </si>
  <si>
    <t>Spalte10774</t>
  </si>
  <si>
    <t>Spalte10775</t>
  </si>
  <si>
    <t>Spalte10776</t>
  </si>
  <si>
    <t>Spalte10777</t>
  </si>
  <si>
    <t>Spalte10778</t>
  </si>
  <si>
    <t>Spalte10779</t>
  </si>
  <si>
    <t>Spalte10780</t>
  </si>
  <si>
    <t>Spalte10781</t>
  </si>
  <si>
    <t>Spalte10782</t>
  </si>
  <si>
    <t>Spalte10783</t>
  </si>
  <si>
    <t>Spalte10784</t>
  </si>
  <si>
    <t>Spalte10785</t>
  </si>
  <si>
    <t>Spalte10786</t>
  </si>
  <si>
    <t>Spalte10787</t>
  </si>
  <si>
    <t>Spalte10788</t>
  </si>
  <si>
    <t>Spalte10789</t>
  </si>
  <si>
    <t>Spalte10790</t>
  </si>
  <si>
    <t>Spalte10791</t>
  </si>
  <si>
    <t>Spalte10792</t>
  </si>
  <si>
    <t>Spalte10793</t>
  </si>
  <si>
    <t>Spalte10794</t>
  </si>
  <si>
    <t>Spalte10795</t>
  </si>
  <si>
    <t>Spalte10796</t>
  </si>
  <si>
    <t>Spalte10797</t>
  </si>
  <si>
    <t>Spalte10798</t>
  </si>
  <si>
    <t>Spalte10799</t>
  </si>
  <si>
    <t>Spalte10800</t>
  </si>
  <si>
    <t>Spalte10801</t>
  </si>
  <si>
    <t>Spalte10802</t>
  </si>
  <si>
    <t>Spalte10803</t>
  </si>
  <si>
    <t>Spalte10804</t>
  </si>
  <si>
    <t>Spalte10805</t>
  </si>
  <si>
    <t>Spalte10806</t>
  </si>
  <si>
    <t>Spalte10807</t>
  </si>
  <si>
    <t>Spalte10808</t>
  </si>
  <si>
    <t>Spalte10809</t>
  </si>
  <si>
    <t>Spalte10810</t>
  </si>
  <si>
    <t>Spalte10811</t>
  </si>
  <si>
    <t>Spalte10812</t>
  </si>
  <si>
    <t>Spalte10813</t>
  </si>
  <si>
    <t>Spalte10814</t>
  </si>
  <si>
    <t>Spalte10815</t>
  </si>
  <si>
    <t>Spalte10816</t>
  </si>
  <si>
    <t>Spalte10817</t>
  </si>
  <si>
    <t>Spalte10818</t>
  </si>
  <si>
    <t>Spalte10819</t>
  </si>
  <si>
    <t>Spalte10820</t>
  </si>
  <si>
    <t>Spalte10821</t>
  </si>
  <si>
    <t>Spalte10822</t>
  </si>
  <si>
    <t>Spalte10823</t>
  </si>
  <si>
    <t>Spalte10824</t>
  </si>
  <si>
    <t>Spalte10825</t>
  </si>
  <si>
    <t>Spalte10826</t>
  </si>
  <si>
    <t>Spalte10827</t>
  </si>
  <si>
    <t>Spalte10828</t>
  </si>
  <si>
    <t>Spalte10829</t>
  </si>
  <si>
    <t>Spalte10830</t>
  </si>
  <si>
    <t>Spalte10831</t>
  </si>
  <si>
    <t>Spalte10832</t>
  </si>
  <si>
    <t>Spalte10833</t>
  </si>
  <si>
    <t>Spalte10834</t>
  </si>
  <si>
    <t>Spalte10835</t>
  </si>
  <si>
    <t>Spalte10836</t>
  </si>
  <si>
    <t>Spalte10837</t>
  </si>
  <si>
    <t>Spalte10838</t>
  </si>
  <si>
    <t>Spalte10839</t>
  </si>
  <si>
    <t>Spalte10840</t>
  </si>
  <si>
    <t>Spalte10841</t>
  </si>
  <si>
    <t>Spalte10842</t>
  </si>
  <si>
    <t>Spalte10843</t>
  </si>
  <si>
    <t>Spalte10844</t>
  </si>
  <si>
    <t>Spalte10845</t>
  </si>
  <si>
    <t>Spalte10846</t>
  </si>
  <si>
    <t>Spalte10847</t>
  </si>
  <si>
    <t>Spalte10848</t>
  </si>
  <si>
    <t>Spalte10849</t>
  </si>
  <si>
    <t>Spalte10850</t>
  </si>
  <si>
    <t>Spalte10851</t>
  </si>
  <si>
    <t>Spalte10852</t>
  </si>
  <si>
    <t>Spalte10853</t>
  </si>
  <si>
    <t>Spalte10854</t>
  </si>
  <si>
    <t>Spalte10855</t>
  </si>
  <si>
    <t>Spalte10856</t>
  </si>
  <si>
    <t>Spalte10857</t>
  </si>
  <si>
    <t>Spalte10858</t>
  </si>
  <si>
    <t>Spalte10859</t>
  </si>
  <si>
    <t>Spalte10860</t>
  </si>
  <si>
    <t>Spalte10861</t>
  </si>
  <si>
    <t>Spalte10862</t>
  </si>
  <si>
    <t>Spalte10863</t>
  </si>
  <si>
    <t>Spalte10864</t>
  </si>
  <si>
    <t>Spalte10865</t>
  </si>
  <si>
    <t>Spalte10866</t>
  </si>
  <si>
    <t>Spalte10867</t>
  </si>
  <si>
    <t>Spalte10868</t>
  </si>
  <si>
    <t>Spalte10869</t>
  </si>
  <si>
    <t>Spalte10870</t>
  </si>
  <si>
    <t>Spalte10871</t>
  </si>
  <si>
    <t>Spalte10872</t>
  </si>
  <si>
    <t>Spalte10873</t>
  </si>
  <si>
    <t>Spalte10874</t>
  </si>
  <si>
    <t>Spalte10875</t>
  </si>
  <si>
    <t>Spalte10876</t>
  </si>
  <si>
    <t>Spalte10877</t>
  </si>
  <si>
    <t>Spalte10878</t>
  </si>
  <si>
    <t>Spalte10879</t>
  </si>
  <si>
    <t>Spalte10880</t>
  </si>
  <si>
    <t>Spalte10881</t>
  </si>
  <si>
    <t>Spalte10882</t>
  </si>
  <si>
    <t>Spalte10883</t>
  </si>
  <si>
    <t>Spalte10884</t>
  </si>
  <si>
    <t>Spalte10885</t>
  </si>
  <si>
    <t>Spalte10886</t>
  </si>
  <si>
    <t>Spalte10887</t>
  </si>
  <si>
    <t>Spalte10888</t>
  </si>
  <si>
    <t>Spalte10889</t>
  </si>
  <si>
    <t>Spalte10890</t>
  </si>
  <si>
    <t>Spalte10891</t>
  </si>
  <si>
    <t>Spalte10892</t>
  </si>
  <si>
    <t>Spalte10893</t>
  </si>
  <si>
    <t>Spalte10894</t>
  </si>
  <si>
    <t>Spalte10895</t>
  </si>
  <si>
    <t>Spalte10896</t>
  </si>
  <si>
    <t>Spalte10897</t>
  </si>
  <si>
    <t>Spalte10898</t>
  </si>
  <si>
    <t>Spalte10899</t>
  </si>
  <si>
    <t>Spalte10900</t>
  </si>
  <si>
    <t>Spalte10901</t>
  </si>
  <si>
    <t>Spalte10902</t>
  </si>
  <si>
    <t>Spalte10903</t>
  </si>
  <si>
    <t>Spalte10904</t>
  </si>
  <si>
    <t>Spalte10905</t>
  </si>
  <si>
    <t>Spalte10906</t>
  </si>
  <si>
    <t>Spalte10907</t>
  </si>
  <si>
    <t>Spalte10908</t>
  </si>
  <si>
    <t>Spalte10909</t>
  </si>
  <si>
    <t>Spalte10910</t>
  </si>
  <si>
    <t>Spalte10911</t>
  </si>
  <si>
    <t>Spalte10912</t>
  </si>
  <si>
    <t>Spalte10913</t>
  </si>
  <si>
    <t>Spalte10914</t>
  </si>
  <si>
    <t>Spalte10915</t>
  </si>
  <si>
    <t>Spalte10916</t>
  </si>
  <si>
    <t>Spalte10917</t>
  </si>
  <si>
    <t>Spalte10918</t>
  </si>
  <si>
    <t>Spalte10919</t>
  </si>
  <si>
    <t>Spalte10920</t>
  </si>
  <si>
    <t>Spalte10921</t>
  </si>
  <si>
    <t>Spalte10922</t>
  </si>
  <si>
    <t>Spalte10923</t>
  </si>
  <si>
    <t>Spalte10924</t>
  </si>
  <si>
    <t>Spalte10925</t>
  </si>
  <si>
    <t>Spalte10926</t>
  </si>
  <si>
    <t>Spalte10927</t>
  </si>
  <si>
    <t>Spalte10928</t>
  </si>
  <si>
    <t>Spalte10929</t>
  </si>
  <si>
    <t>Spalte10930</t>
  </si>
  <si>
    <t>Spalte10931</t>
  </si>
  <si>
    <t>Spalte10932</t>
  </si>
  <si>
    <t>Spalte10933</t>
  </si>
  <si>
    <t>Spalte10934</t>
  </si>
  <si>
    <t>Spalte10935</t>
  </si>
  <si>
    <t>Spalte10936</t>
  </si>
  <si>
    <t>Spalte10937</t>
  </si>
  <si>
    <t>Spalte10938</t>
  </si>
  <si>
    <t>Spalte10939</t>
  </si>
  <si>
    <t>Spalte10940</t>
  </si>
  <si>
    <t>Spalte10941</t>
  </si>
  <si>
    <t>Spalte10942</t>
  </si>
  <si>
    <t>Spalte10943</t>
  </si>
  <si>
    <t>Spalte10944</t>
  </si>
  <si>
    <t>Spalte10945</t>
  </si>
  <si>
    <t>Spalte10946</t>
  </si>
  <si>
    <t>Spalte10947</t>
  </si>
  <si>
    <t>Spalte10948</t>
  </si>
  <si>
    <t>Spalte10949</t>
  </si>
  <si>
    <t>Spalte10950</t>
  </si>
  <si>
    <t>Spalte10951</t>
  </si>
  <si>
    <t>Spalte10952</t>
  </si>
  <si>
    <t>Spalte10953</t>
  </si>
  <si>
    <t>Spalte10954</t>
  </si>
  <si>
    <t>Spalte10955</t>
  </si>
  <si>
    <t>Spalte10956</t>
  </si>
  <si>
    <t>Spalte10957</t>
  </si>
  <si>
    <t>Spalte10958</t>
  </si>
  <si>
    <t>Spalte10959</t>
  </si>
  <si>
    <t>Spalte10960</t>
  </si>
  <si>
    <t>Spalte10961</t>
  </si>
  <si>
    <t>Spalte10962</t>
  </si>
  <si>
    <t>Spalte10963</t>
  </si>
  <si>
    <t>Spalte10964</t>
  </si>
  <si>
    <t>Spalte10965</t>
  </si>
  <si>
    <t>Spalte10966</t>
  </si>
  <si>
    <t>Spalte10967</t>
  </si>
  <si>
    <t>Spalte10968</t>
  </si>
  <si>
    <t>Spalte10969</t>
  </si>
  <si>
    <t>Spalte10970</t>
  </si>
  <si>
    <t>Spalte10971</t>
  </si>
  <si>
    <t>Spalte10972</t>
  </si>
  <si>
    <t>Spalte10973</t>
  </si>
  <si>
    <t>Spalte10974</t>
  </si>
  <si>
    <t>Spalte10975</t>
  </si>
  <si>
    <t>Spalte10976</t>
  </si>
  <si>
    <t>Spalte10977</t>
  </si>
  <si>
    <t>Spalte10978</t>
  </si>
  <si>
    <t>Spalte10979</t>
  </si>
  <si>
    <t>Spalte10980</t>
  </si>
  <si>
    <t>Spalte10981</t>
  </si>
  <si>
    <t>Spalte10982</t>
  </si>
  <si>
    <t>Spalte10983</t>
  </si>
  <si>
    <t>Spalte10984</t>
  </si>
  <si>
    <t>Spalte10985</t>
  </si>
  <si>
    <t>Spalte10986</t>
  </si>
  <si>
    <t>Spalte10987</t>
  </si>
  <si>
    <t>Spalte10988</t>
  </si>
  <si>
    <t>Spalte10989</t>
  </si>
  <si>
    <t>Spalte10990</t>
  </si>
  <si>
    <t>Spalte10991</t>
  </si>
  <si>
    <t>Spalte10992</t>
  </si>
  <si>
    <t>Spalte10993</t>
  </si>
  <si>
    <t>Spalte10994</t>
  </si>
  <si>
    <t>Spalte10995</t>
  </si>
  <si>
    <t>Spalte10996</t>
  </si>
  <si>
    <t>Spalte10997</t>
  </si>
  <si>
    <t>Spalte10998</t>
  </si>
  <si>
    <t>Spalte10999</t>
  </si>
  <si>
    <t>Spalte11000</t>
  </si>
  <si>
    <t>Spalte11001</t>
  </si>
  <si>
    <t>Spalte11002</t>
  </si>
  <si>
    <t>Spalte11003</t>
  </si>
  <si>
    <t>Spalte11004</t>
  </si>
  <si>
    <t>Spalte11005</t>
  </si>
  <si>
    <t>Spalte11006</t>
  </si>
  <si>
    <t>Spalte11007</t>
  </si>
  <si>
    <t>Spalte11008</t>
  </si>
  <si>
    <t>Spalte11009</t>
  </si>
  <si>
    <t>Spalte11010</t>
  </si>
  <si>
    <t>Spalte11011</t>
  </si>
  <si>
    <t>Spalte11012</t>
  </si>
  <si>
    <t>Spalte11013</t>
  </si>
  <si>
    <t>Spalte11014</t>
  </si>
  <si>
    <t>Spalte11015</t>
  </si>
  <si>
    <t>Spalte11016</t>
  </si>
  <si>
    <t>Spalte11017</t>
  </si>
  <si>
    <t>Spalte11018</t>
  </si>
  <si>
    <t>Spalte11019</t>
  </si>
  <si>
    <t>Spalte11020</t>
  </si>
  <si>
    <t>Spalte11021</t>
  </si>
  <si>
    <t>Spalte11022</t>
  </si>
  <si>
    <t>Spalte11023</t>
  </si>
  <si>
    <t>Spalte11024</t>
  </si>
  <si>
    <t>Spalte11025</t>
  </si>
  <si>
    <t>Spalte11026</t>
  </si>
  <si>
    <t>Spalte11027</t>
  </si>
  <si>
    <t>Spalte11028</t>
  </si>
  <si>
    <t>Spalte11029</t>
  </si>
  <si>
    <t>Spalte11030</t>
  </si>
  <si>
    <t>Spalte11031</t>
  </si>
  <si>
    <t>Spalte11032</t>
  </si>
  <si>
    <t>Spalte11033</t>
  </si>
  <si>
    <t>Spalte11034</t>
  </si>
  <si>
    <t>Spalte11035</t>
  </si>
  <si>
    <t>Spalte11036</t>
  </si>
  <si>
    <t>Spalte11037</t>
  </si>
  <si>
    <t>Spalte11038</t>
  </si>
  <si>
    <t>Spalte11039</t>
  </si>
  <si>
    <t>Spalte11040</t>
  </si>
  <si>
    <t>Spalte11041</t>
  </si>
  <si>
    <t>Spalte11042</t>
  </si>
  <si>
    <t>Spalte11043</t>
  </si>
  <si>
    <t>Spalte11044</t>
  </si>
  <si>
    <t>Spalte11045</t>
  </si>
  <si>
    <t>Spalte11046</t>
  </si>
  <si>
    <t>Spalte11047</t>
  </si>
  <si>
    <t>Spalte11048</t>
  </si>
  <si>
    <t>Spalte11049</t>
  </si>
  <si>
    <t>Spalte11050</t>
  </si>
  <si>
    <t>Spalte11051</t>
  </si>
  <si>
    <t>Spalte11052</t>
  </si>
  <si>
    <t>Spalte11053</t>
  </si>
  <si>
    <t>Spalte11054</t>
  </si>
  <si>
    <t>Spalte11055</t>
  </si>
  <si>
    <t>Spalte11056</t>
  </si>
  <si>
    <t>Spalte11057</t>
  </si>
  <si>
    <t>Spalte11058</t>
  </si>
  <si>
    <t>Spalte11059</t>
  </si>
  <si>
    <t>Spalte11060</t>
  </si>
  <si>
    <t>Spalte11061</t>
  </si>
  <si>
    <t>Spalte11062</t>
  </si>
  <si>
    <t>Spalte11063</t>
  </si>
  <si>
    <t>Spalte11064</t>
  </si>
  <si>
    <t>Spalte11065</t>
  </si>
  <si>
    <t>Spalte11066</t>
  </si>
  <si>
    <t>Spalte11067</t>
  </si>
  <si>
    <t>Spalte11068</t>
  </si>
  <si>
    <t>Spalte11069</t>
  </si>
  <si>
    <t>Spalte11070</t>
  </si>
  <si>
    <t>Spalte11071</t>
  </si>
  <si>
    <t>Spalte11072</t>
  </si>
  <si>
    <t>Spalte11073</t>
  </si>
  <si>
    <t>Spalte11074</t>
  </si>
  <si>
    <t>Spalte11075</t>
  </si>
  <si>
    <t>Spalte11076</t>
  </si>
  <si>
    <t>Spalte11077</t>
  </si>
  <si>
    <t>Spalte11078</t>
  </si>
  <si>
    <t>Spalte11079</t>
  </si>
  <si>
    <t>Spalte11080</t>
  </si>
  <si>
    <t>Spalte11081</t>
  </si>
  <si>
    <t>Spalte11082</t>
  </si>
  <si>
    <t>Spalte11083</t>
  </si>
  <si>
    <t>Spalte11084</t>
  </si>
  <si>
    <t>Spalte11085</t>
  </si>
  <si>
    <t>Spalte11086</t>
  </si>
  <si>
    <t>Spalte11087</t>
  </si>
  <si>
    <t>Spalte11088</t>
  </si>
  <si>
    <t>Spalte11089</t>
  </si>
  <si>
    <t>Spalte11090</t>
  </si>
  <si>
    <t>Spalte11091</t>
  </si>
  <si>
    <t>Spalte11092</t>
  </si>
  <si>
    <t>Spalte11093</t>
  </si>
  <si>
    <t>Spalte11094</t>
  </si>
  <si>
    <t>Spalte11095</t>
  </si>
  <si>
    <t>Spalte11096</t>
  </si>
  <si>
    <t>Spalte11097</t>
  </si>
  <si>
    <t>Spalte11098</t>
  </si>
  <si>
    <t>Spalte11099</t>
  </si>
  <si>
    <t>Spalte11100</t>
  </si>
  <si>
    <t>Spalte11101</t>
  </si>
  <si>
    <t>Spalte11102</t>
  </si>
  <si>
    <t>Spalte11103</t>
  </si>
  <si>
    <t>Spalte11104</t>
  </si>
  <si>
    <t>Spalte11105</t>
  </si>
  <si>
    <t>Spalte11106</t>
  </si>
  <si>
    <t>Spalte11107</t>
  </si>
  <si>
    <t>Spalte11108</t>
  </si>
  <si>
    <t>Spalte11109</t>
  </si>
  <si>
    <t>Spalte11110</t>
  </si>
  <si>
    <t>Spalte11111</t>
  </si>
  <si>
    <t>Spalte11112</t>
  </si>
  <si>
    <t>Spalte11113</t>
  </si>
  <si>
    <t>Spalte11114</t>
  </si>
  <si>
    <t>Spalte11115</t>
  </si>
  <si>
    <t>Spalte11116</t>
  </si>
  <si>
    <t>Spalte11117</t>
  </si>
  <si>
    <t>Spalte11118</t>
  </si>
  <si>
    <t>Spalte11119</t>
  </si>
  <si>
    <t>Spalte11120</t>
  </si>
  <si>
    <t>Spalte11121</t>
  </si>
  <si>
    <t>Spalte11122</t>
  </si>
  <si>
    <t>Spalte11123</t>
  </si>
  <si>
    <t>Spalte11124</t>
  </si>
  <si>
    <t>Spalte11125</t>
  </si>
  <si>
    <t>Spalte11126</t>
  </si>
  <si>
    <t>Spalte11127</t>
  </si>
  <si>
    <t>Spalte11128</t>
  </si>
  <si>
    <t>Spalte11129</t>
  </si>
  <si>
    <t>Spalte11130</t>
  </si>
  <si>
    <t>Spalte11131</t>
  </si>
  <si>
    <t>Spalte11132</t>
  </si>
  <si>
    <t>Spalte11133</t>
  </si>
  <si>
    <t>Spalte11134</t>
  </si>
  <si>
    <t>Spalte11135</t>
  </si>
  <si>
    <t>Spalte11136</t>
  </si>
  <si>
    <t>Spalte11137</t>
  </si>
  <si>
    <t>Spalte11138</t>
  </si>
  <si>
    <t>Spalte11139</t>
  </si>
  <si>
    <t>Spalte11140</t>
  </si>
  <si>
    <t>Spalte11141</t>
  </si>
  <si>
    <t>Spalte11142</t>
  </si>
  <si>
    <t>Spalte11143</t>
  </si>
  <si>
    <t>Spalte11144</t>
  </si>
  <si>
    <t>Spalte11145</t>
  </si>
  <si>
    <t>Spalte11146</t>
  </si>
  <si>
    <t>Spalte11147</t>
  </si>
  <si>
    <t>Spalte11148</t>
  </si>
  <si>
    <t>Spalte11149</t>
  </si>
  <si>
    <t>Spalte11150</t>
  </si>
  <si>
    <t>Spalte11151</t>
  </si>
  <si>
    <t>Spalte11152</t>
  </si>
  <si>
    <t>Spalte11153</t>
  </si>
  <si>
    <t>Spalte11154</t>
  </si>
  <si>
    <t>Spalte11155</t>
  </si>
  <si>
    <t>Spalte11156</t>
  </si>
  <si>
    <t>Spalte11157</t>
  </si>
  <si>
    <t>Spalte11158</t>
  </si>
  <si>
    <t>Spalte11159</t>
  </si>
  <si>
    <t>Spalte11160</t>
  </si>
  <si>
    <t>Spalte11161</t>
  </si>
  <si>
    <t>Spalte11162</t>
  </si>
  <si>
    <t>Spalte11163</t>
  </si>
  <si>
    <t>Spalte11164</t>
  </si>
  <si>
    <t>Spalte11165</t>
  </si>
  <si>
    <t>Spalte11166</t>
  </si>
  <si>
    <t>Spalte11167</t>
  </si>
  <si>
    <t>Spalte11168</t>
  </si>
  <si>
    <t>Spalte11169</t>
  </si>
  <si>
    <t>Spalte11170</t>
  </si>
  <si>
    <t>Spalte11171</t>
  </si>
  <si>
    <t>Spalte11172</t>
  </si>
  <si>
    <t>Spalte11173</t>
  </si>
  <si>
    <t>Spalte11174</t>
  </si>
  <si>
    <t>Spalte11175</t>
  </si>
  <si>
    <t>Spalte11176</t>
  </si>
  <si>
    <t>Spalte11177</t>
  </si>
  <si>
    <t>Spalte11178</t>
  </si>
  <si>
    <t>Spalte11179</t>
  </si>
  <si>
    <t>Spalte11180</t>
  </si>
  <si>
    <t>Spalte11181</t>
  </si>
  <si>
    <t>Spalte11182</t>
  </si>
  <si>
    <t>Spalte11183</t>
  </si>
  <si>
    <t>Spalte11184</t>
  </si>
  <si>
    <t>Spalte11185</t>
  </si>
  <si>
    <t>Spalte11186</t>
  </si>
  <si>
    <t>Spalte11187</t>
  </si>
  <si>
    <t>Spalte11188</t>
  </si>
  <si>
    <t>Spalte11189</t>
  </si>
  <si>
    <t>Spalte11190</t>
  </si>
  <si>
    <t>Spalte11191</t>
  </si>
  <si>
    <t>Spalte11192</t>
  </si>
  <si>
    <t>Spalte11193</t>
  </si>
  <si>
    <t>Spalte11194</t>
  </si>
  <si>
    <t>Spalte11195</t>
  </si>
  <si>
    <t>Spalte11196</t>
  </si>
  <si>
    <t>Spalte11197</t>
  </si>
  <si>
    <t>Spalte11198</t>
  </si>
  <si>
    <t>Spalte11199</t>
  </si>
  <si>
    <t>Spalte11200</t>
  </si>
  <si>
    <t>Spalte11201</t>
  </si>
  <si>
    <t>Spalte11202</t>
  </si>
  <si>
    <t>Spalte11203</t>
  </si>
  <si>
    <t>Spalte11204</t>
  </si>
  <si>
    <t>Spalte11205</t>
  </si>
  <si>
    <t>Spalte11206</t>
  </si>
  <si>
    <t>Spalte11207</t>
  </si>
  <si>
    <t>Spalte11208</t>
  </si>
  <si>
    <t>Spalte11209</t>
  </si>
  <si>
    <t>Spalte11210</t>
  </si>
  <si>
    <t>Spalte11211</t>
  </si>
  <si>
    <t>Spalte11212</t>
  </si>
  <si>
    <t>Spalte11213</t>
  </si>
  <si>
    <t>Spalte11214</t>
  </si>
  <si>
    <t>Spalte11215</t>
  </si>
  <si>
    <t>Spalte11216</t>
  </si>
  <si>
    <t>Spalte11217</t>
  </si>
  <si>
    <t>Spalte11218</t>
  </si>
  <si>
    <t>Spalte11219</t>
  </si>
  <si>
    <t>Spalte11220</t>
  </si>
  <si>
    <t>Spalte11221</t>
  </si>
  <si>
    <t>Spalte11222</t>
  </si>
  <si>
    <t>Spalte11223</t>
  </si>
  <si>
    <t>Spalte11224</t>
  </si>
  <si>
    <t>Spalte11225</t>
  </si>
  <si>
    <t>Spalte11226</t>
  </si>
  <si>
    <t>Spalte11227</t>
  </si>
  <si>
    <t>Spalte11228</t>
  </si>
  <si>
    <t>Spalte11229</t>
  </si>
  <si>
    <t>Spalte11230</t>
  </si>
  <si>
    <t>Spalte11231</t>
  </si>
  <si>
    <t>Spalte11232</t>
  </si>
  <si>
    <t>Spalte11233</t>
  </si>
  <si>
    <t>Spalte11234</t>
  </si>
  <si>
    <t>Spalte11235</t>
  </si>
  <si>
    <t>Spalte11236</t>
  </si>
  <si>
    <t>Spalte11237</t>
  </si>
  <si>
    <t>Spalte11238</t>
  </si>
  <si>
    <t>Spalte11239</t>
  </si>
  <si>
    <t>Spalte11240</t>
  </si>
  <si>
    <t>Spalte11241</t>
  </si>
  <si>
    <t>Spalte11242</t>
  </si>
  <si>
    <t>Spalte11243</t>
  </si>
  <si>
    <t>Spalte11244</t>
  </si>
  <si>
    <t>Spalte11245</t>
  </si>
  <si>
    <t>Spalte11246</t>
  </si>
  <si>
    <t>Spalte11247</t>
  </si>
  <si>
    <t>Spalte11248</t>
  </si>
  <si>
    <t>Spalte11249</t>
  </si>
  <si>
    <t>Spalte11250</t>
  </si>
  <si>
    <t>Spalte11251</t>
  </si>
  <si>
    <t>Spalte11252</t>
  </si>
  <si>
    <t>Spalte11253</t>
  </si>
  <si>
    <t>Spalte11254</t>
  </si>
  <si>
    <t>Spalte11255</t>
  </si>
  <si>
    <t>Spalte11256</t>
  </si>
  <si>
    <t>Spalte11257</t>
  </si>
  <si>
    <t>Spalte11258</t>
  </si>
  <si>
    <t>Spalte11259</t>
  </si>
  <si>
    <t>Spalte11260</t>
  </si>
  <si>
    <t>Spalte11261</t>
  </si>
  <si>
    <t>Spalte11262</t>
  </si>
  <si>
    <t>Spalte11263</t>
  </si>
  <si>
    <t>Spalte11264</t>
  </si>
  <si>
    <t>Spalte11265</t>
  </si>
  <si>
    <t>Spalte11266</t>
  </si>
  <si>
    <t>Spalte11267</t>
  </si>
  <si>
    <t>Spalte11268</t>
  </si>
  <si>
    <t>Spalte11269</t>
  </si>
  <si>
    <t>Spalte11270</t>
  </si>
  <si>
    <t>Spalte11271</t>
  </si>
  <si>
    <t>Spalte11272</t>
  </si>
  <si>
    <t>Spalte11273</t>
  </si>
  <si>
    <t>Spalte11274</t>
  </si>
  <si>
    <t>Spalte11275</t>
  </si>
  <si>
    <t>Spalte11276</t>
  </si>
  <si>
    <t>Spalte11277</t>
  </si>
  <si>
    <t>Spalte11278</t>
  </si>
  <si>
    <t>Spalte11279</t>
  </si>
  <si>
    <t>Spalte11280</t>
  </si>
  <si>
    <t>Spalte11281</t>
  </si>
  <si>
    <t>Spalte11282</t>
  </si>
  <si>
    <t>Spalte11283</t>
  </si>
  <si>
    <t>Spalte11284</t>
  </si>
  <si>
    <t>Spalte11285</t>
  </si>
  <si>
    <t>Spalte11286</t>
  </si>
  <si>
    <t>Spalte11287</t>
  </si>
  <si>
    <t>Spalte11288</t>
  </si>
  <si>
    <t>Spalte11289</t>
  </si>
  <si>
    <t>Spalte11290</t>
  </si>
  <si>
    <t>Spalte11291</t>
  </si>
  <si>
    <t>Spalte11292</t>
  </si>
  <si>
    <t>Spalte11293</t>
  </si>
  <si>
    <t>Spalte11294</t>
  </si>
  <si>
    <t>Spalte11295</t>
  </si>
  <si>
    <t>Spalte11296</t>
  </si>
  <si>
    <t>Spalte11297</t>
  </si>
  <si>
    <t>Spalte11298</t>
  </si>
  <si>
    <t>Spalte11299</t>
  </si>
  <si>
    <t>Spalte11300</t>
  </si>
  <si>
    <t>Spalte11301</t>
  </si>
  <si>
    <t>Spalte11302</t>
  </si>
  <si>
    <t>Spalte11303</t>
  </si>
  <si>
    <t>Spalte11304</t>
  </si>
  <si>
    <t>Spalte11305</t>
  </si>
  <si>
    <t>Spalte11306</t>
  </si>
  <si>
    <t>Spalte11307</t>
  </si>
  <si>
    <t>Spalte11308</t>
  </si>
  <si>
    <t>Spalte11309</t>
  </si>
  <si>
    <t>Spalte11310</t>
  </si>
  <si>
    <t>Spalte11311</t>
  </si>
  <si>
    <t>Spalte11312</t>
  </si>
  <si>
    <t>Spalte11313</t>
  </si>
  <si>
    <t>Spalte11314</t>
  </si>
  <si>
    <t>Spalte11315</t>
  </si>
  <si>
    <t>Spalte11316</t>
  </si>
  <si>
    <t>Spalte11317</t>
  </si>
  <si>
    <t>Spalte11318</t>
  </si>
  <si>
    <t>Spalte11319</t>
  </si>
  <si>
    <t>Spalte11320</t>
  </si>
  <si>
    <t>Spalte11321</t>
  </si>
  <si>
    <t>Spalte11322</t>
  </si>
  <si>
    <t>Spalte11323</t>
  </si>
  <si>
    <t>Spalte11324</t>
  </si>
  <si>
    <t>Spalte11325</t>
  </si>
  <si>
    <t>Spalte11326</t>
  </si>
  <si>
    <t>Spalte11327</t>
  </si>
  <si>
    <t>Spalte11328</t>
  </si>
  <si>
    <t>Spalte11329</t>
  </si>
  <si>
    <t>Spalte11330</t>
  </si>
  <si>
    <t>Spalte11331</t>
  </si>
  <si>
    <t>Spalte11332</t>
  </si>
  <si>
    <t>Spalte11333</t>
  </si>
  <si>
    <t>Spalte11334</t>
  </si>
  <si>
    <t>Spalte11335</t>
  </si>
  <si>
    <t>Spalte11336</t>
  </si>
  <si>
    <t>Spalte11337</t>
  </si>
  <si>
    <t>Spalte11338</t>
  </si>
  <si>
    <t>Spalte11339</t>
  </si>
  <si>
    <t>Spalte11340</t>
  </si>
  <si>
    <t>Spalte11341</t>
  </si>
  <si>
    <t>Spalte11342</t>
  </si>
  <si>
    <t>Spalte11343</t>
  </si>
  <si>
    <t>Spalte11344</t>
  </si>
  <si>
    <t>Spalte11345</t>
  </si>
  <si>
    <t>Spalte11346</t>
  </si>
  <si>
    <t>Spalte11347</t>
  </si>
  <si>
    <t>Spalte11348</t>
  </si>
  <si>
    <t>Spalte11349</t>
  </si>
  <si>
    <t>Spalte11350</t>
  </si>
  <si>
    <t>Spalte11351</t>
  </si>
  <si>
    <t>Spalte11352</t>
  </si>
  <si>
    <t>Spalte11353</t>
  </si>
  <si>
    <t>Spalte11354</t>
  </si>
  <si>
    <t>Spalte11355</t>
  </si>
  <si>
    <t>Spalte11356</t>
  </si>
  <si>
    <t>Spalte11357</t>
  </si>
  <si>
    <t>Spalte11358</t>
  </si>
  <si>
    <t>Spalte11359</t>
  </si>
  <si>
    <t>Spalte11360</t>
  </si>
  <si>
    <t>Spalte11361</t>
  </si>
  <si>
    <t>Spalte11362</t>
  </si>
  <si>
    <t>Spalte11363</t>
  </si>
  <si>
    <t>Spalte11364</t>
  </si>
  <si>
    <t>Spalte11365</t>
  </si>
  <si>
    <t>Spalte11366</t>
  </si>
  <si>
    <t>Spalte11367</t>
  </si>
  <si>
    <t>Spalte11368</t>
  </si>
  <si>
    <t>Spalte11369</t>
  </si>
  <si>
    <t>Spalte11370</t>
  </si>
  <si>
    <t>Spalte11371</t>
  </si>
  <si>
    <t>Spalte11372</t>
  </si>
  <si>
    <t>Spalte11373</t>
  </si>
  <si>
    <t>Spalte11374</t>
  </si>
  <si>
    <t>Spalte11375</t>
  </si>
  <si>
    <t>Spalte11376</t>
  </si>
  <si>
    <t>Spalte11377</t>
  </si>
  <si>
    <t>Spalte11378</t>
  </si>
  <si>
    <t>Spalte11379</t>
  </si>
  <si>
    <t>Spalte11380</t>
  </si>
  <si>
    <t>Spalte11381</t>
  </si>
  <si>
    <t>Spalte11382</t>
  </si>
  <si>
    <t>Spalte11383</t>
  </si>
  <si>
    <t>Spalte11384</t>
  </si>
  <si>
    <t>Spalte11385</t>
  </si>
  <si>
    <t>Spalte11386</t>
  </si>
  <si>
    <t>Spalte11387</t>
  </si>
  <si>
    <t>Spalte11388</t>
  </si>
  <si>
    <t>Spalte11389</t>
  </si>
  <si>
    <t>Spalte11390</t>
  </si>
  <si>
    <t>Spalte11391</t>
  </si>
  <si>
    <t>Spalte11392</t>
  </si>
  <si>
    <t>Spalte11393</t>
  </si>
  <si>
    <t>Spalte11394</t>
  </si>
  <si>
    <t>Spalte11395</t>
  </si>
  <si>
    <t>Spalte11396</t>
  </si>
  <si>
    <t>Spalte11397</t>
  </si>
  <si>
    <t>Spalte11398</t>
  </si>
  <si>
    <t>Spalte11399</t>
  </si>
  <si>
    <t>Spalte11400</t>
  </si>
  <si>
    <t>Spalte11401</t>
  </si>
  <si>
    <t>Spalte11402</t>
  </si>
  <si>
    <t>Spalte11403</t>
  </si>
  <si>
    <t>Spalte11404</t>
  </si>
  <si>
    <t>Spalte11405</t>
  </si>
  <si>
    <t>Spalte11406</t>
  </si>
  <si>
    <t>Spalte11407</t>
  </si>
  <si>
    <t>Spalte11408</t>
  </si>
  <si>
    <t>Spalte11409</t>
  </si>
  <si>
    <t>Spalte11410</t>
  </si>
  <si>
    <t>Spalte11411</t>
  </si>
  <si>
    <t>Spalte11412</t>
  </si>
  <si>
    <t>Spalte11413</t>
  </si>
  <si>
    <t>Spalte11414</t>
  </si>
  <si>
    <t>Spalte11415</t>
  </si>
  <si>
    <t>Spalte11416</t>
  </si>
  <si>
    <t>Spalte11417</t>
  </si>
  <si>
    <t>Spalte11418</t>
  </si>
  <si>
    <t>Spalte11419</t>
  </si>
  <si>
    <t>Spalte11420</t>
  </si>
  <si>
    <t>Spalte11421</t>
  </si>
  <si>
    <t>Spalte11422</t>
  </si>
  <si>
    <t>Spalte11423</t>
  </si>
  <si>
    <t>Spalte11424</t>
  </si>
  <si>
    <t>Spalte11425</t>
  </si>
  <si>
    <t>Spalte11426</t>
  </si>
  <si>
    <t>Spalte11427</t>
  </si>
  <si>
    <t>Spalte11428</t>
  </si>
  <si>
    <t>Spalte11429</t>
  </si>
  <si>
    <t>Spalte11430</t>
  </si>
  <si>
    <t>Spalte11431</t>
  </si>
  <si>
    <t>Spalte11432</t>
  </si>
  <si>
    <t>Spalte11433</t>
  </si>
  <si>
    <t>Spalte11434</t>
  </si>
  <si>
    <t>Spalte11435</t>
  </si>
  <si>
    <t>Spalte11436</t>
  </si>
  <si>
    <t>Spalte11437</t>
  </si>
  <si>
    <t>Spalte11438</t>
  </si>
  <si>
    <t>Spalte11439</t>
  </si>
  <si>
    <t>Spalte11440</t>
  </si>
  <si>
    <t>Spalte11441</t>
  </si>
  <si>
    <t>Spalte11442</t>
  </si>
  <si>
    <t>Spalte11443</t>
  </si>
  <si>
    <t>Spalte11444</t>
  </si>
  <si>
    <t>Spalte11445</t>
  </si>
  <si>
    <t>Spalte11446</t>
  </si>
  <si>
    <t>Spalte11447</t>
  </si>
  <si>
    <t>Spalte11448</t>
  </si>
  <si>
    <t>Spalte11449</t>
  </si>
  <si>
    <t>Spalte11450</t>
  </si>
  <si>
    <t>Spalte11451</t>
  </si>
  <si>
    <t>Spalte11452</t>
  </si>
  <si>
    <t>Spalte11453</t>
  </si>
  <si>
    <t>Spalte11454</t>
  </si>
  <si>
    <t>Spalte11455</t>
  </si>
  <si>
    <t>Spalte11456</t>
  </si>
  <si>
    <t>Spalte11457</t>
  </si>
  <si>
    <t>Spalte11458</t>
  </si>
  <si>
    <t>Spalte11459</t>
  </si>
  <si>
    <t>Spalte11460</t>
  </si>
  <si>
    <t>Spalte11461</t>
  </si>
  <si>
    <t>Spalte11462</t>
  </si>
  <si>
    <t>Spalte11463</t>
  </si>
  <si>
    <t>Spalte11464</t>
  </si>
  <si>
    <t>Spalte11465</t>
  </si>
  <si>
    <t>Spalte11466</t>
  </si>
  <si>
    <t>Spalte11467</t>
  </si>
  <si>
    <t>Spalte11468</t>
  </si>
  <si>
    <t>Spalte11469</t>
  </si>
  <si>
    <t>Spalte11470</t>
  </si>
  <si>
    <t>Spalte11471</t>
  </si>
  <si>
    <t>Spalte11472</t>
  </si>
  <si>
    <t>Spalte11473</t>
  </si>
  <si>
    <t>Spalte11474</t>
  </si>
  <si>
    <t>Spalte11475</t>
  </si>
  <si>
    <t>Spalte11476</t>
  </si>
  <si>
    <t>Spalte11477</t>
  </si>
  <si>
    <t>Spalte11478</t>
  </si>
  <si>
    <t>Spalte11479</t>
  </si>
  <si>
    <t>Spalte11480</t>
  </si>
  <si>
    <t>Spalte11481</t>
  </si>
  <si>
    <t>Spalte11482</t>
  </si>
  <si>
    <t>Spalte11483</t>
  </si>
  <si>
    <t>Spalte11484</t>
  </si>
  <si>
    <t>Spalte11485</t>
  </si>
  <si>
    <t>Spalte11486</t>
  </si>
  <si>
    <t>Spalte11487</t>
  </si>
  <si>
    <t>Spalte11488</t>
  </si>
  <si>
    <t>Spalte11489</t>
  </si>
  <si>
    <t>Spalte11490</t>
  </si>
  <si>
    <t>Spalte11491</t>
  </si>
  <si>
    <t>Spalte11492</t>
  </si>
  <si>
    <t>Spalte11493</t>
  </si>
  <si>
    <t>Spalte11494</t>
  </si>
  <si>
    <t>Spalte11495</t>
  </si>
  <si>
    <t>Spalte11496</t>
  </si>
  <si>
    <t>Spalte11497</t>
  </si>
  <si>
    <t>Spalte11498</t>
  </si>
  <si>
    <t>Spalte11499</t>
  </si>
  <si>
    <t>Spalte11500</t>
  </si>
  <si>
    <t>Spalte11501</t>
  </si>
  <si>
    <t>Spalte11502</t>
  </si>
  <si>
    <t>Spalte11503</t>
  </si>
  <si>
    <t>Spalte11504</t>
  </si>
  <si>
    <t>Spalte11505</t>
  </si>
  <si>
    <t>Spalte11506</t>
  </si>
  <si>
    <t>Spalte11507</t>
  </si>
  <si>
    <t>Spalte11508</t>
  </si>
  <si>
    <t>Spalte11509</t>
  </si>
  <si>
    <t>Spalte11510</t>
  </si>
  <si>
    <t>Spalte11511</t>
  </si>
  <si>
    <t>Spalte11512</t>
  </si>
  <si>
    <t>Spalte11513</t>
  </si>
  <si>
    <t>Spalte11514</t>
  </si>
  <si>
    <t>Spalte11515</t>
  </si>
  <si>
    <t>Spalte11516</t>
  </si>
  <si>
    <t>Spalte11517</t>
  </si>
  <si>
    <t>Spalte11518</t>
  </si>
  <si>
    <t>Spalte11519</t>
  </si>
  <si>
    <t>Spalte11520</t>
  </si>
  <si>
    <t>Spalte11521</t>
  </si>
  <si>
    <t>Spalte11522</t>
  </si>
  <si>
    <t>Spalte11523</t>
  </si>
  <si>
    <t>Spalte11524</t>
  </si>
  <si>
    <t>Spalte11525</t>
  </si>
  <si>
    <t>Spalte11526</t>
  </si>
  <si>
    <t>Spalte11527</t>
  </si>
  <si>
    <t>Spalte11528</t>
  </si>
  <si>
    <t>Spalte11529</t>
  </si>
  <si>
    <t>Spalte11530</t>
  </si>
  <si>
    <t>Spalte11531</t>
  </si>
  <si>
    <t>Spalte11532</t>
  </si>
  <si>
    <t>Spalte11533</t>
  </si>
  <si>
    <t>Spalte11534</t>
  </si>
  <si>
    <t>Spalte11535</t>
  </si>
  <si>
    <t>Spalte11536</t>
  </si>
  <si>
    <t>Spalte11537</t>
  </si>
  <si>
    <t>Spalte11538</t>
  </si>
  <si>
    <t>Spalte11539</t>
  </si>
  <si>
    <t>Spalte11540</t>
  </si>
  <si>
    <t>Spalte11541</t>
  </si>
  <si>
    <t>Spalte11542</t>
  </si>
  <si>
    <t>Spalte11543</t>
  </si>
  <si>
    <t>Spalte11544</t>
  </si>
  <si>
    <t>Spalte11545</t>
  </si>
  <si>
    <t>Spalte11546</t>
  </si>
  <si>
    <t>Spalte11547</t>
  </si>
  <si>
    <t>Spalte11548</t>
  </si>
  <si>
    <t>Spalte11549</t>
  </si>
  <si>
    <t>Spalte11550</t>
  </si>
  <si>
    <t>Spalte11551</t>
  </si>
  <si>
    <t>Spalte11552</t>
  </si>
  <si>
    <t>Spalte11553</t>
  </si>
  <si>
    <t>Spalte11554</t>
  </si>
  <si>
    <t>Spalte11555</t>
  </si>
  <si>
    <t>Spalte11556</t>
  </si>
  <si>
    <t>Spalte11557</t>
  </si>
  <si>
    <t>Spalte11558</t>
  </si>
  <si>
    <t>Spalte11559</t>
  </si>
  <si>
    <t>Spalte11560</t>
  </si>
  <si>
    <t>Spalte11561</t>
  </si>
  <si>
    <t>Spalte11562</t>
  </si>
  <si>
    <t>Spalte11563</t>
  </si>
  <si>
    <t>Spalte11564</t>
  </si>
  <si>
    <t>Spalte11565</t>
  </si>
  <si>
    <t>Spalte11566</t>
  </si>
  <si>
    <t>Spalte11567</t>
  </si>
  <si>
    <t>Spalte11568</t>
  </si>
  <si>
    <t>Spalte11569</t>
  </si>
  <si>
    <t>Spalte11570</t>
  </si>
  <si>
    <t>Spalte11571</t>
  </si>
  <si>
    <t>Spalte11572</t>
  </si>
  <si>
    <t>Spalte11573</t>
  </si>
  <si>
    <t>Spalte11574</t>
  </si>
  <si>
    <t>Spalte11575</t>
  </si>
  <si>
    <t>Spalte11576</t>
  </si>
  <si>
    <t>Spalte11577</t>
  </si>
  <si>
    <t>Spalte11578</t>
  </si>
  <si>
    <t>Spalte11579</t>
  </si>
  <si>
    <t>Spalte11580</t>
  </si>
  <si>
    <t>Spalte11581</t>
  </si>
  <si>
    <t>Spalte11582</t>
  </si>
  <si>
    <t>Spalte11583</t>
  </si>
  <si>
    <t>Spalte11584</t>
  </si>
  <si>
    <t>Spalte11585</t>
  </si>
  <si>
    <t>Spalte11586</t>
  </si>
  <si>
    <t>Spalte11587</t>
  </si>
  <si>
    <t>Spalte11588</t>
  </si>
  <si>
    <t>Spalte11589</t>
  </si>
  <si>
    <t>Spalte11590</t>
  </si>
  <si>
    <t>Spalte11591</t>
  </si>
  <si>
    <t>Spalte11592</t>
  </si>
  <si>
    <t>Spalte11593</t>
  </si>
  <si>
    <t>Spalte11594</t>
  </si>
  <si>
    <t>Spalte11595</t>
  </si>
  <si>
    <t>Spalte11596</t>
  </si>
  <si>
    <t>Spalte11597</t>
  </si>
  <si>
    <t>Spalte11598</t>
  </si>
  <si>
    <t>Spalte11599</t>
  </si>
  <si>
    <t>Spalte11600</t>
  </si>
  <si>
    <t>Spalte11601</t>
  </si>
  <si>
    <t>Spalte11602</t>
  </si>
  <si>
    <t>Spalte11603</t>
  </si>
  <si>
    <t>Spalte11604</t>
  </si>
  <si>
    <t>Spalte11605</t>
  </si>
  <si>
    <t>Spalte11606</t>
  </si>
  <si>
    <t>Spalte11607</t>
  </si>
  <si>
    <t>Spalte11608</t>
  </si>
  <si>
    <t>Spalte11609</t>
  </si>
  <si>
    <t>Spalte11610</t>
  </si>
  <si>
    <t>Spalte11611</t>
  </si>
  <si>
    <t>Spalte11612</t>
  </si>
  <si>
    <t>Spalte11613</t>
  </si>
  <si>
    <t>Spalte11614</t>
  </si>
  <si>
    <t>Spalte11615</t>
  </si>
  <si>
    <t>Spalte11616</t>
  </si>
  <si>
    <t>Spalte11617</t>
  </si>
  <si>
    <t>Spalte11618</t>
  </si>
  <si>
    <t>Spalte11619</t>
  </si>
  <si>
    <t>Spalte11620</t>
  </si>
  <si>
    <t>Spalte11621</t>
  </si>
  <si>
    <t>Spalte11622</t>
  </si>
  <si>
    <t>Spalte11623</t>
  </si>
  <si>
    <t>Spalte11624</t>
  </si>
  <si>
    <t>Spalte11625</t>
  </si>
  <si>
    <t>Spalte11626</t>
  </si>
  <si>
    <t>Spalte11627</t>
  </si>
  <si>
    <t>Spalte11628</t>
  </si>
  <si>
    <t>Spalte11629</t>
  </si>
  <si>
    <t>Spalte11630</t>
  </si>
  <si>
    <t>Spalte11631</t>
  </si>
  <si>
    <t>Spalte11632</t>
  </si>
  <si>
    <t>Spalte11633</t>
  </si>
  <si>
    <t>Spalte11634</t>
  </si>
  <si>
    <t>Spalte11635</t>
  </si>
  <si>
    <t>Spalte11636</t>
  </si>
  <si>
    <t>Spalte11637</t>
  </si>
  <si>
    <t>Spalte11638</t>
  </si>
  <si>
    <t>Spalte11639</t>
  </si>
  <si>
    <t>Spalte11640</t>
  </si>
  <si>
    <t>Spalte11641</t>
  </si>
  <si>
    <t>Spalte11642</t>
  </si>
  <si>
    <t>Spalte11643</t>
  </si>
  <si>
    <t>Spalte11644</t>
  </si>
  <si>
    <t>Spalte11645</t>
  </si>
  <si>
    <t>Spalte11646</t>
  </si>
  <si>
    <t>Spalte11647</t>
  </si>
  <si>
    <t>Spalte11648</t>
  </si>
  <si>
    <t>Spalte11649</t>
  </si>
  <si>
    <t>Spalte11650</t>
  </si>
  <si>
    <t>Spalte11651</t>
  </si>
  <si>
    <t>Spalte11652</t>
  </si>
  <si>
    <t>Spalte11653</t>
  </si>
  <si>
    <t>Spalte11654</t>
  </si>
  <si>
    <t>Spalte11655</t>
  </si>
  <si>
    <t>Spalte11656</t>
  </si>
  <si>
    <t>Spalte11657</t>
  </si>
  <si>
    <t>Spalte11658</t>
  </si>
  <si>
    <t>Spalte11659</t>
  </si>
  <si>
    <t>Spalte11660</t>
  </si>
  <si>
    <t>Spalte11661</t>
  </si>
  <si>
    <t>Spalte11662</t>
  </si>
  <si>
    <t>Spalte11663</t>
  </si>
  <si>
    <t>Spalte11664</t>
  </si>
  <si>
    <t>Spalte11665</t>
  </si>
  <si>
    <t>Spalte11666</t>
  </si>
  <si>
    <t>Spalte11667</t>
  </si>
  <si>
    <t>Spalte11668</t>
  </si>
  <si>
    <t>Spalte11669</t>
  </si>
  <si>
    <t>Spalte11670</t>
  </si>
  <si>
    <t>Spalte11671</t>
  </si>
  <si>
    <t>Spalte11672</t>
  </si>
  <si>
    <t>Spalte11673</t>
  </si>
  <si>
    <t>Spalte11674</t>
  </si>
  <si>
    <t>Spalte11675</t>
  </si>
  <si>
    <t>Spalte11676</t>
  </si>
  <si>
    <t>Spalte11677</t>
  </si>
  <si>
    <t>Spalte11678</t>
  </si>
  <si>
    <t>Spalte11679</t>
  </si>
  <si>
    <t>Spalte11680</t>
  </si>
  <si>
    <t>Spalte11681</t>
  </si>
  <si>
    <t>Spalte11682</t>
  </si>
  <si>
    <t>Spalte11683</t>
  </si>
  <si>
    <t>Spalte11684</t>
  </si>
  <si>
    <t>Spalte11685</t>
  </si>
  <si>
    <t>Spalte11686</t>
  </si>
  <si>
    <t>Spalte11687</t>
  </si>
  <si>
    <t>Spalte11688</t>
  </si>
  <si>
    <t>Spalte11689</t>
  </si>
  <si>
    <t>Spalte11690</t>
  </si>
  <si>
    <t>Spalte11691</t>
  </si>
  <si>
    <t>Spalte11692</t>
  </si>
  <si>
    <t>Spalte11693</t>
  </si>
  <si>
    <t>Spalte11694</t>
  </si>
  <si>
    <t>Spalte11695</t>
  </si>
  <si>
    <t>Spalte11696</t>
  </si>
  <si>
    <t>Spalte11697</t>
  </si>
  <si>
    <t>Spalte11698</t>
  </si>
  <si>
    <t>Spalte11699</t>
  </si>
  <si>
    <t>Spalte11700</t>
  </si>
  <si>
    <t>Spalte11701</t>
  </si>
  <si>
    <t>Spalte11702</t>
  </si>
  <si>
    <t>Spalte11703</t>
  </si>
  <si>
    <t>Spalte11704</t>
  </si>
  <si>
    <t>Spalte11705</t>
  </si>
  <si>
    <t>Spalte11706</t>
  </si>
  <si>
    <t>Spalte11707</t>
  </si>
  <si>
    <t>Spalte11708</t>
  </si>
  <si>
    <t>Spalte11709</t>
  </si>
  <si>
    <t>Spalte11710</t>
  </si>
  <si>
    <t>Spalte11711</t>
  </si>
  <si>
    <t>Spalte11712</t>
  </si>
  <si>
    <t>Spalte11713</t>
  </si>
  <si>
    <t>Spalte11714</t>
  </si>
  <si>
    <t>Spalte11715</t>
  </si>
  <si>
    <t>Spalte11716</t>
  </si>
  <si>
    <t>Spalte11717</t>
  </si>
  <si>
    <t>Spalte11718</t>
  </si>
  <si>
    <t>Spalte11719</t>
  </si>
  <si>
    <t>Spalte11720</t>
  </si>
  <si>
    <t>Spalte11721</t>
  </si>
  <si>
    <t>Spalte11722</t>
  </si>
  <si>
    <t>Spalte11723</t>
  </si>
  <si>
    <t>Spalte11724</t>
  </si>
  <si>
    <t>Spalte11725</t>
  </si>
  <si>
    <t>Spalte11726</t>
  </si>
  <si>
    <t>Spalte11727</t>
  </si>
  <si>
    <t>Spalte11728</t>
  </si>
  <si>
    <t>Spalte11729</t>
  </si>
  <si>
    <t>Spalte11730</t>
  </si>
  <si>
    <t>Spalte11731</t>
  </si>
  <si>
    <t>Spalte11732</t>
  </si>
  <si>
    <t>Spalte11733</t>
  </si>
  <si>
    <t>Spalte11734</t>
  </si>
  <si>
    <t>Spalte11735</t>
  </si>
  <si>
    <t>Spalte11736</t>
  </si>
  <si>
    <t>Spalte11737</t>
  </si>
  <si>
    <t>Spalte11738</t>
  </si>
  <si>
    <t>Spalte11739</t>
  </si>
  <si>
    <t>Spalte11740</t>
  </si>
  <si>
    <t>Spalte11741</t>
  </si>
  <si>
    <t>Spalte11742</t>
  </si>
  <si>
    <t>Spalte11743</t>
  </si>
  <si>
    <t>Spalte11744</t>
  </si>
  <si>
    <t>Spalte11745</t>
  </si>
  <si>
    <t>Spalte11746</t>
  </si>
  <si>
    <t>Spalte11747</t>
  </si>
  <si>
    <t>Spalte11748</t>
  </si>
  <si>
    <t>Spalte11749</t>
  </si>
  <si>
    <t>Spalte11750</t>
  </si>
  <si>
    <t>Spalte11751</t>
  </si>
  <si>
    <t>Spalte11752</t>
  </si>
  <si>
    <t>Spalte11753</t>
  </si>
  <si>
    <t>Spalte11754</t>
  </si>
  <si>
    <t>Spalte11755</t>
  </si>
  <si>
    <t>Spalte11756</t>
  </si>
  <si>
    <t>Spalte11757</t>
  </si>
  <si>
    <t>Spalte11758</t>
  </si>
  <si>
    <t>Spalte11759</t>
  </si>
  <si>
    <t>Spalte11760</t>
  </si>
  <si>
    <t>Spalte11761</t>
  </si>
  <si>
    <t>Spalte11762</t>
  </si>
  <si>
    <t>Spalte11763</t>
  </si>
  <si>
    <t>Spalte11764</t>
  </si>
  <si>
    <t>Spalte11765</t>
  </si>
  <si>
    <t>Spalte11766</t>
  </si>
  <si>
    <t>Spalte11767</t>
  </si>
  <si>
    <t>Spalte11768</t>
  </si>
  <si>
    <t>Spalte11769</t>
  </si>
  <si>
    <t>Spalte11770</t>
  </si>
  <si>
    <t>Spalte11771</t>
  </si>
  <si>
    <t>Spalte11772</t>
  </si>
  <si>
    <t>Spalte11773</t>
  </si>
  <si>
    <t>Spalte11774</t>
  </si>
  <si>
    <t>Spalte11775</t>
  </si>
  <si>
    <t>Spalte11776</t>
  </si>
  <si>
    <t>Spalte11777</t>
  </si>
  <si>
    <t>Spalte11778</t>
  </si>
  <si>
    <t>Spalte11779</t>
  </si>
  <si>
    <t>Spalte11780</t>
  </si>
  <si>
    <t>Spalte11781</t>
  </si>
  <si>
    <t>Spalte11782</t>
  </si>
  <si>
    <t>Spalte11783</t>
  </si>
  <si>
    <t>Spalte11784</t>
  </si>
  <si>
    <t>Spalte11785</t>
  </si>
  <si>
    <t>Spalte11786</t>
  </si>
  <si>
    <t>Spalte11787</t>
  </si>
  <si>
    <t>Spalte11788</t>
  </si>
  <si>
    <t>Spalte11789</t>
  </si>
  <si>
    <t>Spalte11790</t>
  </si>
  <si>
    <t>Spalte11791</t>
  </si>
  <si>
    <t>Spalte11792</t>
  </si>
  <si>
    <t>Spalte11793</t>
  </si>
  <si>
    <t>Spalte11794</t>
  </si>
  <si>
    <t>Spalte11795</t>
  </si>
  <si>
    <t>Spalte11796</t>
  </si>
  <si>
    <t>Spalte11797</t>
  </si>
  <si>
    <t>Spalte11798</t>
  </si>
  <si>
    <t>Spalte11799</t>
  </si>
  <si>
    <t>Spalte11800</t>
  </si>
  <si>
    <t>Spalte11801</t>
  </si>
  <si>
    <t>Spalte11802</t>
  </si>
  <si>
    <t>Spalte11803</t>
  </si>
  <si>
    <t>Spalte11804</t>
  </si>
  <si>
    <t>Spalte11805</t>
  </si>
  <si>
    <t>Spalte11806</t>
  </si>
  <si>
    <t>Spalte11807</t>
  </si>
  <si>
    <t>Spalte11808</t>
  </si>
  <si>
    <t>Spalte11809</t>
  </si>
  <si>
    <t>Spalte11810</t>
  </si>
  <si>
    <t>Spalte11811</t>
  </si>
  <si>
    <t>Spalte11812</t>
  </si>
  <si>
    <t>Spalte11813</t>
  </si>
  <si>
    <t>Spalte11814</t>
  </si>
  <si>
    <t>Spalte11815</t>
  </si>
  <si>
    <t>Spalte11816</t>
  </si>
  <si>
    <t>Spalte11817</t>
  </si>
  <si>
    <t>Spalte11818</t>
  </si>
  <si>
    <t>Spalte11819</t>
  </si>
  <si>
    <t>Spalte11820</t>
  </si>
  <si>
    <t>Spalte11821</t>
  </si>
  <si>
    <t>Spalte11822</t>
  </si>
  <si>
    <t>Spalte11823</t>
  </si>
  <si>
    <t>Spalte11824</t>
  </si>
  <si>
    <t>Spalte11825</t>
  </si>
  <si>
    <t>Spalte11826</t>
  </si>
  <si>
    <t>Spalte11827</t>
  </si>
  <si>
    <t>Spalte11828</t>
  </si>
  <si>
    <t>Spalte11829</t>
  </si>
  <si>
    <t>Spalte11830</t>
  </si>
  <si>
    <t>Spalte11831</t>
  </si>
  <si>
    <t>Spalte11832</t>
  </si>
  <si>
    <t>Spalte11833</t>
  </si>
  <si>
    <t>Spalte11834</t>
  </si>
  <si>
    <t>Spalte11835</t>
  </si>
  <si>
    <t>Spalte11836</t>
  </si>
  <si>
    <t>Spalte11837</t>
  </si>
  <si>
    <t>Spalte11838</t>
  </si>
  <si>
    <t>Spalte11839</t>
  </si>
  <si>
    <t>Spalte11840</t>
  </si>
  <si>
    <t>Spalte11841</t>
  </si>
  <si>
    <t>Spalte11842</t>
  </si>
  <si>
    <t>Spalte11843</t>
  </si>
  <si>
    <t>Spalte11844</t>
  </si>
  <si>
    <t>Spalte11845</t>
  </si>
  <si>
    <t>Spalte11846</t>
  </si>
  <si>
    <t>Spalte11847</t>
  </si>
  <si>
    <t>Spalte11848</t>
  </si>
  <si>
    <t>Spalte11849</t>
  </si>
  <si>
    <t>Spalte11850</t>
  </si>
  <si>
    <t>Spalte11851</t>
  </si>
  <si>
    <t>Spalte11852</t>
  </si>
  <si>
    <t>Spalte11853</t>
  </si>
  <si>
    <t>Spalte11854</t>
  </si>
  <si>
    <t>Spalte11855</t>
  </si>
  <si>
    <t>Spalte11856</t>
  </si>
  <si>
    <t>Spalte11857</t>
  </si>
  <si>
    <t>Spalte11858</t>
  </si>
  <si>
    <t>Spalte11859</t>
  </si>
  <si>
    <t>Spalte11860</t>
  </si>
  <si>
    <t>Spalte11861</t>
  </si>
  <si>
    <t>Spalte11862</t>
  </si>
  <si>
    <t>Spalte11863</t>
  </si>
  <si>
    <t>Spalte11864</t>
  </si>
  <si>
    <t>Spalte11865</t>
  </si>
  <si>
    <t>Spalte11866</t>
  </si>
  <si>
    <t>Spalte11867</t>
  </si>
  <si>
    <t>Spalte11868</t>
  </si>
  <si>
    <t>Spalte11869</t>
  </si>
  <si>
    <t>Spalte11870</t>
  </si>
  <si>
    <t>Spalte11871</t>
  </si>
  <si>
    <t>Spalte11872</t>
  </si>
  <si>
    <t>Spalte11873</t>
  </si>
  <si>
    <t>Spalte11874</t>
  </si>
  <si>
    <t>Spalte11875</t>
  </si>
  <si>
    <t>Spalte11876</t>
  </si>
  <si>
    <t>Spalte11877</t>
  </si>
  <si>
    <t>Spalte11878</t>
  </si>
  <si>
    <t>Spalte11879</t>
  </si>
  <si>
    <t>Spalte11880</t>
  </si>
  <si>
    <t>Spalte11881</t>
  </si>
  <si>
    <t>Spalte11882</t>
  </si>
  <si>
    <t>Spalte11883</t>
  </si>
  <si>
    <t>Spalte11884</t>
  </si>
  <si>
    <t>Spalte11885</t>
  </si>
  <si>
    <t>Spalte11886</t>
  </si>
  <si>
    <t>Spalte11887</t>
  </si>
  <si>
    <t>Spalte11888</t>
  </si>
  <si>
    <t>Spalte11889</t>
  </si>
  <si>
    <t>Spalte11890</t>
  </si>
  <si>
    <t>Spalte11891</t>
  </si>
  <si>
    <t>Spalte11892</t>
  </si>
  <si>
    <t>Spalte11893</t>
  </si>
  <si>
    <t>Spalte11894</t>
  </si>
  <si>
    <t>Spalte11895</t>
  </si>
  <si>
    <t>Spalte11896</t>
  </si>
  <si>
    <t>Spalte11897</t>
  </si>
  <si>
    <t>Spalte11898</t>
  </si>
  <si>
    <t>Spalte11899</t>
  </si>
  <si>
    <t>Spalte11900</t>
  </si>
  <si>
    <t>Spalte11901</t>
  </si>
  <si>
    <t>Spalte11902</t>
  </si>
  <si>
    <t>Spalte11903</t>
  </si>
  <si>
    <t>Spalte11904</t>
  </si>
  <si>
    <t>Spalte11905</t>
  </si>
  <si>
    <t>Spalte11906</t>
  </si>
  <si>
    <t>Spalte11907</t>
  </si>
  <si>
    <t>Spalte11908</t>
  </si>
  <si>
    <t>Spalte11909</t>
  </si>
  <si>
    <t>Spalte11910</t>
  </si>
  <si>
    <t>Spalte11911</t>
  </si>
  <si>
    <t>Spalte11912</t>
  </si>
  <si>
    <t>Spalte11913</t>
  </si>
  <si>
    <t>Spalte11914</t>
  </si>
  <si>
    <t>Spalte11915</t>
  </si>
  <si>
    <t>Spalte11916</t>
  </si>
  <si>
    <t>Spalte11917</t>
  </si>
  <si>
    <t>Spalte11918</t>
  </si>
  <si>
    <t>Spalte11919</t>
  </si>
  <si>
    <t>Spalte11920</t>
  </si>
  <si>
    <t>Spalte11921</t>
  </si>
  <si>
    <t>Spalte11922</t>
  </si>
  <si>
    <t>Spalte11923</t>
  </si>
  <si>
    <t>Spalte11924</t>
  </si>
  <si>
    <t>Spalte11925</t>
  </si>
  <si>
    <t>Spalte11926</t>
  </si>
  <si>
    <t>Spalte11927</t>
  </si>
  <si>
    <t>Spalte11928</t>
  </si>
  <si>
    <t>Spalte11929</t>
  </si>
  <si>
    <t>Spalte11930</t>
  </si>
  <si>
    <t>Spalte11931</t>
  </si>
  <si>
    <t>Spalte11932</t>
  </si>
  <si>
    <t>Spalte11933</t>
  </si>
  <si>
    <t>Spalte11934</t>
  </si>
  <si>
    <t>Spalte11935</t>
  </si>
  <si>
    <t>Spalte11936</t>
  </si>
  <si>
    <t>Spalte11937</t>
  </si>
  <si>
    <t>Spalte11938</t>
  </si>
  <si>
    <t>Spalte11939</t>
  </si>
  <si>
    <t>Spalte11940</t>
  </si>
  <si>
    <t>Spalte11941</t>
  </si>
  <si>
    <t>Spalte11942</t>
  </si>
  <si>
    <t>Spalte11943</t>
  </si>
  <si>
    <t>Spalte11944</t>
  </si>
  <si>
    <t>Spalte11945</t>
  </si>
  <si>
    <t>Spalte11946</t>
  </si>
  <si>
    <t>Spalte11947</t>
  </si>
  <si>
    <t>Spalte11948</t>
  </si>
  <si>
    <t>Spalte11949</t>
  </si>
  <si>
    <t>Spalte11950</t>
  </si>
  <si>
    <t>Spalte11951</t>
  </si>
  <si>
    <t>Spalte11952</t>
  </si>
  <si>
    <t>Spalte11953</t>
  </si>
  <si>
    <t>Spalte11954</t>
  </si>
  <si>
    <t>Spalte11955</t>
  </si>
  <si>
    <t>Spalte11956</t>
  </si>
  <si>
    <t>Spalte11957</t>
  </si>
  <si>
    <t>Spalte11958</t>
  </si>
  <si>
    <t>Spalte11959</t>
  </si>
  <si>
    <t>Spalte11960</t>
  </si>
  <si>
    <t>Spalte11961</t>
  </si>
  <si>
    <t>Spalte11962</t>
  </si>
  <si>
    <t>Spalte11963</t>
  </si>
  <si>
    <t>Spalte11964</t>
  </si>
  <si>
    <t>Spalte11965</t>
  </si>
  <si>
    <t>Spalte11966</t>
  </si>
  <si>
    <t>Spalte11967</t>
  </si>
  <si>
    <t>Spalte11968</t>
  </si>
  <si>
    <t>Spalte11969</t>
  </si>
  <si>
    <t>Spalte11970</t>
  </si>
  <si>
    <t>Spalte11971</t>
  </si>
  <si>
    <t>Spalte11972</t>
  </si>
  <si>
    <t>Spalte11973</t>
  </si>
  <si>
    <t>Spalte11974</t>
  </si>
  <si>
    <t>Spalte11975</t>
  </si>
  <si>
    <t>Spalte11976</t>
  </si>
  <si>
    <t>Spalte11977</t>
  </si>
  <si>
    <t>Spalte11978</t>
  </si>
  <si>
    <t>Spalte11979</t>
  </si>
  <si>
    <t>Spalte11980</t>
  </si>
  <si>
    <t>Spalte11981</t>
  </si>
  <si>
    <t>Spalte11982</t>
  </si>
  <si>
    <t>Spalte11983</t>
  </si>
  <si>
    <t>Spalte11984</t>
  </si>
  <si>
    <t>Spalte11985</t>
  </si>
  <si>
    <t>Spalte11986</t>
  </si>
  <si>
    <t>Spalte11987</t>
  </si>
  <si>
    <t>Spalte11988</t>
  </si>
  <si>
    <t>Spalte11989</t>
  </si>
  <si>
    <t>Spalte11990</t>
  </si>
  <si>
    <t>Spalte11991</t>
  </si>
  <si>
    <t>Spalte11992</t>
  </si>
  <si>
    <t>Spalte11993</t>
  </si>
  <si>
    <t>Spalte11994</t>
  </si>
  <si>
    <t>Spalte11995</t>
  </si>
  <si>
    <t>Spalte11996</t>
  </si>
  <si>
    <t>Spalte11997</t>
  </si>
  <si>
    <t>Spalte11998</t>
  </si>
  <si>
    <t>Spalte11999</t>
  </si>
  <si>
    <t>Spalte12000</t>
  </si>
  <si>
    <t>Spalte12001</t>
  </si>
  <si>
    <t>Spalte12002</t>
  </si>
  <si>
    <t>Spalte12003</t>
  </si>
  <si>
    <t>Spalte12004</t>
  </si>
  <si>
    <t>Spalte12005</t>
  </si>
  <si>
    <t>Spalte12006</t>
  </si>
  <si>
    <t>Spalte12007</t>
  </si>
  <si>
    <t>Spalte12008</t>
  </si>
  <si>
    <t>Spalte12009</t>
  </si>
  <si>
    <t>Spalte12010</t>
  </si>
  <si>
    <t>Spalte12011</t>
  </si>
  <si>
    <t>Spalte12012</t>
  </si>
  <si>
    <t>Spalte12013</t>
  </si>
  <si>
    <t>Spalte12014</t>
  </si>
  <si>
    <t>Spalte12015</t>
  </si>
  <si>
    <t>Spalte12016</t>
  </si>
  <si>
    <t>Spalte12017</t>
  </si>
  <si>
    <t>Spalte12018</t>
  </si>
  <si>
    <t>Spalte12019</t>
  </si>
  <si>
    <t>Spalte12020</t>
  </si>
  <si>
    <t>Spalte12021</t>
  </si>
  <si>
    <t>Spalte12022</t>
  </si>
  <si>
    <t>Spalte12023</t>
  </si>
  <si>
    <t>Spalte12024</t>
  </si>
  <si>
    <t>Spalte12025</t>
  </si>
  <si>
    <t>Spalte12026</t>
  </si>
  <si>
    <t>Spalte12027</t>
  </si>
  <si>
    <t>Spalte12028</t>
  </si>
  <si>
    <t>Spalte12029</t>
  </si>
  <si>
    <t>Spalte12030</t>
  </si>
  <si>
    <t>Spalte12031</t>
  </si>
  <si>
    <t>Spalte12032</t>
  </si>
  <si>
    <t>Spalte12033</t>
  </si>
  <si>
    <t>Spalte12034</t>
  </si>
  <si>
    <t>Spalte12035</t>
  </si>
  <si>
    <t>Spalte12036</t>
  </si>
  <si>
    <t>Spalte12037</t>
  </si>
  <si>
    <t>Spalte12038</t>
  </si>
  <si>
    <t>Spalte12039</t>
  </si>
  <si>
    <t>Spalte12040</t>
  </si>
  <si>
    <t>Spalte12041</t>
  </si>
  <si>
    <t>Spalte12042</t>
  </si>
  <si>
    <t>Spalte12043</t>
  </si>
  <si>
    <t>Spalte12044</t>
  </si>
  <si>
    <t>Spalte12045</t>
  </si>
  <si>
    <t>Spalte12046</t>
  </si>
  <si>
    <t>Spalte12047</t>
  </si>
  <si>
    <t>Spalte12048</t>
  </si>
  <si>
    <t>Spalte12049</t>
  </si>
  <si>
    <t>Spalte12050</t>
  </si>
  <si>
    <t>Spalte12051</t>
  </si>
  <si>
    <t>Spalte12052</t>
  </si>
  <si>
    <t>Spalte12053</t>
  </si>
  <si>
    <t>Spalte12054</t>
  </si>
  <si>
    <t>Spalte12055</t>
  </si>
  <si>
    <t>Spalte12056</t>
  </si>
  <si>
    <t>Spalte12057</t>
  </si>
  <si>
    <t>Spalte12058</t>
  </si>
  <si>
    <t>Spalte12059</t>
  </si>
  <si>
    <t>Spalte12060</t>
  </si>
  <si>
    <t>Spalte12061</t>
  </si>
  <si>
    <t>Spalte12062</t>
  </si>
  <si>
    <t>Spalte12063</t>
  </si>
  <si>
    <t>Spalte12064</t>
  </si>
  <si>
    <t>Spalte12065</t>
  </si>
  <si>
    <t>Spalte12066</t>
  </si>
  <si>
    <t>Spalte12067</t>
  </si>
  <si>
    <t>Spalte12068</t>
  </si>
  <si>
    <t>Spalte12069</t>
  </si>
  <si>
    <t>Spalte12070</t>
  </si>
  <si>
    <t>Spalte12071</t>
  </si>
  <si>
    <t>Spalte12072</t>
  </si>
  <si>
    <t>Spalte12073</t>
  </si>
  <si>
    <t>Spalte12074</t>
  </si>
  <si>
    <t>Spalte12075</t>
  </si>
  <si>
    <t>Spalte12076</t>
  </si>
  <si>
    <t>Spalte12077</t>
  </si>
  <si>
    <t>Spalte12078</t>
  </si>
  <si>
    <t>Spalte12079</t>
  </si>
  <si>
    <t>Spalte12080</t>
  </si>
  <si>
    <t>Spalte12081</t>
  </si>
  <si>
    <t>Spalte12082</t>
  </si>
  <si>
    <t>Spalte12083</t>
  </si>
  <si>
    <t>Spalte12084</t>
  </si>
  <si>
    <t>Spalte12085</t>
  </si>
  <si>
    <t>Spalte12086</t>
  </si>
  <si>
    <t>Spalte12087</t>
  </si>
  <si>
    <t>Spalte12088</t>
  </si>
  <si>
    <t>Spalte12089</t>
  </si>
  <si>
    <t>Spalte12090</t>
  </si>
  <si>
    <t>Spalte12091</t>
  </si>
  <si>
    <t>Spalte12092</t>
  </si>
  <si>
    <t>Spalte12093</t>
  </si>
  <si>
    <t>Spalte12094</t>
  </si>
  <si>
    <t>Spalte12095</t>
  </si>
  <si>
    <t>Spalte12096</t>
  </si>
  <si>
    <t>Spalte12097</t>
  </si>
  <si>
    <t>Spalte12098</t>
  </si>
  <si>
    <t>Spalte12099</t>
  </si>
  <si>
    <t>Spalte12100</t>
  </si>
  <si>
    <t>Spalte12101</t>
  </si>
  <si>
    <t>Spalte12102</t>
  </si>
  <si>
    <t>Spalte12103</t>
  </si>
  <si>
    <t>Spalte12104</t>
  </si>
  <si>
    <t>Spalte12105</t>
  </si>
  <si>
    <t>Spalte12106</t>
  </si>
  <si>
    <t>Spalte12107</t>
  </si>
  <si>
    <t>Spalte12108</t>
  </si>
  <si>
    <t>Spalte12109</t>
  </si>
  <si>
    <t>Spalte12110</t>
  </si>
  <si>
    <t>Spalte12111</t>
  </si>
  <si>
    <t>Spalte12112</t>
  </si>
  <si>
    <t>Spalte12113</t>
  </si>
  <si>
    <t>Spalte12114</t>
  </si>
  <si>
    <t>Spalte12115</t>
  </si>
  <si>
    <t>Spalte12116</t>
  </si>
  <si>
    <t>Spalte12117</t>
  </si>
  <si>
    <t>Spalte12118</t>
  </si>
  <si>
    <t>Spalte12119</t>
  </si>
  <si>
    <t>Spalte12120</t>
  </si>
  <si>
    <t>Spalte12121</t>
  </si>
  <si>
    <t>Spalte12122</t>
  </si>
  <si>
    <t>Spalte12123</t>
  </si>
  <si>
    <t>Spalte12124</t>
  </si>
  <si>
    <t>Spalte12125</t>
  </si>
  <si>
    <t>Spalte12126</t>
  </si>
  <si>
    <t>Spalte12127</t>
  </si>
  <si>
    <t>Spalte12128</t>
  </si>
  <si>
    <t>Spalte12129</t>
  </si>
  <si>
    <t>Spalte12130</t>
  </si>
  <si>
    <t>Spalte12131</t>
  </si>
  <si>
    <t>Spalte12132</t>
  </si>
  <si>
    <t>Spalte12133</t>
  </si>
  <si>
    <t>Spalte12134</t>
  </si>
  <si>
    <t>Spalte12135</t>
  </si>
  <si>
    <t>Spalte12136</t>
  </si>
  <si>
    <t>Spalte12137</t>
  </si>
  <si>
    <t>Spalte12138</t>
  </si>
  <si>
    <t>Spalte12139</t>
  </si>
  <si>
    <t>Spalte12140</t>
  </si>
  <si>
    <t>Spalte12141</t>
  </si>
  <si>
    <t>Spalte12142</t>
  </si>
  <si>
    <t>Spalte12143</t>
  </si>
  <si>
    <t>Spalte12144</t>
  </si>
  <si>
    <t>Spalte12145</t>
  </si>
  <si>
    <t>Spalte12146</t>
  </si>
  <si>
    <t>Spalte12147</t>
  </si>
  <si>
    <t>Spalte12148</t>
  </si>
  <si>
    <t>Spalte12149</t>
  </si>
  <si>
    <t>Spalte12150</t>
  </si>
  <si>
    <t>Spalte12151</t>
  </si>
  <si>
    <t>Spalte12152</t>
  </si>
  <si>
    <t>Spalte12153</t>
  </si>
  <si>
    <t>Spalte12154</t>
  </si>
  <si>
    <t>Spalte12155</t>
  </si>
  <si>
    <t>Spalte12156</t>
  </si>
  <si>
    <t>Spalte12157</t>
  </si>
  <si>
    <t>Spalte12158</t>
  </si>
  <si>
    <t>Spalte12159</t>
  </si>
  <si>
    <t>Spalte12160</t>
  </si>
  <si>
    <t>Spalte12161</t>
  </si>
  <si>
    <t>Spalte12162</t>
  </si>
  <si>
    <t>Spalte12163</t>
  </si>
  <si>
    <t>Spalte12164</t>
  </si>
  <si>
    <t>Spalte12165</t>
  </si>
  <si>
    <t>Spalte12166</t>
  </si>
  <si>
    <t>Spalte12167</t>
  </si>
  <si>
    <t>Spalte12168</t>
  </si>
  <si>
    <t>Spalte12169</t>
  </si>
  <si>
    <t>Spalte12170</t>
  </si>
  <si>
    <t>Spalte12171</t>
  </si>
  <si>
    <t>Spalte12172</t>
  </si>
  <si>
    <t>Spalte12173</t>
  </si>
  <si>
    <t>Spalte12174</t>
  </si>
  <si>
    <t>Spalte12175</t>
  </si>
  <si>
    <t>Spalte12176</t>
  </si>
  <si>
    <t>Spalte12177</t>
  </si>
  <si>
    <t>Spalte12178</t>
  </si>
  <si>
    <t>Spalte12179</t>
  </si>
  <si>
    <t>Spalte12180</t>
  </si>
  <si>
    <t>Spalte12181</t>
  </si>
  <si>
    <t>Spalte12182</t>
  </si>
  <si>
    <t>Spalte12183</t>
  </si>
  <si>
    <t>Spalte12184</t>
  </si>
  <si>
    <t>Spalte12185</t>
  </si>
  <si>
    <t>Spalte12186</t>
  </si>
  <si>
    <t>Spalte12187</t>
  </si>
  <si>
    <t>Spalte12188</t>
  </si>
  <si>
    <t>Spalte12189</t>
  </si>
  <si>
    <t>Spalte12190</t>
  </si>
  <si>
    <t>Spalte12191</t>
  </si>
  <si>
    <t>Spalte12192</t>
  </si>
  <si>
    <t>Spalte12193</t>
  </si>
  <si>
    <t>Spalte12194</t>
  </si>
  <si>
    <t>Spalte12195</t>
  </si>
  <si>
    <t>Spalte12196</t>
  </si>
  <si>
    <t>Spalte12197</t>
  </si>
  <si>
    <t>Spalte12198</t>
  </si>
  <si>
    <t>Spalte12199</t>
  </si>
  <si>
    <t>Spalte12200</t>
  </si>
  <si>
    <t>Spalte12201</t>
  </si>
  <si>
    <t>Spalte12202</t>
  </si>
  <si>
    <t>Spalte12203</t>
  </si>
  <si>
    <t>Spalte12204</t>
  </si>
  <si>
    <t>Spalte12205</t>
  </si>
  <si>
    <t>Spalte12206</t>
  </si>
  <si>
    <t>Spalte12207</t>
  </si>
  <si>
    <t>Spalte12208</t>
  </si>
  <si>
    <t>Spalte12209</t>
  </si>
  <si>
    <t>Spalte12210</t>
  </si>
  <si>
    <t>Spalte12211</t>
  </si>
  <si>
    <t>Spalte12212</t>
  </si>
  <si>
    <t>Spalte12213</t>
  </si>
  <si>
    <t>Spalte12214</t>
  </si>
  <si>
    <t>Spalte12215</t>
  </si>
  <si>
    <t>Spalte12216</t>
  </si>
  <si>
    <t>Spalte12217</t>
  </si>
  <si>
    <t>Spalte12218</t>
  </si>
  <si>
    <t>Spalte12219</t>
  </si>
  <si>
    <t>Spalte12220</t>
  </si>
  <si>
    <t>Spalte12221</t>
  </si>
  <si>
    <t>Spalte12222</t>
  </si>
  <si>
    <t>Spalte12223</t>
  </si>
  <si>
    <t>Spalte12224</t>
  </si>
  <si>
    <t>Spalte12225</t>
  </si>
  <si>
    <t>Spalte12226</t>
  </si>
  <si>
    <t>Spalte12227</t>
  </si>
  <si>
    <t>Spalte12228</t>
  </si>
  <si>
    <t>Spalte12229</t>
  </si>
  <si>
    <t>Spalte12230</t>
  </si>
  <si>
    <t>Spalte12231</t>
  </si>
  <si>
    <t>Spalte12232</t>
  </si>
  <si>
    <t>Spalte12233</t>
  </si>
  <si>
    <t>Spalte12234</t>
  </si>
  <si>
    <t>Spalte12235</t>
  </si>
  <si>
    <t>Spalte12236</t>
  </si>
  <si>
    <t>Spalte12237</t>
  </si>
  <si>
    <t>Spalte12238</t>
  </si>
  <si>
    <t>Spalte12239</t>
  </si>
  <si>
    <t>Spalte12240</t>
  </si>
  <si>
    <t>Spalte12241</t>
  </si>
  <si>
    <t>Spalte12242</t>
  </si>
  <si>
    <t>Spalte12243</t>
  </si>
  <si>
    <t>Spalte12244</t>
  </si>
  <si>
    <t>Spalte12245</t>
  </si>
  <si>
    <t>Spalte12246</t>
  </si>
  <si>
    <t>Spalte12247</t>
  </si>
  <si>
    <t>Spalte12248</t>
  </si>
  <si>
    <t>Spalte12249</t>
  </si>
  <si>
    <t>Spalte12250</t>
  </si>
  <si>
    <t>Spalte12251</t>
  </si>
  <si>
    <t>Spalte12252</t>
  </si>
  <si>
    <t>Spalte12253</t>
  </si>
  <si>
    <t>Spalte12254</t>
  </si>
  <si>
    <t>Spalte12255</t>
  </si>
  <si>
    <t>Spalte12256</t>
  </si>
  <si>
    <t>Spalte12257</t>
  </si>
  <si>
    <t>Spalte12258</t>
  </si>
  <si>
    <t>Spalte12259</t>
  </si>
  <si>
    <t>Spalte12260</t>
  </si>
  <si>
    <t>Spalte12261</t>
  </si>
  <si>
    <t>Spalte12262</t>
  </si>
  <si>
    <t>Spalte12263</t>
  </si>
  <si>
    <t>Spalte12264</t>
  </si>
  <si>
    <t>Spalte12265</t>
  </si>
  <si>
    <t>Spalte12266</t>
  </si>
  <si>
    <t>Spalte12267</t>
  </si>
  <si>
    <t>Spalte12268</t>
  </si>
  <si>
    <t>Spalte12269</t>
  </si>
  <si>
    <t>Spalte12270</t>
  </si>
  <si>
    <t>Spalte12271</t>
  </si>
  <si>
    <t>Spalte12272</t>
  </si>
  <si>
    <t>Spalte12273</t>
  </si>
  <si>
    <t>Spalte12274</t>
  </si>
  <si>
    <t>Spalte12275</t>
  </si>
  <si>
    <t>Spalte12276</t>
  </si>
  <si>
    <t>Spalte12277</t>
  </si>
  <si>
    <t>Spalte12278</t>
  </si>
  <si>
    <t>Spalte12279</t>
  </si>
  <si>
    <t>Spalte12280</t>
  </si>
  <si>
    <t>Spalte12281</t>
  </si>
  <si>
    <t>Spalte12282</t>
  </si>
  <si>
    <t>Spalte12283</t>
  </si>
  <si>
    <t>Spalte12284</t>
  </si>
  <si>
    <t>Spalte12285</t>
  </si>
  <si>
    <t>Spalte12286</t>
  </si>
  <si>
    <t>Spalte12287</t>
  </si>
  <si>
    <t>Spalte12288</t>
  </si>
  <si>
    <t>Spalte12289</t>
  </si>
  <si>
    <t>Spalte12290</t>
  </si>
  <si>
    <t>Spalte12291</t>
  </si>
  <si>
    <t>Spalte12292</t>
  </si>
  <si>
    <t>Spalte12293</t>
  </si>
  <si>
    <t>Spalte12294</t>
  </si>
  <si>
    <t>Spalte12295</t>
  </si>
  <si>
    <t>Spalte12296</t>
  </si>
  <si>
    <t>Spalte12297</t>
  </si>
  <si>
    <t>Spalte12298</t>
  </si>
  <si>
    <t>Spalte12299</t>
  </si>
  <si>
    <t>Spalte12300</t>
  </si>
  <si>
    <t>Spalte12301</t>
  </si>
  <si>
    <t>Spalte12302</t>
  </si>
  <si>
    <t>Spalte12303</t>
  </si>
  <si>
    <t>Spalte12304</t>
  </si>
  <si>
    <t>Spalte12305</t>
  </si>
  <si>
    <t>Spalte12306</t>
  </si>
  <si>
    <t>Spalte12307</t>
  </si>
  <si>
    <t>Spalte12308</t>
  </si>
  <si>
    <t>Spalte12309</t>
  </si>
  <si>
    <t>Spalte12310</t>
  </si>
  <si>
    <t>Spalte12311</t>
  </si>
  <si>
    <t>Spalte12312</t>
  </si>
  <si>
    <t>Spalte12313</t>
  </si>
  <si>
    <t>Spalte12314</t>
  </si>
  <si>
    <t>Spalte12315</t>
  </si>
  <si>
    <t>Spalte12316</t>
  </si>
  <si>
    <t>Spalte12317</t>
  </si>
  <si>
    <t>Spalte12318</t>
  </si>
  <si>
    <t>Spalte12319</t>
  </si>
  <si>
    <t>Spalte12320</t>
  </si>
  <si>
    <t>Spalte12321</t>
  </si>
  <si>
    <t>Spalte12322</t>
  </si>
  <si>
    <t>Spalte12323</t>
  </si>
  <si>
    <t>Spalte12324</t>
  </si>
  <si>
    <t>Spalte12325</t>
  </si>
  <si>
    <t>Spalte12326</t>
  </si>
  <si>
    <t>Spalte12327</t>
  </si>
  <si>
    <t>Spalte12328</t>
  </si>
  <si>
    <t>Spalte12329</t>
  </si>
  <si>
    <t>Spalte12330</t>
  </si>
  <si>
    <t>Spalte12331</t>
  </si>
  <si>
    <t>Spalte12332</t>
  </si>
  <si>
    <t>Spalte12333</t>
  </si>
  <si>
    <t>Spalte12334</t>
  </si>
  <si>
    <t>Spalte12335</t>
  </si>
  <si>
    <t>Spalte12336</t>
  </si>
  <si>
    <t>Spalte12337</t>
  </si>
  <si>
    <t>Spalte12338</t>
  </si>
  <si>
    <t>Spalte12339</t>
  </si>
  <si>
    <t>Spalte12340</t>
  </si>
  <si>
    <t>Spalte12341</t>
  </si>
  <si>
    <t>Spalte12342</t>
  </si>
  <si>
    <t>Spalte12343</t>
  </si>
  <si>
    <t>Spalte12344</t>
  </si>
  <si>
    <t>Spalte12345</t>
  </si>
  <si>
    <t>Spalte12346</t>
  </si>
  <si>
    <t>Spalte12347</t>
  </si>
  <si>
    <t>Spalte12348</t>
  </si>
  <si>
    <t>Spalte12349</t>
  </si>
  <si>
    <t>Spalte12350</t>
  </si>
  <si>
    <t>Spalte12351</t>
  </si>
  <si>
    <t>Spalte12352</t>
  </si>
  <si>
    <t>Spalte12353</t>
  </si>
  <si>
    <t>Spalte12354</t>
  </si>
  <si>
    <t>Spalte12355</t>
  </si>
  <si>
    <t>Spalte12356</t>
  </si>
  <si>
    <t>Spalte12357</t>
  </si>
  <si>
    <t>Spalte12358</t>
  </si>
  <si>
    <t>Spalte12359</t>
  </si>
  <si>
    <t>Spalte12360</t>
  </si>
  <si>
    <t>Spalte12361</t>
  </si>
  <si>
    <t>Spalte12362</t>
  </si>
  <si>
    <t>Spalte12363</t>
  </si>
  <si>
    <t>Spalte12364</t>
  </si>
  <si>
    <t>Spalte12365</t>
  </si>
  <si>
    <t>Spalte12366</t>
  </si>
  <si>
    <t>Spalte12367</t>
  </si>
  <si>
    <t>Spalte12368</t>
  </si>
  <si>
    <t>Spalte12369</t>
  </si>
  <si>
    <t>Spalte12370</t>
  </si>
  <si>
    <t>Spalte12371</t>
  </si>
  <si>
    <t>Spalte12372</t>
  </si>
  <si>
    <t>Spalte12373</t>
  </si>
  <si>
    <t>Spalte12374</t>
  </si>
  <si>
    <t>Spalte12375</t>
  </si>
  <si>
    <t>Spalte12376</t>
  </si>
  <si>
    <t>Spalte12377</t>
  </si>
  <si>
    <t>Spalte12378</t>
  </si>
  <si>
    <t>Spalte12379</t>
  </si>
  <si>
    <t>Spalte12380</t>
  </si>
  <si>
    <t>Spalte12381</t>
  </si>
  <si>
    <t>Spalte12382</t>
  </si>
  <si>
    <t>Spalte12383</t>
  </si>
  <si>
    <t>Spalte12384</t>
  </si>
  <si>
    <t>Spalte12385</t>
  </si>
  <si>
    <t>Spalte12386</t>
  </si>
  <si>
    <t>Spalte12387</t>
  </si>
  <si>
    <t>Spalte12388</t>
  </si>
  <si>
    <t>Spalte12389</t>
  </si>
  <si>
    <t>Spalte12390</t>
  </si>
  <si>
    <t>Spalte12391</t>
  </si>
  <si>
    <t>Spalte12392</t>
  </si>
  <si>
    <t>Spalte12393</t>
  </si>
  <si>
    <t>Spalte12394</t>
  </si>
  <si>
    <t>Spalte12395</t>
  </si>
  <si>
    <t>Spalte12396</t>
  </si>
  <si>
    <t>Spalte12397</t>
  </si>
  <si>
    <t>Spalte12398</t>
  </si>
  <si>
    <t>Spalte12399</t>
  </si>
  <si>
    <t>Spalte12400</t>
  </si>
  <si>
    <t>Spalte12401</t>
  </si>
  <si>
    <t>Spalte12402</t>
  </si>
  <si>
    <t>Spalte12403</t>
  </si>
  <si>
    <t>Spalte12404</t>
  </si>
  <si>
    <t>Spalte12405</t>
  </si>
  <si>
    <t>Spalte12406</t>
  </si>
  <si>
    <t>Spalte12407</t>
  </si>
  <si>
    <t>Spalte12408</t>
  </si>
  <si>
    <t>Spalte12409</t>
  </si>
  <si>
    <t>Spalte12410</t>
  </si>
  <si>
    <t>Spalte12411</t>
  </si>
  <si>
    <t>Spalte12412</t>
  </si>
  <si>
    <t>Spalte12413</t>
  </si>
  <si>
    <t>Spalte12414</t>
  </si>
  <si>
    <t>Spalte12415</t>
  </si>
  <si>
    <t>Spalte12416</t>
  </si>
  <si>
    <t>Spalte12417</t>
  </si>
  <si>
    <t>Spalte12418</t>
  </si>
  <si>
    <t>Spalte12419</t>
  </si>
  <si>
    <t>Spalte12420</t>
  </si>
  <si>
    <t>Spalte12421</t>
  </si>
  <si>
    <t>Spalte12422</t>
  </si>
  <si>
    <t>Spalte12423</t>
  </si>
  <si>
    <t>Spalte12424</t>
  </si>
  <si>
    <t>Spalte12425</t>
  </si>
  <si>
    <t>Spalte12426</t>
  </si>
  <si>
    <t>Spalte12427</t>
  </si>
  <si>
    <t>Spalte12428</t>
  </si>
  <si>
    <t>Spalte12429</t>
  </si>
  <si>
    <t>Spalte12430</t>
  </si>
  <si>
    <t>Spalte12431</t>
  </si>
  <si>
    <t>Spalte12432</t>
  </si>
  <si>
    <t>Spalte12433</t>
  </si>
  <si>
    <t>Spalte12434</t>
  </si>
  <si>
    <t>Spalte12435</t>
  </si>
  <si>
    <t>Spalte12436</t>
  </si>
  <si>
    <t>Spalte12437</t>
  </si>
  <si>
    <t>Spalte12438</t>
  </si>
  <si>
    <t>Spalte12439</t>
  </si>
  <si>
    <t>Spalte12440</t>
  </si>
  <si>
    <t>Spalte12441</t>
  </si>
  <si>
    <t>Spalte12442</t>
  </si>
  <si>
    <t>Spalte12443</t>
  </si>
  <si>
    <t>Spalte12444</t>
  </si>
  <si>
    <t>Spalte12445</t>
  </si>
  <si>
    <t>Spalte12446</t>
  </si>
  <si>
    <t>Spalte12447</t>
  </si>
  <si>
    <t>Spalte12448</t>
  </si>
  <si>
    <t>Spalte12449</t>
  </si>
  <si>
    <t>Spalte12450</t>
  </si>
  <si>
    <t>Spalte12451</t>
  </si>
  <si>
    <t>Spalte12452</t>
  </si>
  <si>
    <t>Spalte12453</t>
  </si>
  <si>
    <t>Spalte12454</t>
  </si>
  <si>
    <t>Spalte12455</t>
  </si>
  <si>
    <t>Spalte12456</t>
  </si>
  <si>
    <t>Spalte12457</t>
  </si>
  <si>
    <t>Spalte12458</t>
  </si>
  <si>
    <t>Spalte12459</t>
  </si>
  <si>
    <t>Spalte12460</t>
  </si>
  <si>
    <t>Spalte12461</t>
  </si>
  <si>
    <t>Spalte12462</t>
  </si>
  <si>
    <t>Spalte12463</t>
  </si>
  <si>
    <t>Spalte12464</t>
  </si>
  <si>
    <t>Spalte12465</t>
  </si>
  <si>
    <t>Spalte12466</t>
  </si>
  <si>
    <t>Spalte12467</t>
  </si>
  <si>
    <t>Spalte12468</t>
  </si>
  <si>
    <t>Spalte12469</t>
  </si>
  <si>
    <t>Spalte12470</t>
  </si>
  <si>
    <t>Spalte12471</t>
  </si>
  <si>
    <t>Spalte12472</t>
  </si>
  <si>
    <t>Spalte12473</t>
  </si>
  <si>
    <t>Spalte12474</t>
  </si>
  <si>
    <t>Spalte12475</t>
  </si>
  <si>
    <t>Spalte12476</t>
  </si>
  <si>
    <t>Spalte12477</t>
  </si>
  <si>
    <t>Spalte12478</t>
  </si>
  <si>
    <t>Spalte12479</t>
  </si>
  <si>
    <t>Spalte12480</t>
  </si>
  <si>
    <t>Spalte12481</t>
  </si>
  <si>
    <t>Spalte12482</t>
  </si>
  <si>
    <t>Spalte12483</t>
  </si>
  <si>
    <t>Spalte12484</t>
  </si>
  <si>
    <t>Spalte12485</t>
  </si>
  <si>
    <t>Spalte12486</t>
  </si>
  <si>
    <t>Spalte12487</t>
  </si>
  <si>
    <t>Spalte12488</t>
  </si>
  <si>
    <t>Spalte12489</t>
  </si>
  <si>
    <t>Spalte12490</t>
  </si>
  <si>
    <t>Spalte12491</t>
  </si>
  <si>
    <t>Spalte12492</t>
  </si>
  <si>
    <t>Spalte12493</t>
  </si>
  <si>
    <t>Spalte12494</t>
  </si>
  <si>
    <t>Spalte12495</t>
  </si>
  <si>
    <t>Spalte12496</t>
  </si>
  <si>
    <t>Spalte12497</t>
  </si>
  <si>
    <t>Spalte12498</t>
  </si>
  <si>
    <t>Spalte12499</t>
  </si>
  <si>
    <t>Spalte12500</t>
  </si>
  <si>
    <t>Spalte12501</t>
  </si>
  <si>
    <t>Spalte12502</t>
  </si>
  <si>
    <t>Spalte12503</t>
  </si>
  <si>
    <t>Spalte12504</t>
  </si>
  <si>
    <t>Spalte12505</t>
  </si>
  <si>
    <t>Spalte12506</t>
  </si>
  <si>
    <t>Spalte12507</t>
  </si>
  <si>
    <t>Spalte12508</t>
  </si>
  <si>
    <t>Spalte12509</t>
  </si>
  <si>
    <t>Spalte12510</t>
  </si>
  <si>
    <t>Spalte12511</t>
  </si>
  <si>
    <t>Spalte12512</t>
  </si>
  <si>
    <t>Spalte12513</t>
  </si>
  <si>
    <t>Spalte12514</t>
  </si>
  <si>
    <t>Spalte12515</t>
  </si>
  <si>
    <t>Spalte12516</t>
  </si>
  <si>
    <t>Spalte12517</t>
  </si>
  <si>
    <t>Spalte12518</t>
  </si>
  <si>
    <t>Spalte12519</t>
  </si>
  <si>
    <t>Spalte12520</t>
  </si>
  <si>
    <t>Spalte12521</t>
  </si>
  <si>
    <t>Spalte12522</t>
  </si>
  <si>
    <t>Spalte12523</t>
  </si>
  <si>
    <t>Spalte12524</t>
  </si>
  <si>
    <t>Spalte12525</t>
  </si>
  <si>
    <t>Spalte12526</t>
  </si>
  <si>
    <t>Spalte12527</t>
  </si>
  <si>
    <t>Spalte12528</t>
  </si>
  <si>
    <t>Spalte12529</t>
  </si>
  <si>
    <t>Spalte12530</t>
  </si>
  <si>
    <t>Spalte12531</t>
  </si>
  <si>
    <t>Spalte12532</t>
  </si>
  <si>
    <t>Spalte12533</t>
  </si>
  <si>
    <t>Spalte12534</t>
  </si>
  <si>
    <t>Spalte12535</t>
  </si>
  <si>
    <t>Spalte12536</t>
  </si>
  <si>
    <t>Spalte12537</t>
  </si>
  <si>
    <t>Spalte12538</t>
  </si>
  <si>
    <t>Spalte12539</t>
  </si>
  <si>
    <t>Spalte12540</t>
  </si>
  <si>
    <t>Spalte12541</t>
  </si>
  <si>
    <t>Spalte12542</t>
  </si>
  <si>
    <t>Spalte12543</t>
  </si>
  <si>
    <t>Spalte12544</t>
  </si>
  <si>
    <t>Spalte12545</t>
  </si>
  <si>
    <t>Spalte12546</t>
  </si>
  <si>
    <t>Spalte12547</t>
  </si>
  <si>
    <t>Spalte12548</t>
  </si>
  <si>
    <t>Spalte12549</t>
  </si>
  <si>
    <t>Spalte12550</t>
  </si>
  <si>
    <t>Spalte12551</t>
  </si>
  <si>
    <t>Spalte12552</t>
  </si>
  <si>
    <t>Spalte12553</t>
  </si>
  <si>
    <t>Spalte12554</t>
  </si>
  <si>
    <t>Spalte12555</t>
  </si>
  <si>
    <t>Spalte12556</t>
  </si>
  <si>
    <t>Spalte12557</t>
  </si>
  <si>
    <t>Spalte12558</t>
  </si>
  <si>
    <t>Spalte12559</t>
  </si>
  <si>
    <t>Spalte12560</t>
  </si>
  <si>
    <t>Spalte12561</t>
  </si>
  <si>
    <t>Spalte12562</t>
  </si>
  <si>
    <t>Spalte12563</t>
  </si>
  <si>
    <t>Spalte12564</t>
  </si>
  <si>
    <t>Spalte12565</t>
  </si>
  <si>
    <t>Spalte12566</t>
  </si>
  <si>
    <t>Spalte12567</t>
  </si>
  <si>
    <t>Spalte12568</t>
  </si>
  <si>
    <t>Spalte12569</t>
  </si>
  <si>
    <t>Spalte12570</t>
  </si>
  <si>
    <t>Spalte12571</t>
  </si>
  <si>
    <t>Spalte12572</t>
  </si>
  <si>
    <t>Spalte12573</t>
  </si>
  <si>
    <t>Spalte12574</t>
  </si>
  <si>
    <t>Spalte12575</t>
  </si>
  <si>
    <t>Spalte12576</t>
  </si>
  <si>
    <t>Spalte12577</t>
  </si>
  <si>
    <t>Spalte12578</t>
  </si>
  <si>
    <t>Spalte12579</t>
  </si>
  <si>
    <t>Spalte12580</t>
  </si>
  <si>
    <t>Spalte12581</t>
  </si>
  <si>
    <t>Spalte12582</t>
  </si>
  <si>
    <t>Spalte12583</t>
  </si>
  <si>
    <t>Spalte12584</t>
  </si>
  <si>
    <t>Spalte12585</t>
  </si>
  <si>
    <t>Spalte12586</t>
  </si>
  <si>
    <t>Spalte12587</t>
  </si>
  <si>
    <t>Spalte12588</t>
  </si>
  <si>
    <t>Spalte12589</t>
  </si>
  <si>
    <t>Spalte12590</t>
  </si>
  <si>
    <t>Spalte12591</t>
  </si>
  <si>
    <t>Spalte12592</t>
  </si>
  <si>
    <t>Spalte12593</t>
  </si>
  <si>
    <t>Spalte12594</t>
  </si>
  <si>
    <t>Spalte12595</t>
  </si>
  <si>
    <t>Spalte12596</t>
  </si>
  <si>
    <t>Spalte12597</t>
  </si>
  <si>
    <t>Spalte12598</t>
  </si>
  <si>
    <t>Spalte12599</t>
  </si>
  <si>
    <t>Spalte12600</t>
  </si>
  <si>
    <t>Spalte12601</t>
  </si>
  <si>
    <t>Spalte12602</t>
  </si>
  <si>
    <t>Spalte12603</t>
  </si>
  <si>
    <t>Spalte12604</t>
  </si>
  <si>
    <t>Spalte12605</t>
  </si>
  <si>
    <t>Spalte12606</t>
  </si>
  <si>
    <t>Spalte12607</t>
  </si>
  <si>
    <t>Spalte12608</t>
  </si>
  <si>
    <t>Spalte12609</t>
  </si>
  <si>
    <t>Spalte12610</t>
  </si>
  <si>
    <t>Spalte12611</t>
  </si>
  <si>
    <t>Spalte12612</t>
  </si>
  <si>
    <t>Spalte12613</t>
  </si>
  <si>
    <t>Spalte12614</t>
  </si>
  <si>
    <t>Spalte12615</t>
  </si>
  <si>
    <t>Spalte12616</t>
  </si>
  <si>
    <t>Spalte12617</t>
  </si>
  <si>
    <t>Spalte12618</t>
  </si>
  <si>
    <t>Spalte12619</t>
  </si>
  <si>
    <t>Spalte12620</t>
  </si>
  <si>
    <t>Spalte12621</t>
  </si>
  <si>
    <t>Spalte12622</t>
  </si>
  <si>
    <t>Spalte12623</t>
  </si>
  <si>
    <t>Spalte12624</t>
  </si>
  <si>
    <t>Spalte12625</t>
  </si>
  <si>
    <t>Spalte12626</t>
  </si>
  <si>
    <t>Spalte12627</t>
  </si>
  <si>
    <t>Spalte12628</t>
  </si>
  <si>
    <t>Spalte12629</t>
  </si>
  <si>
    <t>Spalte12630</t>
  </si>
  <si>
    <t>Spalte12631</t>
  </si>
  <si>
    <t>Spalte12632</t>
  </si>
  <si>
    <t>Spalte12633</t>
  </si>
  <si>
    <t>Spalte12634</t>
  </si>
  <si>
    <t>Spalte12635</t>
  </si>
  <si>
    <t>Spalte12636</t>
  </si>
  <si>
    <t>Spalte12637</t>
  </si>
  <si>
    <t>Spalte12638</t>
  </si>
  <si>
    <t>Spalte12639</t>
  </si>
  <si>
    <t>Spalte12640</t>
  </si>
  <si>
    <t>Spalte12641</t>
  </si>
  <si>
    <t>Spalte12642</t>
  </si>
  <si>
    <t>Spalte12643</t>
  </si>
  <si>
    <t>Spalte12644</t>
  </si>
  <si>
    <t>Spalte12645</t>
  </si>
  <si>
    <t>Spalte12646</t>
  </si>
  <si>
    <t>Spalte12647</t>
  </si>
  <si>
    <t>Spalte12648</t>
  </si>
  <si>
    <t>Spalte12649</t>
  </si>
  <si>
    <t>Spalte12650</t>
  </si>
  <si>
    <t>Spalte12651</t>
  </si>
  <si>
    <t>Spalte12652</t>
  </si>
  <si>
    <t>Spalte12653</t>
  </si>
  <si>
    <t>Spalte12654</t>
  </si>
  <si>
    <t>Spalte12655</t>
  </si>
  <si>
    <t>Spalte12656</t>
  </si>
  <si>
    <t>Spalte12657</t>
  </si>
  <si>
    <t>Spalte12658</t>
  </si>
  <si>
    <t>Spalte12659</t>
  </si>
  <si>
    <t>Spalte12660</t>
  </si>
  <si>
    <t>Spalte12661</t>
  </si>
  <si>
    <t>Spalte12662</t>
  </si>
  <si>
    <t>Spalte12663</t>
  </si>
  <si>
    <t>Spalte12664</t>
  </si>
  <si>
    <t>Spalte12665</t>
  </si>
  <si>
    <t>Spalte12666</t>
  </si>
  <si>
    <t>Spalte12667</t>
  </si>
  <si>
    <t>Spalte12668</t>
  </si>
  <si>
    <t>Spalte12669</t>
  </si>
  <si>
    <t>Spalte12670</t>
  </si>
  <si>
    <t>Spalte12671</t>
  </si>
  <si>
    <t>Spalte12672</t>
  </si>
  <si>
    <t>Spalte12673</t>
  </si>
  <si>
    <t>Spalte12674</t>
  </si>
  <si>
    <t>Spalte12675</t>
  </si>
  <si>
    <t>Spalte12676</t>
  </si>
  <si>
    <t>Spalte12677</t>
  </si>
  <si>
    <t>Spalte12678</t>
  </si>
  <si>
    <t>Spalte12679</t>
  </si>
  <si>
    <t>Spalte12680</t>
  </si>
  <si>
    <t>Spalte12681</t>
  </si>
  <si>
    <t>Spalte12682</t>
  </si>
  <si>
    <t>Spalte12683</t>
  </si>
  <si>
    <t>Spalte12684</t>
  </si>
  <si>
    <t>Spalte12685</t>
  </si>
  <si>
    <t>Spalte12686</t>
  </si>
  <si>
    <t>Spalte12687</t>
  </si>
  <si>
    <t>Spalte12688</t>
  </si>
  <si>
    <t>Spalte12689</t>
  </si>
  <si>
    <t>Spalte12690</t>
  </si>
  <si>
    <t>Spalte12691</t>
  </si>
  <si>
    <t>Spalte12692</t>
  </si>
  <si>
    <t>Spalte12693</t>
  </si>
  <si>
    <t>Spalte12694</t>
  </si>
  <si>
    <t>Spalte12695</t>
  </si>
  <si>
    <t>Spalte12696</t>
  </si>
  <si>
    <t>Spalte12697</t>
  </si>
  <si>
    <t>Spalte12698</t>
  </si>
  <si>
    <t>Spalte12699</t>
  </si>
  <si>
    <t>Spalte12700</t>
  </si>
  <si>
    <t>Spalte12701</t>
  </si>
  <si>
    <t>Spalte12702</t>
  </si>
  <si>
    <t>Spalte12703</t>
  </si>
  <si>
    <t>Spalte12704</t>
  </si>
  <si>
    <t>Spalte12705</t>
  </si>
  <si>
    <t>Spalte12706</t>
  </si>
  <si>
    <t>Spalte12707</t>
  </si>
  <si>
    <t>Spalte12708</t>
  </si>
  <si>
    <t>Spalte12709</t>
  </si>
  <si>
    <t>Spalte12710</t>
  </si>
  <si>
    <t>Spalte12711</t>
  </si>
  <si>
    <t>Spalte12712</t>
  </si>
  <si>
    <t>Spalte12713</t>
  </si>
  <si>
    <t>Spalte12714</t>
  </si>
  <si>
    <t>Spalte12715</t>
  </si>
  <si>
    <t>Spalte12716</t>
  </si>
  <si>
    <t>Spalte12717</t>
  </si>
  <si>
    <t>Spalte12718</t>
  </si>
  <si>
    <t>Spalte12719</t>
  </si>
  <si>
    <t>Spalte12720</t>
  </si>
  <si>
    <t>Spalte12721</t>
  </si>
  <si>
    <t>Spalte12722</t>
  </si>
  <si>
    <t>Spalte12723</t>
  </si>
  <si>
    <t>Spalte12724</t>
  </si>
  <si>
    <t>Spalte12725</t>
  </si>
  <si>
    <t>Spalte12726</t>
  </si>
  <si>
    <t>Spalte12727</t>
  </si>
  <si>
    <t>Spalte12728</t>
  </si>
  <si>
    <t>Spalte12729</t>
  </si>
  <si>
    <t>Spalte12730</t>
  </si>
  <si>
    <t>Spalte12731</t>
  </si>
  <si>
    <t>Spalte12732</t>
  </si>
  <si>
    <t>Spalte12733</t>
  </si>
  <si>
    <t>Spalte12734</t>
  </si>
  <si>
    <t>Spalte12735</t>
  </si>
  <si>
    <t>Spalte12736</t>
  </si>
  <si>
    <t>Spalte12737</t>
  </si>
  <si>
    <t>Spalte12738</t>
  </si>
  <si>
    <t>Spalte12739</t>
  </si>
  <si>
    <t>Spalte12740</t>
  </si>
  <si>
    <t>Spalte12741</t>
  </si>
  <si>
    <t>Spalte12742</t>
  </si>
  <si>
    <t>Spalte12743</t>
  </si>
  <si>
    <t>Spalte12744</t>
  </si>
  <si>
    <t>Spalte12745</t>
  </si>
  <si>
    <t>Spalte12746</t>
  </si>
  <si>
    <t>Spalte12747</t>
  </si>
  <si>
    <t>Spalte12748</t>
  </si>
  <si>
    <t>Spalte12749</t>
  </si>
  <si>
    <t>Spalte12750</t>
  </si>
  <si>
    <t>Spalte12751</t>
  </si>
  <si>
    <t>Spalte12752</t>
  </si>
  <si>
    <t>Spalte12753</t>
  </si>
  <si>
    <t>Spalte12754</t>
  </si>
  <si>
    <t>Spalte12755</t>
  </si>
  <si>
    <t>Spalte12756</t>
  </si>
  <si>
    <t>Spalte12757</t>
  </si>
  <si>
    <t>Spalte12758</t>
  </si>
  <si>
    <t>Spalte12759</t>
  </si>
  <si>
    <t>Spalte12760</t>
  </si>
  <si>
    <t>Spalte12761</t>
  </si>
  <si>
    <t>Spalte12762</t>
  </si>
  <si>
    <t>Spalte12763</t>
  </si>
  <si>
    <t>Spalte12764</t>
  </si>
  <si>
    <t>Spalte12765</t>
  </si>
  <si>
    <t>Spalte12766</t>
  </si>
  <si>
    <t>Spalte12767</t>
  </si>
  <si>
    <t>Spalte12768</t>
  </si>
  <si>
    <t>Spalte12769</t>
  </si>
  <si>
    <t>Spalte12770</t>
  </si>
  <si>
    <t>Spalte12771</t>
  </si>
  <si>
    <t>Spalte12772</t>
  </si>
  <si>
    <t>Spalte12773</t>
  </si>
  <si>
    <t>Spalte12774</t>
  </si>
  <si>
    <t>Spalte12775</t>
  </si>
  <si>
    <t>Spalte12776</t>
  </si>
  <si>
    <t>Spalte12777</t>
  </si>
  <si>
    <t>Spalte12778</t>
  </si>
  <si>
    <t>Spalte12779</t>
  </si>
  <si>
    <t>Spalte12780</t>
  </si>
  <si>
    <t>Spalte12781</t>
  </si>
  <si>
    <t>Spalte12782</t>
  </si>
  <si>
    <t>Spalte12783</t>
  </si>
  <si>
    <t>Spalte12784</t>
  </si>
  <si>
    <t>Spalte12785</t>
  </si>
  <si>
    <t>Spalte12786</t>
  </si>
  <si>
    <t>Spalte12787</t>
  </si>
  <si>
    <t>Spalte12788</t>
  </si>
  <si>
    <t>Spalte12789</t>
  </si>
  <si>
    <t>Spalte12790</t>
  </si>
  <si>
    <t>Spalte12791</t>
  </si>
  <si>
    <t>Spalte12792</t>
  </si>
  <si>
    <t>Spalte12793</t>
  </si>
  <si>
    <t>Spalte12794</t>
  </si>
  <si>
    <t>Spalte12795</t>
  </si>
  <si>
    <t>Spalte12796</t>
  </si>
  <si>
    <t>Spalte12797</t>
  </si>
  <si>
    <t>Spalte12798</t>
  </si>
  <si>
    <t>Spalte12799</t>
  </si>
  <si>
    <t>Spalte12800</t>
  </si>
  <si>
    <t>Spalte12801</t>
  </si>
  <si>
    <t>Spalte12802</t>
  </si>
  <si>
    <t>Spalte12803</t>
  </si>
  <si>
    <t>Spalte12804</t>
  </si>
  <si>
    <t>Spalte12805</t>
  </si>
  <si>
    <t>Spalte12806</t>
  </si>
  <si>
    <t>Spalte12807</t>
  </si>
  <si>
    <t>Spalte12808</t>
  </si>
  <si>
    <t>Spalte12809</t>
  </si>
  <si>
    <t>Spalte12810</t>
  </si>
  <si>
    <t>Spalte12811</t>
  </si>
  <si>
    <t>Spalte12812</t>
  </si>
  <si>
    <t>Spalte12813</t>
  </si>
  <si>
    <t>Spalte12814</t>
  </si>
  <si>
    <t>Spalte12815</t>
  </si>
  <si>
    <t>Spalte12816</t>
  </si>
  <si>
    <t>Spalte12817</t>
  </si>
  <si>
    <t>Spalte12818</t>
  </si>
  <si>
    <t>Spalte12819</t>
  </si>
  <si>
    <t>Spalte12820</t>
  </si>
  <si>
    <t>Spalte12821</t>
  </si>
  <si>
    <t>Spalte12822</t>
  </si>
  <si>
    <t>Spalte12823</t>
  </si>
  <si>
    <t>Spalte12824</t>
  </si>
  <si>
    <t>Spalte12825</t>
  </si>
  <si>
    <t>Spalte12826</t>
  </si>
  <si>
    <t>Spalte12827</t>
  </si>
  <si>
    <t>Spalte12828</t>
  </si>
  <si>
    <t>Spalte12829</t>
  </si>
  <si>
    <t>Spalte12830</t>
  </si>
  <si>
    <t>Spalte12831</t>
  </si>
  <si>
    <t>Spalte12832</t>
  </si>
  <si>
    <t>Spalte12833</t>
  </si>
  <si>
    <t>Spalte12834</t>
  </si>
  <si>
    <t>Spalte12835</t>
  </si>
  <si>
    <t>Spalte12836</t>
  </si>
  <si>
    <t>Spalte12837</t>
  </si>
  <si>
    <t>Spalte12838</t>
  </si>
  <si>
    <t>Spalte12839</t>
  </si>
  <si>
    <t>Spalte12840</t>
  </si>
  <si>
    <t>Spalte12841</t>
  </si>
  <si>
    <t>Spalte12842</t>
  </si>
  <si>
    <t>Spalte12843</t>
  </si>
  <si>
    <t>Spalte12844</t>
  </si>
  <si>
    <t>Spalte12845</t>
  </si>
  <si>
    <t>Spalte12846</t>
  </si>
  <si>
    <t>Spalte12847</t>
  </si>
  <si>
    <t>Spalte12848</t>
  </si>
  <si>
    <t>Spalte12849</t>
  </si>
  <si>
    <t>Spalte12850</t>
  </si>
  <si>
    <t>Spalte12851</t>
  </si>
  <si>
    <t>Spalte12852</t>
  </si>
  <si>
    <t>Spalte12853</t>
  </si>
  <si>
    <t>Spalte12854</t>
  </si>
  <si>
    <t>Spalte12855</t>
  </si>
  <si>
    <t>Spalte12856</t>
  </si>
  <si>
    <t>Spalte12857</t>
  </si>
  <si>
    <t>Spalte12858</t>
  </si>
  <si>
    <t>Spalte12859</t>
  </si>
  <si>
    <t>Spalte12860</t>
  </si>
  <si>
    <t>Spalte12861</t>
  </si>
  <si>
    <t>Spalte12862</t>
  </si>
  <si>
    <t>Spalte12863</t>
  </si>
  <si>
    <t>Spalte12864</t>
  </si>
  <si>
    <t>Spalte12865</t>
  </si>
  <si>
    <t>Spalte12866</t>
  </si>
  <si>
    <t>Spalte12867</t>
  </si>
  <si>
    <t>Spalte12868</t>
  </si>
  <si>
    <t>Spalte12869</t>
  </si>
  <si>
    <t>Spalte12870</t>
  </si>
  <si>
    <t>Spalte12871</t>
  </si>
  <si>
    <t>Spalte12872</t>
  </si>
  <si>
    <t>Spalte12873</t>
  </si>
  <si>
    <t>Spalte12874</t>
  </si>
  <si>
    <t>Spalte12875</t>
  </si>
  <si>
    <t>Spalte12876</t>
  </si>
  <si>
    <t>Spalte12877</t>
  </si>
  <si>
    <t>Spalte12878</t>
  </si>
  <si>
    <t>Spalte12879</t>
  </si>
  <si>
    <t>Spalte12880</t>
  </si>
  <si>
    <t>Spalte12881</t>
  </si>
  <si>
    <t>Spalte12882</t>
  </si>
  <si>
    <t>Spalte12883</t>
  </si>
  <si>
    <t>Spalte12884</t>
  </si>
  <si>
    <t>Spalte12885</t>
  </si>
  <si>
    <t>Spalte12886</t>
  </si>
  <si>
    <t>Spalte12887</t>
  </si>
  <si>
    <t>Spalte12888</t>
  </si>
  <si>
    <t>Spalte12889</t>
  </si>
  <si>
    <t>Spalte12890</t>
  </si>
  <si>
    <t>Spalte12891</t>
  </si>
  <si>
    <t>Spalte12892</t>
  </si>
  <si>
    <t>Spalte12893</t>
  </si>
  <si>
    <t>Spalte12894</t>
  </si>
  <si>
    <t>Spalte12895</t>
  </si>
  <si>
    <t>Spalte12896</t>
  </si>
  <si>
    <t>Spalte12897</t>
  </si>
  <si>
    <t>Spalte12898</t>
  </si>
  <si>
    <t>Spalte12899</t>
  </si>
  <si>
    <t>Spalte12900</t>
  </si>
  <si>
    <t>Spalte12901</t>
  </si>
  <si>
    <t>Spalte12902</t>
  </si>
  <si>
    <t>Spalte12903</t>
  </si>
  <si>
    <t>Spalte12904</t>
  </si>
  <si>
    <t>Spalte12905</t>
  </si>
  <si>
    <t>Spalte12906</t>
  </si>
  <si>
    <t>Spalte12907</t>
  </si>
  <si>
    <t>Spalte12908</t>
  </si>
  <si>
    <t>Spalte12909</t>
  </si>
  <si>
    <t>Spalte12910</t>
  </si>
  <si>
    <t>Spalte12911</t>
  </si>
  <si>
    <t>Spalte12912</t>
  </si>
  <si>
    <t>Spalte12913</t>
  </si>
  <si>
    <t>Spalte12914</t>
  </si>
  <si>
    <t>Spalte12915</t>
  </si>
  <si>
    <t>Spalte12916</t>
  </si>
  <si>
    <t>Spalte12917</t>
  </si>
  <si>
    <t>Spalte12918</t>
  </si>
  <si>
    <t>Spalte12919</t>
  </si>
  <si>
    <t>Spalte12920</t>
  </si>
  <si>
    <t>Spalte12921</t>
  </si>
  <si>
    <t>Spalte12922</t>
  </si>
  <si>
    <t>Spalte12923</t>
  </si>
  <si>
    <t>Spalte12924</t>
  </si>
  <si>
    <t>Spalte12925</t>
  </si>
  <si>
    <t>Spalte12926</t>
  </si>
  <si>
    <t>Spalte12927</t>
  </si>
  <si>
    <t>Spalte12928</t>
  </si>
  <si>
    <t>Spalte12929</t>
  </si>
  <si>
    <t>Spalte12930</t>
  </si>
  <si>
    <t>Spalte12931</t>
  </si>
  <si>
    <t>Spalte12932</t>
  </si>
  <si>
    <t>Spalte12933</t>
  </si>
  <si>
    <t>Spalte12934</t>
  </si>
  <si>
    <t>Spalte12935</t>
  </si>
  <si>
    <t>Spalte12936</t>
  </si>
  <si>
    <t>Spalte12937</t>
  </si>
  <si>
    <t>Spalte12938</t>
  </si>
  <si>
    <t>Spalte12939</t>
  </si>
  <si>
    <t>Spalte12940</t>
  </si>
  <si>
    <t>Spalte12941</t>
  </si>
  <si>
    <t>Spalte12942</t>
  </si>
  <si>
    <t>Spalte12943</t>
  </si>
  <si>
    <t>Spalte12944</t>
  </si>
  <si>
    <t>Spalte12945</t>
  </si>
  <si>
    <t>Spalte12946</t>
  </si>
  <si>
    <t>Spalte12947</t>
  </si>
  <si>
    <t>Spalte12948</t>
  </si>
  <si>
    <t>Spalte12949</t>
  </si>
  <si>
    <t>Spalte12950</t>
  </si>
  <si>
    <t>Spalte12951</t>
  </si>
  <si>
    <t>Spalte12952</t>
  </si>
  <si>
    <t>Spalte12953</t>
  </si>
  <si>
    <t>Spalte12954</t>
  </si>
  <si>
    <t>Spalte12955</t>
  </si>
  <si>
    <t>Spalte12956</t>
  </si>
  <si>
    <t>Spalte12957</t>
  </si>
  <si>
    <t>Spalte12958</t>
  </si>
  <si>
    <t>Spalte12959</t>
  </si>
  <si>
    <t>Spalte12960</t>
  </si>
  <si>
    <t>Spalte12961</t>
  </si>
  <si>
    <t>Spalte12962</t>
  </si>
  <si>
    <t>Spalte12963</t>
  </si>
  <si>
    <t>Spalte12964</t>
  </si>
  <si>
    <t>Spalte12965</t>
  </si>
  <si>
    <t>Spalte12966</t>
  </si>
  <si>
    <t>Spalte12967</t>
  </si>
  <si>
    <t>Spalte12968</t>
  </si>
  <si>
    <t>Spalte12969</t>
  </si>
  <si>
    <t>Spalte12970</t>
  </si>
  <si>
    <t>Spalte12971</t>
  </si>
  <si>
    <t>Spalte12972</t>
  </si>
  <si>
    <t>Spalte12973</t>
  </si>
  <si>
    <t>Spalte12974</t>
  </si>
  <si>
    <t>Spalte12975</t>
  </si>
  <si>
    <t>Spalte12976</t>
  </si>
  <si>
    <t>Spalte12977</t>
  </si>
  <si>
    <t>Spalte12978</t>
  </si>
  <si>
    <t>Spalte12979</t>
  </si>
  <si>
    <t>Spalte12980</t>
  </si>
  <si>
    <t>Spalte12981</t>
  </si>
  <si>
    <t>Spalte12982</t>
  </si>
  <si>
    <t>Spalte12983</t>
  </si>
  <si>
    <t>Spalte12984</t>
  </si>
  <si>
    <t>Spalte12985</t>
  </si>
  <si>
    <t>Spalte12986</t>
  </si>
  <si>
    <t>Spalte12987</t>
  </si>
  <si>
    <t>Spalte12988</t>
  </si>
  <si>
    <t>Spalte12989</t>
  </si>
  <si>
    <t>Spalte12990</t>
  </si>
  <si>
    <t>Spalte12991</t>
  </si>
  <si>
    <t>Spalte12992</t>
  </si>
  <si>
    <t>Spalte12993</t>
  </si>
  <si>
    <t>Spalte12994</t>
  </si>
  <si>
    <t>Spalte12995</t>
  </si>
  <si>
    <t>Spalte12996</t>
  </si>
  <si>
    <t>Spalte12997</t>
  </si>
  <si>
    <t>Spalte12998</t>
  </si>
  <si>
    <t>Spalte12999</t>
  </si>
  <si>
    <t>Spalte13000</t>
  </si>
  <si>
    <t>Spalte13001</t>
  </si>
  <si>
    <t>Spalte13002</t>
  </si>
  <si>
    <t>Spalte13003</t>
  </si>
  <si>
    <t>Spalte13004</t>
  </si>
  <si>
    <t>Spalte13005</t>
  </si>
  <si>
    <t>Spalte13006</t>
  </si>
  <si>
    <t>Spalte13007</t>
  </si>
  <si>
    <t>Spalte13008</t>
  </si>
  <si>
    <t>Spalte13009</t>
  </si>
  <si>
    <t>Spalte13010</t>
  </si>
  <si>
    <t>Spalte13011</t>
  </si>
  <si>
    <t>Spalte13012</t>
  </si>
  <si>
    <t>Spalte13013</t>
  </si>
  <si>
    <t>Spalte13014</t>
  </si>
  <si>
    <t>Spalte13015</t>
  </si>
  <si>
    <t>Spalte13016</t>
  </si>
  <si>
    <t>Spalte13017</t>
  </si>
  <si>
    <t>Spalte13018</t>
  </si>
  <si>
    <t>Spalte13019</t>
  </si>
  <si>
    <t>Spalte13020</t>
  </si>
  <si>
    <t>Spalte13021</t>
  </si>
  <si>
    <t>Spalte13022</t>
  </si>
  <si>
    <t>Spalte13023</t>
  </si>
  <si>
    <t>Spalte13024</t>
  </si>
  <si>
    <t>Spalte13025</t>
  </si>
  <si>
    <t>Spalte13026</t>
  </si>
  <si>
    <t>Spalte13027</t>
  </si>
  <si>
    <t>Spalte13028</t>
  </si>
  <si>
    <t>Spalte13029</t>
  </si>
  <si>
    <t>Spalte13030</t>
  </si>
  <si>
    <t>Spalte13031</t>
  </si>
  <si>
    <t>Spalte13032</t>
  </si>
  <si>
    <t>Spalte13033</t>
  </si>
  <si>
    <t>Spalte13034</t>
  </si>
  <si>
    <t>Spalte13035</t>
  </si>
  <si>
    <t>Spalte13036</t>
  </si>
  <si>
    <t>Spalte13037</t>
  </si>
  <si>
    <t>Spalte13038</t>
  </si>
  <si>
    <t>Spalte13039</t>
  </si>
  <si>
    <t>Spalte13040</t>
  </si>
  <si>
    <t>Spalte13041</t>
  </si>
  <si>
    <t>Spalte13042</t>
  </si>
  <si>
    <t>Spalte13043</t>
  </si>
  <si>
    <t>Spalte13044</t>
  </si>
  <si>
    <t>Spalte13045</t>
  </si>
  <si>
    <t>Spalte13046</t>
  </si>
  <si>
    <t>Spalte13047</t>
  </si>
  <si>
    <t>Spalte13048</t>
  </si>
  <si>
    <t>Spalte13049</t>
  </si>
  <si>
    <t>Spalte13050</t>
  </si>
  <si>
    <t>Spalte13051</t>
  </si>
  <si>
    <t>Spalte13052</t>
  </si>
  <si>
    <t>Spalte13053</t>
  </si>
  <si>
    <t>Spalte13054</t>
  </si>
  <si>
    <t>Spalte13055</t>
  </si>
  <si>
    <t>Spalte13056</t>
  </si>
  <si>
    <t>Spalte13057</t>
  </si>
  <si>
    <t>Spalte13058</t>
  </si>
  <si>
    <t>Spalte13059</t>
  </si>
  <si>
    <t>Spalte13060</t>
  </si>
  <si>
    <t>Spalte13061</t>
  </si>
  <si>
    <t>Spalte13062</t>
  </si>
  <si>
    <t>Spalte13063</t>
  </si>
  <si>
    <t>Spalte13064</t>
  </si>
  <si>
    <t>Spalte13065</t>
  </si>
  <si>
    <t>Spalte13066</t>
  </si>
  <si>
    <t>Spalte13067</t>
  </si>
  <si>
    <t>Spalte13068</t>
  </si>
  <si>
    <t>Spalte13069</t>
  </si>
  <si>
    <t>Spalte13070</t>
  </si>
  <si>
    <t>Spalte13071</t>
  </si>
  <si>
    <t>Spalte13072</t>
  </si>
  <si>
    <t>Spalte13073</t>
  </si>
  <si>
    <t>Spalte13074</t>
  </si>
  <si>
    <t>Spalte13075</t>
  </si>
  <si>
    <t>Spalte13076</t>
  </si>
  <si>
    <t>Spalte13077</t>
  </si>
  <si>
    <t>Spalte13078</t>
  </si>
  <si>
    <t>Spalte13079</t>
  </si>
  <si>
    <t>Spalte13080</t>
  </si>
  <si>
    <t>Spalte13081</t>
  </si>
  <si>
    <t>Spalte13082</t>
  </si>
  <si>
    <t>Spalte13083</t>
  </si>
  <si>
    <t>Spalte13084</t>
  </si>
  <si>
    <t>Spalte13085</t>
  </si>
  <si>
    <t>Spalte13086</t>
  </si>
  <si>
    <t>Spalte13087</t>
  </si>
  <si>
    <t>Spalte13088</t>
  </si>
  <si>
    <t>Spalte13089</t>
  </si>
  <si>
    <t>Spalte13090</t>
  </si>
  <si>
    <t>Spalte13091</t>
  </si>
  <si>
    <t>Spalte13092</t>
  </si>
  <si>
    <t>Spalte13093</t>
  </si>
  <si>
    <t>Spalte13094</t>
  </si>
  <si>
    <t>Spalte13095</t>
  </si>
  <si>
    <t>Spalte13096</t>
  </si>
  <si>
    <t>Spalte13097</t>
  </si>
  <si>
    <t>Spalte13098</t>
  </si>
  <si>
    <t>Spalte13099</t>
  </si>
  <si>
    <t>Spalte13100</t>
  </si>
  <si>
    <t>Spalte13101</t>
  </si>
  <si>
    <t>Spalte13102</t>
  </si>
  <si>
    <t>Spalte13103</t>
  </si>
  <si>
    <t>Spalte13104</t>
  </si>
  <si>
    <t>Spalte13105</t>
  </si>
  <si>
    <t>Spalte13106</t>
  </si>
  <si>
    <t>Spalte13107</t>
  </si>
  <si>
    <t>Spalte13108</t>
  </si>
  <si>
    <t>Spalte13109</t>
  </si>
  <si>
    <t>Spalte13110</t>
  </si>
  <si>
    <t>Spalte13111</t>
  </si>
  <si>
    <t>Spalte13112</t>
  </si>
  <si>
    <t>Spalte13113</t>
  </si>
  <si>
    <t>Spalte13114</t>
  </si>
  <si>
    <t>Spalte13115</t>
  </si>
  <si>
    <t>Spalte13116</t>
  </si>
  <si>
    <t>Spalte13117</t>
  </si>
  <si>
    <t>Spalte13118</t>
  </si>
  <si>
    <t>Spalte13119</t>
  </si>
  <si>
    <t>Spalte13120</t>
  </si>
  <si>
    <t>Spalte13121</t>
  </si>
  <si>
    <t>Spalte13122</t>
  </si>
  <si>
    <t>Spalte13123</t>
  </si>
  <si>
    <t>Spalte13124</t>
  </si>
  <si>
    <t>Spalte13125</t>
  </si>
  <si>
    <t>Spalte13126</t>
  </si>
  <si>
    <t>Spalte13127</t>
  </si>
  <si>
    <t>Spalte13128</t>
  </si>
  <si>
    <t>Spalte13129</t>
  </si>
  <si>
    <t>Spalte13130</t>
  </si>
  <si>
    <t>Spalte13131</t>
  </si>
  <si>
    <t>Spalte13132</t>
  </si>
  <si>
    <t>Spalte13133</t>
  </si>
  <si>
    <t>Spalte13134</t>
  </si>
  <si>
    <t>Spalte13135</t>
  </si>
  <si>
    <t>Spalte13136</t>
  </si>
  <si>
    <t>Spalte13137</t>
  </si>
  <si>
    <t>Spalte13138</t>
  </si>
  <si>
    <t>Spalte13139</t>
  </si>
  <si>
    <t>Spalte13140</t>
  </si>
  <si>
    <t>Spalte13141</t>
  </si>
  <si>
    <t>Spalte13142</t>
  </si>
  <si>
    <t>Spalte13143</t>
  </si>
  <si>
    <t>Spalte13144</t>
  </si>
  <si>
    <t>Spalte13145</t>
  </si>
  <si>
    <t>Spalte13146</t>
  </si>
  <si>
    <t>Spalte13147</t>
  </si>
  <si>
    <t>Spalte13148</t>
  </si>
  <si>
    <t>Spalte13149</t>
  </si>
  <si>
    <t>Spalte13150</t>
  </si>
  <si>
    <t>Spalte13151</t>
  </si>
  <si>
    <t>Spalte13152</t>
  </si>
  <si>
    <t>Spalte13153</t>
  </si>
  <si>
    <t>Spalte13154</t>
  </si>
  <si>
    <t>Spalte13155</t>
  </si>
  <si>
    <t>Spalte13156</t>
  </si>
  <si>
    <t>Spalte13157</t>
  </si>
  <si>
    <t>Spalte13158</t>
  </si>
  <si>
    <t>Spalte13159</t>
  </si>
  <si>
    <t>Spalte13160</t>
  </si>
  <si>
    <t>Spalte13161</t>
  </si>
  <si>
    <t>Spalte13162</t>
  </si>
  <si>
    <t>Spalte13163</t>
  </si>
  <si>
    <t>Spalte13164</t>
  </si>
  <si>
    <t>Spalte13165</t>
  </si>
  <si>
    <t>Spalte13166</t>
  </si>
  <si>
    <t>Spalte13167</t>
  </si>
  <si>
    <t>Spalte13168</t>
  </si>
  <si>
    <t>Spalte13169</t>
  </si>
  <si>
    <t>Spalte13170</t>
  </si>
  <si>
    <t>Spalte13171</t>
  </si>
  <si>
    <t>Spalte13172</t>
  </si>
  <si>
    <t>Spalte13173</t>
  </si>
  <si>
    <t>Spalte13174</t>
  </si>
  <si>
    <t>Spalte13175</t>
  </si>
  <si>
    <t>Spalte13176</t>
  </si>
  <si>
    <t>Spalte13177</t>
  </si>
  <si>
    <t>Spalte13178</t>
  </si>
  <si>
    <t>Spalte13179</t>
  </si>
  <si>
    <t>Spalte13180</t>
  </si>
  <si>
    <t>Spalte13181</t>
  </si>
  <si>
    <t>Spalte13182</t>
  </si>
  <si>
    <t>Spalte13183</t>
  </si>
  <si>
    <t>Spalte13184</t>
  </si>
  <si>
    <t>Spalte13185</t>
  </si>
  <si>
    <t>Spalte13186</t>
  </si>
  <si>
    <t>Spalte13187</t>
  </si>
  <si>
    <t>Spalte13188</t>
  </si>
  <si>
    <t>Spalte13189</t>
  </si>
  <si>
    <t>Spalte13190</t>
  </si>
  <si>
    <t>Spalte13191</t>
  </si>
  <si>
    <t>Spalte13192</t>
  </si>
  <si>
    <t>Spalte13193</t>
  </si>
  <si>
    <t>Spalte13194</t>
  </si>
  <si>
    <t>Spalte13195</t>
  </si>
  <si>
    <t>Spalte13196</t>
  </si>
  <si>
    <t>Spalte13197</t>
  </si>
  <si>
    <t>Spalte13198</t>
  </si>
  <si>
    <t>Spalte13199</t>
  </si>
  <si>
    <t>Spalte13200</t>
  </si>
  <si>
    <t>Spalte13201</t>
  </si>
  <si>
    <t>Spalte13202</t>
  </si>
  <si>
    <t>Spalte13203</t>
  </si>
  <si>
    <t>Spalte13204</t>
  </si>
  <si>
    <t>Spalte13205</t>
  </si>
  <si>
    <t>Spalte13206</t>
  </si>
  <si>
    <t>Spalte13207</t>
  </si>
  <si>
    <t>Spalte13208</t>
  </si>
  <si>
    <t>Spalte13209</t>
  </si>
  <si>
    <t>Spalte13210</t>
  </si>
  <si>
    <t>Spalte13211</t>
  </si>
  <si>
    <t>Spalte13212</t>
  </si>
  <si>
    <t>Spalte13213</t>
  </si>
  <si>
    <t>Spalte13214</t>
  </si>
  <si>
    <t>Spalte13215</t>
  </si>
  <si>
    <t>Spalte13216</t>
  </si>
  <si>
    <t>Spalte13217</t>
  </si>
  <si>
    <t>Spalte13218</t>
  </si>
  <si>
    <t>Spalte13219</t>
  </si>
  <si>
    <t>Spalte13220</t>
  </si>
  <si>
    <t>Spalte13221</t>
  </si>
  <si>
    <t>Spalte13222</t>
  </si>
  <si>
    <t>Spalte13223</t>
  </si>
  <si>
    <t>Spalte13224</t>
  </si>
  <si>
    <t>Spalte13225</t>
  </si>
  <si>
    <t>Spalte13226</t>
  </si>
  <si>
    <t>Spalte13227</t>
  </si>
  <si>
    <t>Spalte13228</t>
  </si>
  <si>
    <t>Spalte13229</t>
  </si>
  <si>
    <t>Spalte13230</t>
  </si>
  <si>
    <t>Spalte13231</t>
  </si>
  <si>
    <t>Spalte13232</t>
  </si>
  <si>
    <t>Spalte13233</t>
  </si>
  <si>
    <t>Spalte13234</t>
  </si>
  <si>
    <t>Spalte13235</t>
  </si>
  <si>
    <t>Spalte13236</t>
  </si>
  <si>
    <t>Spalte13237</t>
  </si>
  <si>
    <t>Spalte13238</t>
  </si>
  <si>
    <t>Spalte13239</t>
  </si>
  <si>
    <t>Spalte13240</t>
  </si>
  <si>
    <t>Spalte13241</t>
  </si>
  <si>
    <t>Spalte13242</t>
  </si>
  <si>
    <t>Spalte13243</t>
  </si>
  <si>
    <t>Spalte13244</t>
  </si>
  <si>
    <t>Spalte13245</t>
  </si>
  <si>
    <t>Spalte13246</t>
  </si>
  <si>
    <t>Spalte13247</t>
  </si>
  <si>
    <t>Spalte13248</t>
  </si>
  <si>
    <t>Spalte13249</t>
  </si>
  <si>
    <t>Spalte13250</t>
  </si>
  <si>
    <t>Spalte13251</t>
  </si>
  <si>
    <t>Spalte13252</t>
  </si>
  <si>
    <t>Spalte13253</t>
  </si>
  <si>
    <t>Spalte13254</t>
  </si>
  <si>
    <t>Spalte13255</t>
  </si>
  <si>
    <t>Spalte13256</t>
  </si>
  <si>
    <t>Spalte13257</t>
  </si>
  <si>
    <t>Spalte13258</t>
  </si>
  <si>
    <t>Spalte13259</t>
  </si>
  <si>
    <t>Spalte13260</t>
  </si>
  <si>
    <t>Spalte13261</t>
  </si>
  <si>
    <t>Spalte13262</t>
  </si>
  <si>
    <t>Spalte13263</t>
  </si>
  <si>
    <t>Spalte13264</t>
  </si>
  <si>
    <t>Spalte13265</t>
  </si>
  <si>
    <t>Spalte13266</t>
  </si>
  <si>
    <t>Spalte13267</t>
  </si>
  <si>
    <t>Spalte13268</t>
  </si>
  <si>
    <t>Spalte13269</t>
  </si>
  <si>
    <t>Spalte13270</t>
  </si>
  <si>
    <t>Spalte13271</t>
  </si>
  <si>
    <t>Spalte13272</t>
  </si>
  <si>
    <t>Spalte13273</t>
  </si>
  <si>
    <t>Spalte13274</t>
  </si>
  <si>
    <t>Spalte13275</t>
  </si>
  <si>
    <t>Spalte13276</t>
  </si>
  <si>
    <t>Spalte13277</t>
  </si>
  <si>
    <t>Spalte13278</t>
  </si>
  <si>
    <t>Spalte13279</t>
  </si>
  <si>
    <t>Spalte13280</t>
  </si>
  <si>
    <t>Spalte13281</t>
  </si>
  <si>
    <t>Spalte13282</t>
  </si>
  <si>
    <t>Spalte13283</t>
  </si>
  <si>
    <t>Spalte13284</t>
  </si>
  <si>
    <t>Spalte13285</t>
  </si>
  <si>
    <t>Spalte13286</t>
  </si>
  <si>
    <t>Spalte13287</t>
  </si>
  <si>
    <t>Spalte13288</t>
  </si>
  <si>
    <t>Spalte13289</t>
  </si>
  <si>
    <t>Spalte13290</t>
  </si>
  <si>
    <t>Spalte13291</t>
  </si>
  <si>
    <t>Spalte13292</t>
  </si>
  <si>
    <t>Spalte13293</t>
  </si>
  <si>
    <t>Spalte13294</t>
  </si>
  <si>
    <t>Spalte13295</t>
  </si>
  <si>
    <t>Spalte13296</t>
  </si>
  <si>
    <t>Spalte13297</t>
  </si>
  <si>
    <t>Spalte13298</t>
  </si>
  <si>
    <t>Spalte13299</t>
  </si>
  <si>
    <t>Spalte13300</t>
  </si>
  <si>
    <t>Spalte13301</t>
  </si>
  <si>
    <t>Spalte13302</t>
  </si>
  <si>
    <t>Spalte13303</t>
  </si>
  <si>
    <t>Spalte13304</t>
  </si>
  <si>
    <t>Spalte13305</t>
  </si>
  <si>
    <t>Spalte13306</t>
  </si>
  <si>
    <t>Spalte13307</t>
  </si>
  <si>
    <t>Spalte13308</t>
  </si>
  <si>
    <t>Spalte13309</t>
  </si>
  <si>
    <t>Spalte13310</t>
  </si>
  <si>
    <t>Spalte13311</t>
  </si>
  <si>
    <t>Spalte13312</t>
  </si>
  <si>
    <t>Spalte13313</t>
  </si>
  <si>
    <t>Spalte13314</t>
  </si>
  <si>
    <t>Spalte13315</t>
  </si>
  <si>
    <t>Spalte13316</t>
  </si>
  <si>
    <t>Spalte13317</t>
  </si>
  <si>
    <t>Spalte13318</t>
  </si>
  <si>
    <t>Spalte13319</t>
  </si>
  <si>
    <t>Spalte13320</t>
  </si>
  <si>
    <t>Spalte13321</t>
  </si>
  <si>
    <t>Spalte13322</t>
  </si>
  <si>
    <t>Spalte13323</t>
  </si>
  <si>
    <t>Spalte13324</t>
  </si>
  <si>
    <t>Spalte13325</t>
  </si>
  <si>
    <t>Spalte13326</t>
  </si>
  <si>
    <t>Spalte13327</t>
  </si>
  <si>
    <t>Spalte13328</t>
  </si>
  <si>
    <t>Spalte13329</t>
  </si>
  <si>
    <t>Spalte13330</t>
  </si>
  <si>
    <t>Spalte13331</t>
  </si>
  <si>
    <t>Spalte13332</t>
  </si>
  <si>
    <t>Spalte13333</t>
  </si>
  <si>
    <t>Spalte13334</t>
  </si>
  <si>
    <t>Spalte13335</t>
  </si>
  <si>
    <t>Spalte13336</t>
  </si>
  <si>
    <t>Spalte13337</t>
  </si>
  <si>
    <t>Spalte13338</t>
  </si>
  <si>
    <t>Spalte13339</t>
  </si>
  <si>
    <t>Spalte13340</t>
  </si>
  <si>
    <t>Spalte13341</t>
  </si>
  <si>
    <t>Spalte13342</t>
  </si>
  <si>
    <t>Spalte13343</t>
  </si>
  <si>
    <t>Spalte13344</t>
  </si>
  <si>
    <t>Spalte13345</t>
  </si>
  <si>
    <t>Spalte13346</t>
  </si>
  <si>
    <t>Spalte13347</t>
  </si>
  <si>
    <t>Spalte13348</t>
  </si>
  <si>
    <t>Spalte13349</t>
  </si>
  <si>
    <t>Spalte13350</t>
  </si>
  <si>
    <t>Spalte13351</t>
  </si>
  <si>
    <t>Spalte13352</t>
  </si>
  <si>
    <t>Spalte13353</t>
  </si>
  <si>
    <t>Spalte13354</t>
  </si>
  <si>
    <t>Spalte13355</t>
  </si>
  <si>
    <t>Spalte13356</t>
  </si>
  <si>
    <t>Spalte13357</t>
  </si>
  <si>
    <t>Spalte13358</t>
  </si>
  <si>
    <t>Spalte13359</t>
  </si>
  <si>
    <t>Spalte13360</t>
  </si>
  <si>
    <t>Spalte13361</t>
  </si>
  <si>
    <t>Spalte13362</t>
  </si>
  <si>
    <t>Spalte13363</t>
  </si>
  <si>
    <t>Spalte13364</t>
  </si>
  <si>
    <t>Spalte13365</t>
  </si>
  <si>
    <t>Spalte13366</t>
  </si>
  <si>
    <t>Spalte13367</t>
  </si>
  <si>
    <t>Spalte13368</t>
  </si>
  <si>
    <t>Spalte13369</t>
  </si>
  <si>
    <t>Spalte13370</t>
  </si>
  <si>
    <t>Spalte13371</t>
  </si>
  <si>
    <t>Spalte13372</t>
  </si>
  <si>
    <t>Spalte13373</t>
  </si>
  <si>
    <t>Spalte13374</t>
  </si>
  <si>
    <t>Spalte13375</t>
  </si>
  <si>
    <t>Spalte13376</t>
  </si>
  <si>
    <t>Spalte13377</t>
  </si>
  <si>
    <t>Spalte13378</t>
  </si>
  <si>
    <t>Spalte13379</t>
  </si>
  <si>
    <t>Spalte13380</t>
  </si>
  <si>
    <t>Spalte13381</t>
  </si>
  <si>
    <t>Spalte13382</t>
  </si>
  <si>
    <t>Spalte13383</t>
  </si>
  <si>
    <t>Spalte13384</t>
  </si>
  <si>
    <t>Spalte13385</t>
  </si>
  <si>
    <t>Spalte13386</t>
  </si>
  <si>
    <t>Spalte13387</t>
  </si>
  <si>
    <t>Spalte13388</t>
  </si>
  <si>
    <t>Spalte13389</t>
  </si>
  <si>
    <t>Spalte13390</t>
  </si>
  <si>
    <t>Spalte13391</t>
  </si>
  <si>
    <t>Spalte13392</t>
  </si>
  <si>
    <t>Spalte13393</t>
  </si>
  <si>
    <t>Spalte13394</t>
  </si>
  <si>
    <t>Spalte13395</t>
  </si>
  <si>
    <t>Spalte13396</t>
  </si>
  <si>
    <t>Spalte13397</t>
  </si>
  <si>
    <t>Spalte13398</t>
  </si>
  <si>
    <t>Spalte13399</t>
  </si>
  <si>
    <t>Spalte13400</t>
  </si>
  <si>
    <t>Spalte13401</t>
  </si>
  <si>
    <t>Spalte13402</t>
  </si>
  <si>
    <t>Spalte13403</t>
  </si>
  <si>
    <t>Spalte13404</t>
  </si>
  <si>
    <t>Spalte13405</t>
  </si>
  <si>
    <t>Spalte13406</t>
  </si>
  <si>
    <t>Spalte13407</t>
  </si>
  <si>
    <t>Spalte13408</t>
  </si>
  <si>
    <t>Spalte13409</t>
  </si>
  <si>
    <t>Spalte13410</t>
  </si>
  <si>
    <t>Spalte13411</t>
  </si>
  <si>
    <t>Spalte13412</t>
  </si>
  <si>
    <t>Spalte13413</t>
  </si>
  <si>
    <t>Spalte13414</t>
  </si>
  <si>
    <t>Spalte13415</t>
  </si>
  <si>
    <t>Spalte13416</t>
  </si>
  <si>
    <t>Spalte13417</t>
  </si>
  <si>
    <t>Spalte13418</t>
  </si>
  <si>
    <t>Spalte13419</t>
  </si>
  <si>
    <t>Spalte13420</t>
  </si>
  <si>
    <t>Spalte13421</t>
  </si>
  <si>
    <t>Spalte13422</t>
  </si>
  <si>
    <t>Spalte13423</t>
  </si>
  <si>
    <t>Spalte13424</t>
  </si>
  <si>
    <t>Spalte13425</t>
  </si>
  <si>
    <t>Spalte13426</t>
  </si>
  <si>
    <t>Spalte13427</t>
  </si>
  <si>
    <t>Spalte13428</t>
  </si>
  <si>
    <t>Spalte13429</t>
  </si>
  <si>
    <t>Spalte13430</t>
  </si>
  <si>
    <t>Spalte13431</t>
  </si>
  <si>
    <t>Spalte13432</t>
  </si>
  <si>
    <t>Spalte13433</t>
  </si>
  <si>
    <t>Spalte13434</t>
  </si>
  <si>
    <t>Spalte13435</t>
  </si>
  <si>
    <t>Spalte13436</t>
  </si>
  <si>
    <t>Spalte13437</t>
  </si>
  <si>
    <t>Spalte13438</t>
  </si>
  <si>
    <t>Spalte13439</t>
  </si>
  <si>
    <t>Spalte13440</t>
  </si>
  <si>
    <t>Spalte13441</t>
  </si>
  <si>
    <t>Spalte13442</t>
  </si>
  <si>
    <t>Spalte13443</t>
  </si>
  <si>
    <t>Spalte13444</t>
  </si>
  <si>
    <t>Spalte13445</t>
  </si>
  <si>
    <t>Spalte13446</t>
  </si>
  <si>
    <t>Spalte13447</t>
  </si>
  <si>
    <t>Spalte13448</t>
  </si>
  <si>
    <t>Spalte13449</t>
  </si>
  <si>
    <t>Spalte13450</t>
  </si>
  <si>
    <t>Spalte13451</t>
  </si>
  <si>
    <t>Spalte13452</t>
  </si>
  <si>
    <t>Spalte13453</t>
  </si>
  <si>
    <t>Spalte13454</t>
  </si>
  <si>
    <t>Spalte13455</t>
  </si>
  <si>
    <t>Spalte13456</t>
  </si>
  <si>
    <t>Spalte13457</t>
  </si>
  <si>
    <t>Spalte13458</t>
  </si>
  <si>
    <t>Spalte13459</t>
  </si>
  <si>
    <t>Spalte13460</t>
  </si>
  <si>
    <t>Spalte13461</t>
  </si>
  <si>
    <t>Spalte13462</t>
  </si>
  <si>
    <t>Spalte13463</t>
  </si>
  <si>
    <t>Spalte13464</t>
  </si>
  <si>
    <t>Spalte13465</t>
  </si>
  <si>
    <t>Spalte13466</t>
  </si>
  <si>
    <t>Spalte13467</t>
  </si>
  <si>
    <t>Spalte13468</t>
  </si>
  <si>
    <t>Spalte13469</t>
  </si>
  <si>
    <t>Spalte13470</t>
  </si>
  <si>
    <t>Spalte13471</t>
  </si>
  <si>
    <t>Spalte13472</t>
  </si>
  <si>
    <t>Spalte13473</t>
  </si>
  <si>
    <t>Spalte13474</t>
  </si>
  <si>
    <t>Spalte13475</t>
  </si>
  <si>
    <t>Spalte13476</t>
  </si>
  <si>
    <t>Spalte13477</t>
  </si>
  <si>
    <t>Spalte13478</t>
  </si>
  <si>
    <t>Spalte13479</t>
  </si>
  <si>
    <t>Spalte13480</t>
  </si>
  <si>
    <t>Spalte13481</t>
  </si>
  <si>
    <t>Spalte13482</t>
  </si>
  <si>
    <t>Spalte13483</t>
  </si>
  <si>
    <t>Spalte13484</t>
  </si>
  <si>
    <t>Spalte13485</t>
  </si>
  <si>
    <t>Spalte13486</t>
  </si>
  <si>
    <t>Spalte13487</t>
  </si>
  <si>
    <t>Spalte13488</t>
  </si>
  <si>
    <t>Spalte13489</t>
  </si>
  <si>
    <t>Spalte13490</t>
  </si>
  <si>
    <t>Spalte13491</t>
  </si>
  <si>
    <t>Spalte13492</t>
  </si>
  <si>
    <t>Spalte13493</t>
  </si>
  <si>
    <t>Spalte13494</t>
  </si>
  <si>
    <t>Spalte13495</t>
  </si>
  <si>
    <t>Spalte13496</t>
  </si>
  <si>
    <t>Spalte13497</t>
  </si>
  <si>
    <t>Spalte13498</t>
  </si>
  <si>
    <t>Spalte13499</t>
  </si>
  <si>
    <t>Spalte13500</t>
  </si>
  <si>
    <t>Spalte13501</t>
  </si>
  <si>
    <t>Spalte13502</t>
  </si>
  <si>
    <t>Spalte13503</t>
  </si>
  <si>
    <t>Spalte13504</t>
  </si>
  <si>
    <t>Spalte13505</t>
  </si>
  <si>
    <t>Spalte13506</t>
  </si>
  <si>
    <t>Spalte13507</t>
  </si>
  <si>
    <t>Spalte13508</t>
  </si>
  <si>
    <t>Spalte13509</t>
  </si>
  <si>
    <t>Spalte13510</t>
  </si>
  <si>
    <t>Spalte13511</t>
  </si>
  <si>
    <t>Spalte13512</t>
  </si>
  <si>
    <t>Spalte13513</t>
  </si>
  <si>
    <t>Spalte13514</t>
  </si>
  <si>
    <t>Spalte13515</t>
  </si>
  <si>
    <t>Spalte13516</t>
  </si>
  <si>
    <t>Spalte13517</t>
  </si>
  <si>
    <t>Spalte13518</t>
  </si>
  <si>
    <t>Spalte13519</t>
  </si>
  <si>
    <t>Spalte13520</t>
  </si>
  <si>
    <t>Spalte13521</t>
  </si>
  <si>
    <t>Spalte13522</t>
  </si>
  <si>
    <t>Spalte13523</t>
  </si>
  <si>
    <t>Spalte13524</t>
  </si>
  <si>
    <t>Spalte13525</t>
  </si>
  <si>
    <t>Spalte13526</t>
  </si>
  <si>
    <t>Spalte13527</t>
  </si>
  <si>
    <t>Spalte13528</t>
  </si>
  <si>
    <t>Spalte13529</t>
  </si>
  <si>
    <t>Spalte13530</t>
  </si>
  <si>
    <t>Spalte13531</t>
  </si>
  <si>
    <t>Spalte13532</t>
  </si>
  <si>
    <t>Spalte13533</t>
  </si>
  <si>
    <t>Spalte13534</t>
  </si>
  <si>
    <t>Spalte13535</t>
  </si>
  <si>
    <t>Spalte13536</t>
  </si>
  <si>
    <t>Spalte13537</t>
  </si>
  <si>
    <t>Spalte13538</t>
  </si>
  <si>
    <t>Spalte13539</t>
  </si>
  <si>
    <t>Spalte13540</t>
  </si>
  <si>
    <t>Spalte13541</t>
  </si>
  <si>
    <t>Spalte13542</t>
  </si>
  <si>
    <t>Spalte13543</t>
  </si>
  <si>
    <t>Spalte13544</t>
  </si>
  <si>
    <t>Spalte13545</t>
  </si>
  <si>
    <t>Spalte13546</t>
  </si>
  <si>
    <t>Spalte13547</t>
  </si>
  <si>
    <t>Spalte13548</t>
  </si>
  <si>
    <t>Spalte13549</t>
  </si>
  <si>
    <t>Spalte13550</t>
  </si>
  <si>
    <t>Spalte13551</t>
  </si>
  <si>
    <t>Spalte13552</t>
  </si>
  <si>
    <t>Spalte13553</t>
  </si>
  <si>
    <t>Spalte13554</t>
  </si>
  <si>
    <t>Spalte13555</t>
  </si>
  <si>
    <t>Spalte13556</t>
  </si>
  <si>
    <t>Spalte13557</t>
  </si>
  <si>
    <t>Spalte13558</t>
  </si>
  <si>
    <t>Spalte13559</t>
  </si>
  <si>
    <t>Spalte13560</t>
  </si>
  <si>
    <t>Spalte13561</t>
  </si>
  <si>
    <t>Spalte13562</t>
  </si>
  <si>
    <t>Spalte13563</t>
  </si>
  <si>
    <t>Spalte13564</t>
  </si>
  <si>
    <t>Spalte13565</t>
  </si>
  <si>
    <t>Spalte13566</t>
  </si>
  <si>
    <t>Spalte13567</t>
  </si>
  <si>
    <t>Spalte13568</t>
  </si>
  <si>
    <t>Spalte13569</t>
  </si>
  <si>
    <t>Spalte13570</t>
  </si>
  <si>
    <t>Spalte13571</t>
  </si>
  <si>
    <t>Spalte13572</t>
  </si>
  <si>
    <t>Spalte13573</t>
  </si>
  <si>
    <t>Spalte13574</t>
  </si>
  <si>
    <t>Spalte13575</t>
  </si>
  <si>
    <t>Spalte13576</t>
  </si>
  <si>
    <t>Spalte13577</t>
  </si>
  <si>
    <t>Spalte13578</t>
  </si>
  <si>
    <t>Spalte13579</t>
  </si>
  <si>
    <t>Spalte13580</t>
  </si>
  <si>
    <t>Spalte13581</t>
  </si>
  <si>
    <t>Spalte13582</t>
  </si>
  <si>
    <t>Spalte13583</t>
  </si>
  <si>
    <t>Spalte13584</t>
  </si>
  <si>
    <t>Spalte13585</t>
  </si>
  <si>
    <t>Spalte13586</t>
  </si>
  <si>
    <t>Spalte13587</t>
  </si>
  <si>
    <t>Spalte13588</t>
  </si>
  <si>
    <t>Spalte13589</t>
  </si>
  <si>
    <t>Spalte13590</t>
  </si>
  <si>
    <t>Spalte13591</t>
  </si>
  <si>
    <t>Spalte13592</t>
  </si>
  <si>
    <t>Spalte13593</t>
  </si>
  <si>
    <t>Spalte13594</t>
  </si>
  <si>
    <t>Spalte13595</t>
  </si>
  <si>
    <t>Spalte13596</t>
  </si>
  <si>
    <t>Spalte13597</t>
  </si>
  <si>
    <t>Spalte13598</t>
  </si>
  <si>
    <t>Spalte13599</t>
  </si>
  <si>
    <t>Spalte13600</t>
  </si>
  <si>
    <t>Spalte13601</t>
  </si>
  <si>
    <t>Spalte13602</t>
  </si>
  <si>
    <t>Spalte13603</t>
  </si>
  <si>
    <t>Spalte13604</t>
  </si>
  <si>
    <t>Spalte13605</t>
  </si>
  <si>
    <t>Spalte13606</t>
  </si>
  <si>
    <t>Spalte13607</t>
  </si>
  <si>
    <t>Spalte13608</t>
  </si>
  <si>
    <t>Spalte13609</t>
  </si>
  <si>
    <t>Spalte13610</t>
  </si>
  <si>
    <t>Spalte13611</t>
  </si>
  <si>
    <t>Spalte13612</t>
  </si>
  <si>
    <t>Spalte13613</t>
  </si>
  <si>
    <t>Spalte13614</t>
  </si>
  <si>
    <t>Spalte13615</t>
  </si>
  <si>
    <t>Spalte13616</t>
  </si>
  <si>
    <t>Spalte13617</t>
  </si>
  <si>
    <t>Spalte13618</t>
  </si>
  <si>
    <t>Spalte13619</t>
  </si>
  <si>
    <t>Spalte13620</t>
  </si>
  <si>
    <t>Spalte13621</t>
  </si>
  <si>
    <t>Spalte13622</t>
  </si>
  <si>
    <t>Spalte13623</t>
  </si>
  <si>
    <t>Spalte13624</t>
  </si>
  <si>
    <t>Spalte13625</t>
  </si>
  <si>
    <t>Spalte13626</t>
  </si>
  <si>
    <t>Spalte13627</t>
  </si>
  <si>
    <t>Spalte13628</t>
  </si>
  <si>
    <t>Spalte13629</t>
  </si>
  <si>
    <t>Spalte13630</t>
  </si>
  <si>
    <t>Spalte13631</t>
  </si>
  <si>
    <t>Spalte13632</t>
  </si>
  <si>
    <t>Spalte13633</t>
  </si>
  <si>
    <t>Spalte13634</t>
  </si>
  <si>
    <t>Spalte13635</t>
  </si>
  <si>
    <t>Spalte13636</t>
  </si>
  <si>
    <t>Spalte13637</t>
  </si>
  <si>
    <t>Spalte13638</t>
  </si>
  <si>
    <t>Spalte13639</t>
  </si>
  <si>
    <t>Spalte13640</t>
  </si>
  <si>
    <t>Spalte13641</t>
  </si>
  <si>
    <t>Spalte13642</t>
  </si>
  <si>
    <t>Spalte13643</t>
  </si>
  <si>
    <t>Spalte13644</t>
  </si>
  <si>
    <t>Spalte13645</t>
  </si>
  <si>
    <t>Spalte13646</t>
  </si>
  <si>
    <t>Spalte13647</t>
  </si>
  <si>
    <t>Spalte13648</t>
  </si>
  <si>
    <t>Spalte13649</t>
  </si>
  <si>
    <t>Spalte13650</t>
  </si>
  <si>
    <t>Spalte13651</t>
  </si>
  <si>
    <t>Spalte13652</t>
  </si>
  <si>
    <t>Spalte13653</t>
  </si>
  <si>
    <t>Spalte13654</t>
  </si>
  <si>
    <t>Spalte13655</t>
  </si>
  <si>
    <t>Spalte13656</t>
  </si>
  <si>
    <t>Spalte13657</t>
  </si>
  <si>
    <t>Spalte13658</t>
  </si>
  <si>
    <t>Spalte13659</t>
  </si>
  <si>
    <t>Spalte13660</t>
  </si>
  <si>
    <t>Spalte13661</t>
  </si>
  <si>
    <t>Spalte13662</t>
  </si>
  <si>
    <t>Spalte13663</t>
  </si>
  <si>
    <t>Spalte13664</t>
  </si>
  <si>
    <t>Spalte13665</t>
  </si>
  <si>
    <t>Spalte13666</t>
  </si>
  <si>
    <t>Spalte13667</t>
  </si>
  <si>
    <t>Spalte13668</t>
  </si>
  <si>
    <t>Spalte13669</t>
  </si>
  <si>
    <t>Spalte13670</t>
  </si>
  <si>
    <t>Spalte13671</t>
  </si>
  <si>
    <t>Spalte13672</t>
  </si>
  <si>
    <t>Spalte13673</t>
  </si>
  <si>
    <t>Spalte13674</t>
  </si>
  <si>
    <t>Spalte13675</t>
  </si>
  <si>
    <t>Spalte13676</t>
  </si>
  <si>
    <t>Spalte13677</t>
  </si>
  <si>
    <t>Spalte13678</t>
  </si>
  <si>
    <t>Spalte13679</t>
  </si>
  <si>
    <t>Spalte13680</t>
  </si>
  <si>
    <t>Spalte13681</t>
  </si>
  <si>
    <t>Spalte13682</t>
  </si>
  <si>
    <t>Spalte13683</t>
  </si>
  <si>
    <t>Spalte13684</t>
  </si>
  <si>
    <t>Spalte13685</t>
  </si>
  <si>
    <t>Spalte13686</t>
  </si>
  <si>
    <t>Spalte13687</t>
  </si>
  <si>
    <t>Spalte13688</t>
  </si>
  <si>
    <t>Spalte13689</t>
  </si>
  <si>
    <t>Spalte13690</t>
  </si>
  <si>
    <t>Spalte13691</t>
  </si>
  <si>
    <t>Spalte13692</t>
  </si>
  <si>
    <t>Spalte13693</t>
  </si>
  <si>
    <t>Spalte13694</t>
  </si>
  <si>
    <t>Spalte13695</t>
  </si>
  <si>
    <t>Spalte13696</t>
  </si>
  <si>
    <t>Spalte13697</t>
  </si>
  <si>
    <t>Spalte13698</t>
  </si>
  <si>
    <t>Spalte13699</t>
  </si>
  <si>
    <t>Spalte13700</t>
  </si>
  <si>
    <t>Spalte13701</t>
  </si>
  <si>
    <t>Spalte13702</t>
  </si>
  <si>
    <t>Spalte13703</t>
  </si>
  <si>
    <t>Spalte13704</t>
  </si>
  <si>
    <t>Spalte13705</t>
  </si>
  <si>
    <t>Spalte13706</t>
  </si>
  <si>
    <t>Spalte13707</t>
  </si>
  <si>
    <t>Spalte13708</t>
  </si>
  <si>
    <t>Spalte13709</t>
  </si>
  <si>
    <t>Spalte13710</t>
  </si>
  <si>
    <t>Spalte13711</t>
  </si>
  <si>
    <t>Spalte13712</t>
  </si>
  <si>
    <t>Spalte13713</t>
  </si>
  <si>
    <t>Spalte13714</t>
  </si>
  <si>
    <t>Spalte13715</t>
  </si>
  <si>
    <t>Spalte13716</t>
  </si>
  <si>
    <t>Spalte13717</t>
  </si>
  <si>
    <t>Spalte13718</t>
  </si>
  <si>
    <t>Spalte13719</t>
  </si>
  <si>
    <t>Spalte13720</t>
  </si>
  <si>
    <t>Spalte13721</t>
  </si>
  <si>
    <t>Spalte13722</t>
  </si>
  <si>
    <t>Spalte13723</t>
  </si>
  <si>
    <t>Spalte13724</t>
  </si>
  <si>
    <t>Spalte13725</t>
  </si>
  <si>
    <t>Spalte13726</t>
  </si>
  <si>
    <t>Spalte13727</t>
  </si>
  <si>
    <t>Spalte13728</t>
  </si>
  <si>
    <t>Spalte13729</t>
  </si>
  <si>
    <t>Spalte13730</t>
  </si>
  <si>
    <t>Spalte13731</t>
  </si>
  <si>
    <t>Spalte13732</t>
  </si>
  <si>
    <t>Spalte13733</t>
  </si>
  <si>
    <t>Spalte13734</t>
  </si>
  <si>
    <t>Spalte13735</t>
  </si>
  <si>
    <t>Spalte13736</t>
  </si>
  <si>
    <t>Spalte13737</t>
  </si>
  <si>
    <t>Spalte13738</t>
  </si>
  <si>
    <t>Spalte13739</t>
  </si>
  <si>
    <t>Spalte13740</t>
  </si>
  <si>
    <t>Spalte13741</t>
  </si>
  <si>
    <t>Spalte13742</t>
  </si>
  <si>
    <t>Spalte13743</t>
  </si>
  <si>
    <t>Spalte13744</t>
  </si>
  <si>
    <t>Spalte13745</t>
  </si>
  <si>
    <t>Spalte13746</t>
  </si>
  <si>
    <t>Spalte13747</t>
  </si>
  <si>
    <t>Spalte13748</t>
  </si>
  <si>
    <t>Spalte13749</t>
  </si>
  <si>
    <t>Spalte13750</t>
  </si>
  <si>
    <t>Spalte13751</t>
  </si>
  <si>
    <t>Spalte13752</t>
  </si>
  <si>
    <t>Spalte13753</t>
  </si>
  <si>
    <t>Spalte13754</t>
  </si>
  <si>
    <t>Spalte13755</t>
  </si>
  <si>
    <t>Spalte13756</t>
  </si>
  <si>
    <t>Spalte13757</t>
  </si>
  <si>
    <t>Spalte13758</t>
  </si>
  <si>
    <t>Spalte13759</t>
  </si>
  <si>
    <t>Spalte13760</t>
  </si>
  <si>
    <t>Spalte13761</t>
  </si>
  <si>
    <t>Spalte13762</t>
  </si>
  <si>
    <t>Spalte13763</t>
  </si>
  <si>
    <t>Spalte13764</t>
  </si>
  <si>
    <t>Spalte13765</t>
  </si>
  <si>
    <t>Spalte13766</t>
  </si>
  <si>
    <t>Spalte13767</t>
  </si>
  <si>
    <t>Spalte13768</t>
  </si>
  <si>
    <t>Spalte13769</t>
  </si>
  <si>
    <t>Spalte13770</t>
  </si>
  <si>
    <t>Spalte13771</t>
  </si>
  <si>
    <t>Spalte13772</t>
  </si>
  <si>
    <t>Spalte13773</t>
  </si>
  <si>
    <t>Spalte13774</t>
  </si>
  <si>
    <t>Spalte13775</t>
  </si>
  <si>
    <t>Spalte13776</t>
  </si>
  <si>
    <t>Spalte13777</t>
  </si>
  <si>
    <t>Spalte13778</t>
  </si>
  <si>
    <t>Spalte13779</t>
  </si>
  <si>
    <t>Spalte13780</t>
  </si>
  <si>
    <t>Spalte13781</t>
  </si>
  <si>
    <t>Spalte13782</t>
  </si>
  <si>
    <t>Spalte13783</t>
  </si>
  <si>
    <t>Spalte13784</t>
  </si>
  <si>
    <t>Spalte13785</t>
  </si>
  <si>
    <t>Spalte13786</t>
  </si>
  <si>
    <t>Spalte13787</t>
  </si>
  <si>
    <t>Spalte13788</t>
  </si>
  <si>
    <t>Spalte13789</t>
  </si>
  <si>
    <t>Spalte13790</t>
  </si>
  <si>
    <t>Spalte13791</t>
  </si>
  <si>
    <t>Spalte13792</t>
  </si>
  <si>
    <t>Spalte13793</t>
  </si>
  <si>
    <t>Spalte13794</t>
  </si>
  <si>
    <t>Spalte13795</t>
  </si>
  <si>
    <t>Spalte13796</t>
  </si>
  <si>
    <t>Spalte13797</t>
  </si>
  <si>
    <t>Spalte13798</t>
  </si>
  <si>
    <t>Spalte13799</t>
  </si>
  <si>
    <t>Spalte13800</t>
  </si>
  <si>
    <t>Spalte13801</t>
  </si>
  <si>
    <t>Spalte13802</t>
  </si>
  <si>
    <t>Spalte13803</t>
  </si>
  <si>
    <t>Spalte13804</t>
  </si>
  <si>
    <t>Spalte13805</t>
  </si>
  <si>
    <t>Spalte13806</t>
  </si>
  <si>
    <t>Spalte13807</t>
  </si>
  <si>
    <t>Spalte13808</t>
  </si>
  <si>
    <t>Spalte13809</t>
  </si>
  <si>
    <t>Spalte13810</t>
  </si>
  <si>
    <t>Spalte13811</t>
  </si>
  <si>
    <t>Spalte13812</t>
  </si>
  <si>
    <t>Spalte13813</t>
  </si>
  <si>
    <t>Spalte13814</t>
  </si>
  <si>
    <t>Spalte13815</t>
  </si>
  <si>
    <t>Spalte13816</t>
  </si>
  <si>
    <t>Spalte13817</t>
  </si>
  <si>
    <t>Spalte13818</t>
  </si>
  <si>
    <t>Spalte13819</t>
  </si>
  <si>
    <t>Spalte13820</t>
  </si>
  <si>
    <t>Spalte13821</t>
  </si>
  <si>
    <t>Spalte13822</t>
  </si>
  <si>
    <t>Spalte13823</t>
  </si>
  <si>
    <t>Spalte13824</t>
  </si>
  <si>
    <t>Spalte13825</t>
  </si>
  <si>
    <t>Spalte13826</t>
  </si>
  <si>
    <t>Spalte13827</t>
  </si>
  <si>
    <t>Spalte13828</t>
  </si>
  <si>
    <t>Spalte13829</t>
  </si>
  <si>
    <t>Spalte13830</t>
  </si>
  <si>
    <t>Spalte13831</t>
  </si>
  <si>
    <t>Spalte13832</t>
  </si>
  <si>
    <t>Spalte13833</t>
  </si>
  <si>
    <t>Spalte13834</t>
  </si>
  <si>
    <t>Spalte13835</t>
  </si>
  <si>
    <t>Spalte13836</t>
  </si>
  <si>
    <t>Spalte13837</t>
  </si>
  <si>
    <t>Spalte13838</t>
  </si>
  <si>
    <t>Spalte13839</t>
  </si>
  <si>
    <t>Spalte13840</t>
  </si>
  <si>
    <t>Spalte13841</t>
  </si>
  <si>
    <t>Spalte13842</t>
  </si>
  <si>
    <t>Spalte13843</t>
  </si>
  <si>
    <t>Spalte13844</t>
  </si>
  <si>
    <t>Spalte13845</t>
  </si>
  <si>
    <t>Spalte13846</t>
  </si>
  <si>
    <t>Spalte13847</t>
  </si>
  <si>
    <t>Spalte13848</t>
  </si>
  <si>
    <t>Spalte13849</t>
  </si>
  <si>
    <t>Spalte13850</t>
  </si>
  <si>
    <t>Spalte13851</t>
  </si>
  <si>
    <t>Spalte13852</t>
  </si>
  <si>
    <t>Spalte13853</t>
  </si>
  <si>
    <t>Spalte13854</t>
  </si>
  <si>
    <t>Spalte13855</t>
  </si>
  <si>
    <t>Spalte13856</t>
  </si>
  <si>
    <t>Spalte13857</t>
  </si>
  <si>
    <t>Spalte13858</t>
  </si>
  <si>
    <t>Spalte13859</t>
  </si>
  <si>
    <t>Spalte13860</t>
  </si>
  <si>
    <t>Spalte13861</t>
  </si>
  <si>
    <t>Spalte13862</t>
  </si>
  <si>
    <t>Spalte13863</t>
  </si>
  <si>
    <t>Spalte13864</t>
  </si>
  <si>
    <t>Spalte13865</t>
  </si>
  <si>
    <t>Spalte13866</t>
  </si>
  <si>
    <t>Spalte13867</t>
  </si>
  <si>
    <t>Spalte13868</t>
  </si>
  <si>
    <t>Spalte13869</t>
  </si>
  <si>
    <t>Spalte13870</t>
  </si>
  <si>
    <t>Spalte13871</t>
  </si>
  <si>
    <t>Spalte13872</t>
  </si>
  <si>
    <t>Spalte13873</t>
  </si>
  <si>
    <t>Spalte13874</t>
  </si>
  <si>
    <t>Spalte13875</t>
  </si>
  <si>
    <t>Spalte13876</t>
  </si>
  <si>
    <t>Spalte13877</t>
  </si>
  <si>
    <t>Spalte13878</t>
  </si>
  <si>
    <t>Spalte13879</t>
  </si>
  <si>
    <t>Spalte13880</t>
  </si>
  <si>
    <t>Spalte13881</t>
  </si>
  <si>
    <t>Spalte13882</t>
  </si>
  <si>
    <t>Spalte13883</t>
  </si>
  <si>
    <t>Spalte13884</t>
  </si>
  <si>
    <t>Spalte13885</t>
  </si>
  <si>
    <t>Spalte13886</t>
  </si>
  <si>
    <t>Spalte13887</t>
  </si>
  <si>
    <t>Spalte13888</t>
  </si>
  <si>
    <t>Spalte13889</t>
  </si>
  <si>
    <t>Spalte13890</t>
  </si>
  <si>
    <t>Spalte13891</t>
  </si>
  <si>
    <t>Spalte13892</t>
  </si>
  <si>
    <t>Spalte13893</t>
  </si>
  <si>
    <t>Spalte13894</t>
  </si>
  <si>
    <t>Spalte13895</t>
  </si>
  <si>
    <t>Spalte13896</t>
  </si>
  <si>
    <t>Spalte13897</t>
  </si>
  <si>
    <t>Spalte13898</t>
  </si>
  <si>
    <t>Spalte13899</t>
  </si>
  <si>
    <t>Spalte13900</t>
  </si>
  <si>
    <t>Spalte13901</t>
  </si>
  <si>
    <t>Spalte13902</t>
  </si>
  <si>
    <t>Spalte13903</t>
  </si>
  <si>
    <t>Spalte13904</t>
  </si>
  <si>
    <t>Spalte13905</t>
  </si>
  <si>
    <t>Spalte13906</t>
  </si>
  <si>
    <t>Spalte13907</t>
  </si>
  <si>
    <t>Spalte13908</t>
  </si>
  <si>
    <t>Spalte13909</t>
  </si>
  <si>
    <t>Spalte13910</t>
  </si>
  <si>
    <t>Spalte13911</t>
  </si>
  <si>
    <t>Spalte13912</t>
  </si>
  <si>
    <t>Spalte13913</t>
  </si>
  <si>
    <t>Spalte13914</t>
  </si>
  <si>
    <t>Spalte13915</t>
  </si>
  <si>
    <t>Spalte13916</t>
  </si>
  <si>
    <t>Spalte13917</t>
  </si>
  <si>
    <t>Spalte13918</t>
  </si>
  <si>
    <t>Spalte13919</t>
  </si>
  <si>
    <t>Spalte13920</t>
  </si>
  <si>
    <t>Spalte13921</t>
  </si>
  <si>
    <t>Spalte13922</t>
  </si>
  <si>
    <t>Spalte13923</t>
  </si>
  <si>
    <t>Spalte13924</t>
  </si>
  <si>
    <t>Spalte13925</t>
  </si>
  <si>
    <t>Spalte13926</t>
  </si>
  <si>
    <t>Spalte13927</t>
  </si>
  <si>
    <t>Spalte13928</t>
  </si>
  <si>
    <t>Spalte13929</t>
  </si>
  <si>
    <t>Spalte13930</t>
  </si>
  <si>
    <t>Spalte13931</t>
  </si>
  <si>
    <t>Spalte13932</t>
  </si>
  <si>
    <t>Spalte13933</t>
  </si>
  <si>
    <t>Spalte13934</t>
  </si>
  <si>
    <t>Spalte13935</t>
  </si>
  <si>
    <t>Spalte13936</t>
  </si>
  <si>
    <t>Spalte13937</t>
  </si>
  <si>
    <t>Spalte13938</t>
  </si>
  <si>
    <t>Spalte13939</t>
  </si>
  <si>
    <t>Spalte13940</t>
  </si>
  <si>
    <t>Spalte13941</t>
  </si>
  <si>
    <t>Spalte13942</t>
  </si>
  <si>
    <t>Spalte13943</t>
  </si>
  <si>
    <t>Spalte13944</t>
  </si>
  <si>
    <t>Spalte13945</t>
  </si>
  <si>
    <t>Spalte13946</t>
  </si>
  <si>
    <t>Spalte13947</t>
  </si>
  <si>
    <t>Spalte13948</t>
  </si>
  <si>
    <t>Spalte13949</t>
  </si>
  <si>
    <t>Spalte13950</t>
  </si>
  <si>
    <t>Spalte13951</t>
  </si>
  <si>
    <t>Spalte13952</t>
  </si>
  <si>
    <t>Spalte13953</t>
  </si>
  <si>
    <t>Spalte13954</t>
  </si>
  <si>
    <t>Spalte13955</t>
  </si>
  <si>
    <t>Spalte13956</t>
  </si>
  <si>
    <t>Spalte13957</t>
  </si>
  <si>
    <t>Spalte13958</t>
  </si>
  <si>
    <t>Spalte13959</t>
  </si>
  <si>
    <t>Spalte13960</t>
  </si>
  <si>
    <t>Spalte13961</t>
  </si>
  <si>
    <t>Spalte13962</t>
  </si>
  <si>
    <t>Spalte13963</t>
  </si>
  <si>
    <t>Spalte13964</t>
  </si>
  <si>
    <t>Spalte13965</t>
  </si>
  <si>
    <t>Spalte13966</t>
  </si>
  <si>
    <t>Spalte13967</t>
  </si>
  <si>
    <t>Spalte13968</t>
  </si>
  <si>
    <t>Spalte13969</t>
  </si>
  <si>
    <t>Spalte13970</t>
  </si>
  <si>
    <t>Spalte13971</t>
  </si>
  <si>
    <t>Spalte13972</t>
  </si>
  <si>
    <t>Spalte13973</t>
  </si>
  <si>
    <t>Spalte13974</t>
  </si>
  <si>
    <t>Spalte13975</t>
  </si>
  <si>
    <t>Spalte13976</t>
  </si>
  <si>
    <t>Spalte13977</t>
  </si>
  <si>
    <t>Spalte13978</t>
  </si>
  <si>
    <t>Spalte13979</t>
  </si>
  <si>
    <t>Spalte13980</t>
  </si>
  <si>
    <t>Spalte13981</t>
  </si>
  <si>
    <t>Spalte13982</t>
  </si>
  <si>
    <t>Spalte13983</t>
  </si>
  <si>
    <t>Spalte13984</t>
  </si>
  <si>
    <t>Spalte13985</t>
  </si>
  <si>
    <t>Spalte13986</t>
  </si>
  <si>
    <t>Spalte13987</t>
  </si>
  <si>
    <t>Spalte13988</t>
  </si>
  <si>
    <t>Spalte13989</t>
  </si>
  <si>
    <t>Spalte13990</t>
  </si>
  <si>
    <t>Spalte13991</t>
  </si>
  <si>
    <t>Spalte13992</t>
  </si>
  <si>
    <t>Spalte13993</t>
  </si>
  <si>
    <t>Spalte13994</t>
  </si>
  <si>
    <t>Spalte13995</t>
  </si>
  <si>
    <t>Spalte13996</t>
  </si>
  <si>
    <t>Spalte13997</t>
  </si>
  <si>
    <t>Spalte13998</t>
  </si>
  <si>
    <t>Spalte13999</t>
  </si>
  <si>
    <t>Spalte14000</t>
  </si>
  <si>
    <t>Spalte14001</t>
  </si>
  <si>
    <t>Spalte14002</t>
  </si>
  <si>
    <t>Spalte14003</t>
  </si>
  <si>
    <t>Spalte14004</t>
  </si>
  <si>
    <t>Spalte14005</t>
  </si>
  <si>
    <t>Spalte14006</t>
  </si>
  <si>
    <t>Spalte14007</t>
  </si>
  <si>
    <t>Spalte14008</t>
  </si>
  <si>
    <t>Spalte14009</t>
  </si>
  <si>
    <t>Spalte14010</t>
  </si>
  <si>
    <t>Spalte14011</t>
  </si>
  <si>
    <t>Spalte14012</t>
  </si>
  <si>
    <t>Spalte14013</t>
  </si>
  <si>
    <t>Spalte14014</t>
  </si>
  <si>
    <t>Spalte14015</t>
  </si>
  <si>
    <t>Spalte14016</t>
  </si>
  <si>
    <t>Spalte14017</t>
  </si>
  <si>
    <t>Spalte14018</t>
  </si>
  <si>
    <t>Spalte14019</t>
  </si>
  <si>
    <t>Spalte14020</t>
  </si>
  <si>
    <t>Spalte14021</t>
  </si>
  <si>
    <t>Spalte14022</t>
  </si>
  <si>
    <t>Spalte14023</t>
  </si>
  <si>
    <t>Spalte14024</t>
  </si>
  <si>
    <t>Spalte14025</t>
  </si>
  <si>
    <t>Spalte14026</t>
  </si>
  <si>
    <t>Spalte14027</t>
  </si>
  <si>
    <t>Spalte14028</t>
  </si>
  <si>
    <t>Spalte14029</t>
  </si>
  <si>
    <t>Spalte14030</t>
  </si>
  <si>
    <t>Spalte14031</t>
  </si>
  <si>
    <t>Spalte14032</t>
  </si>
  <si>
    <t>Spalte14033</t>
  </si>
  <si>
    <t>Spalte14034</t>
  </si>
  <si>
    <t>Spalte14035</t>
  </si>
  <si>
    <t>Spalte14036</t>
  </si>
  <si>
    <t>Spalte14037</t>
  </si>
  <si>
    <t>Spalte14038</t>
  </si>
  <si>
    <t>Spalte14039</t>
  </si>
  <si>
    <t>Spalte14040</t>
  </si>
  <si>
    <t>Spalte14041</t>
  </si>
  <si>
    <t>Spalte14042</t>
  </si>
  <si>
    <t>Spalte14043</t>
  </si>
  <si>
    <t>Spalte14044</t>
  </si>
  <si>
    <t>Spalte14045</t>
  </si>
  <si>
    <t>Spalte14046</t>
  </si>
  <si>
    <t>Spalte14047</t>
  </si>
  <si>
    <t>Spalte14048</t>
  </si>
  <si>
    <t>Spalte14049</t>
  </si>
  <si>
    <t>Spalte14050</t>
  </si>
  <si>
    <t>Spalte14051</t>
  </si>
  <si>
    <t>Spalte14052</t>
  </si>
  <si>
    <t>Spalte14053</t>
  </si>
  <si>
    <t>Spalte14054</t>
  </si>
  <si>
    <t>Spalte14055</t>
  </si>
  <si>
    <t>Spalte14056</t>
  </si>
  <si>
    <t>Spalte14057</t>
  </si>
  <si>
    <t>Spalte14058</t>
  </si>
  <si>
    <t>Spalte14059</t>
  </si>
  <si>
    <t>Spalte14060</t>
  </si>
  <si>
    <t>Spalte14061</t>
  </si>
  <si>
    <t>Spalte14062</t>
  </si>
  <si>
    <t>Spalte14063</t>
  </si>
  <si>
    <t>Spalte14064</t>
  </si>
  <si>
    <t>Spalte14065</t>
  </si>
  <si>
    <t>Spalte14066</t>
  </si>
  <si>
    <t>Spalte14067</t>
  </si>
  <si>
    <t>Spalte14068</t>
  </si>
  <si>
    <t>Spalte14069</t>
  </si>
  <si>
    <t>Spalte14070</t>
  </si>
  <si>
    <t>Spalte14071</t>
  </si>
  <si>
    <t>Spalte14072</t>
  </si>
  <si>
    <t>Spalte14073</t>
  </si>
  <si>
    <t>Spalte14074</t>
  </si>
  <si>
    <t>Spalte14075</t>
  </si>
  <si>
    <t>Spalte14076</t>
  </si>
  <si>
    <t>Spalte14077</t>
  </si>
  <si>
    <t>Spalte14078</t>
  </si>
  <si>
    <t>Spalte14079</t>
  </si>
  <si>
    <t>Spalte14080</t>
  </si>
  <si>
    <t>Spalte14081</t>
  </si>
  <si>
    <t>Spalte14082</t>
  </si>
  <si>
    <t>Spalte14083</t>
  </si>
  <si>
    <t>Spalte14084</t>
  </si>
  <si>
    <t>Spalte14085</t>
  </si>
  <si>
    <t>Spalte14086</t>
  </si>
  <si>
    <t>Spalte14087</t>
  </si>
  <si>
    <t>Spalte14088</t>
  </si>
  <si>
    <t>Spalte14089</t>
  </si>
  <si>
    <t>Spalte14090</t>
  </si>
  <si>
    <t>Spalte14091</t>
  </si>
  <si>
    <t>Spalte14092</t>
  </si>
  <si>
    <t>Spalte14093</t>
  </si>
  <si>
    <t>Spalte14094</t>
  </si>
  <si>
    <t>Spalte14095</t>
  </si>
  <si>
    <t>Spalte14096</t>
  </si>
  <si>
    <t>Spalte14097</t>
  </si>
  <si>
    <t>Spalte14098</t>
  </si>
  <si>
    <t>Spalte14099</t>
  </si>
  <si>
    <t>Spalte14100</t>
  </si>
  <si>
    <t>Spalte14101</t>
  </si>
  <si>
    <t>Spalte14102</t>
  </si>
  <si>
    <t>Spalte14103</t>
  </si>
  <si>
    <t>Spalte14104</t>
  </si>
  <si>
    <t>Spalte14105</t>
  </si>
  <si>
    <t>Spalte14106</t>
  </si>
  <si>
    <t>Spalte14107</t>
  </si>
  <si>
    <t>Spalte14108</t>
  </si>
  <si>
    <t>Spalte14109</t>
  </si>
  <si>
    <t>Spalte14110</t>
  </si>
  <si>
    <t>Spalte14111</t>
  </si>
  <si>
    <t>Spalte14112</t>
  </si>
  <si>
    <t>Spalte14113</t>
  </si>
  <si>
    <t>Spalte14114</t>
  </si>
  <si>
    <t>Spalte14115</t>
  </si>
  <si>
    <t>Spalte14116</t>
  </si>
  <si>
    <t>Spalte14117</t>
  </si>
  <si>
    <t>Spalte14118</t>
  </si>
  <si>
    <t>Spalte14119</t>
  </si>
  <si>
    <t>Spalte14120</t>
  </si>
  <si>
    <t>Spalte14121</t>
  </si>
  <si>
    <t>Spalte14122</t>
  </si>
  <si>
    <t>Spalte14123</t>
  </si>
  <si>
    <t>Spalte14124</t>
  </si>
  <si>
    <t>Spalte14125</t>
  </si>
  <si>
    <t>Spalte14126</t>
  </si>
  <si>
    <t>Spalte14127</t>
  </si>
  <si>
    <t>Spalte14128</t>
  </si>
  <si>
    <t>Spalte14129</t>
  </si>
  <si>
    <t>Spalte14130</t>
  </si>
  <si>
    <t>Spalte14131</t>
  </si>
  <si>
    <t>Spalte14132</t>
  </si>
  <si>
    <t>Spalte14133</t>
  </si>
  <si>
    <t>Spalte14134</t>
  </si>
  <si>
    <t>Spalte14135</t>
  </si>
  <si>
    <t>Spalte14136</t>
  </si>
  <si>
    <t>Spalte14137</t>
  </si>
  <si>
    <t>Spalte14138</t>
  </si>
  <si>
    <t>Spalte14139</t>
  </si>
  <si>
    <t>Spalte14140</t>
  </si>
  <si>
    <t>Spalte14141</t>
  </si>
  <si>
    <t>Spalte14142</t>
  </si>
  <si>
    <t>Spalte14143</t>
  </si>
  <si>
    <t>Spalte14144</t>
  </si>
  <si>
    <t>Spalte14145</t>
  </si>
  <si>
    <t>Spalte14146</t>
  </si>
  <si>
    <t>Spalte14147</t>
  </si>
  <si>
    <t>Spalte14148</t>
  </si>
  <si>
    <t>Spalte14149</t>
  </si>
  <si>
    <t>Spalte14150</t>
  </si>
  <si>
    <t>Spalte14151</t>
  </si>
  <si>
    <t>Spalte14152</t>
  </si>
  <si>
    <t>Spalte14153</t>
  </si>
  <si>
    <t>Spalte14154</t>
  </si>
  <si>
    <t>Spalte14155</t>
  </si>
  <si>
    <t>Spalte14156</t>
  </si>
  <si>
    <t>Spalte14157</t>
  </si>
  <si>
    <t>Spalte14158</t>
  </si>
  <si>
    <t>Spalte14159</t>
  </si>
  <si>
    <t>Spalte14160</t>
  </si>
  <si>
    <t>Spalte14161</t>
  </si>
  <si>
    <t>Spalte14162</t>
  </si>
  <si>
    <t>Spalte14163</t>
  </si>
  <si>
    <t>Spalte14164</t>
  </si>
  <si>
    <t>Spalte14165</t>
  </si>
  <si>
    <t>Spalte14166</t>
  </si>
  <si>
    <t>Spalte14167</t>
  </si>
  <si>
    <t>Spalte14168</t>
  </si>
  <si>
    <t>Spalte14169</t>
  </si>
  <si>
    <t>Spalte14170</t>
  </si>
  <si>
    <t>Spalte14171</t>
  </si>
  <si>
    <t>Spalte14172</t>
  </si>
  <si>
    <t>Spalte14173</t>
  </si>
  <si>
    <t>Spalte14174</t>
  </si>
  <si>
    <t>Spalte14175</t>
  </si>
  <si>
    <t>Spalte14176</t>
  </si>
  <si>
    <t>Spalte14177</t>
  </si>
  <si>
    <t>Spalte14178</t>
  </si>
  <si>
    <t>Spalte14179</t>
  </si>
  <si>
    <t>Spalte14180</t>
  </si>
  <si>
    <t>Spalte14181</t>
  </si>
  <si>
    <t>Spalte14182</t>
  </si>
  <si>
    <t>Spalte14183</t>
  </si>
  <si>
    <t>Spalte14184</t>
  </si>
  <si>
    <t>Spalte14185</t>
  </si>
  <si>
    <t>Spalte14186</t>
  </si>
  <si>
    <t>Spalte14187</t>
  </si>
  <si>
    <t>Spalte14188</t>
  </si>
  <si>
    <t>Spalte14189</t>
  </si>
  <si>
    <t>Spalte14190</t>
  </si>
  <si>
    <t>Spalte14191</t>
  </si>
  <si>
    <t>Spalte14192</t>
  </si>
  <si>
    <t>Spalte14193</t>
  </si>
  <si>
    <t>Spalte14194</t>
  </si>
  <si>
    <t>Spalte14195</t>
  </si>
  <si>
    <t>Spalte14196</t>
  </si>
  <si>
    <t>Spalte14197</t>
  </si>
  <si>
    <t>Spalte14198</t>
  </si>
  <si>
    <t>Spalte14199</t>
  </si>
  <si>
    <t>Spalte14200</t>
  </si>
  <si>
    <t>Spalte14201</t>
  </si>
  <si>
    <t>Spalte14202</t>
  </si>
  <si>
    <t>Spalte14203</t>
  </si>
  <si>
    <t>Spalte14204</t>
  </si>
  <si>
    <t>Spalte14205</t>
  </si>
  <si>
    <t>Spalte14206</t>
  </si>
  <si>
    <t>Spalte14207</t>
  </si>
  <si>
    <t>Spalte14208</t>
  </si>
  <si>
    <t>Spalte14209</t>
  </si>
  <si>
    <t>Spalte14210</t>
  </si>
  <si>
    <t>Spalte14211</t>
  </si>
  <si>
    <t>Spalte14212</t>
  </si>
  <si>
    <t>Spalte14213</t>
  </si>
  <si>
    <t>Spalte14214</t>
  </si>
  <si>
    <t>Spalte14215</t>
  </si>
  <si>
    <t>Spalte14216</t>
  </si>
  <si>
    <t>Spalte14217</t>
  </si>
  <si>
    <t>Spalte14218</t>
  </si>
  <si>
    <t>Spalte14219</t>
  </si>
  <si>
    <t>Spalte14220</t>
  </si>
  <si>
    <t>Spalte14221</t>
  </si>
  <si>
    <t>Spalte14222</t>
  </si>
  <si>
    <t>Spalte14223</t>
  </si>
  <si>
    <t>Spalte14224</t>
  </si>
  <si>
    <t>Spalte14225</t>
  </si>
  <si>
    <t>Spalte14226</t>
  </si>
  <si>
    <t>Spalte14227</t>
  </si>
  <si>
    <t>Spalte14228</t>
  </si>
  <si>
    <t>Spalte14229</t>
  </si>
  <si>
    <t>Spalte14230</t>
  </si>
  <si>
    <t>Spalte14231</t>
  </si>
  <si>
    <t>Spalte14232</t>
  </si>
  <si>
    <t>Spalte14233</t>
  </si>
  <si>
    <t>Spalte14234</t>
  </si>
  <si>
    <t>Spalte14235</t>
  </si>
  <si>
    <t>Spalte14236</t>
  </si>
  <si>
    <t>Spalte14237</t>
  </si>
  <si>
    <t>Spalte14238</t>
  </si>
  <si>
    <t>Spalte14239</t>
  </si>
  <si>
    <t>Spalte14240</t>
  </si>
  <si>
    <t>Spalte14241</t>
  </si>
  <si>
    <t>Spalte14242</t>
  </si>
  <si>
    <t>Spalte14243</t>
  </si>
  <si>
    <t>Spalte14244</t>
  </si>
  <si>
    <t>Spalte14245</t>
  </si>
  <si>
    <t>Spalte14246</t>
  </si>
  <si>
    <t>Spalte14247</t>
  </si>
  <si>
    <t>Spalte14248</t>
  </si>
  <si>
    <t>Spalte14249</t>
  </si>
  <si>
    <t>Spalte14250</t>
  </si>
  <si>
    <t>Spalte14251</t>
  </si>
  <si>
    <t>Spalte14252</t>
  </si>
  <si>
    <t>Spalte14253</t>
  </si>
  <si>
    <t>Spalte14254</t>
  </si>
  <si>
    <t>Spalte14255</t>
  </si>
  <si>
    <t>Spalte14256</t>
  </si>
  <si>
    <t>Spalte14257</t>
  </si>
  <si>
    <t>Spalte14258</t>
  </si>
  <si>
    <t>Spalte14259</t>
  </si>
  <si>
    <t>Spalte14260</t>
  </si>
  <si>
    <t>Spalte14261</t>
  </si>
  <si>
    <t>Spalte14262</t>
  </si>
  <si>
    <t>Spalte14263</t>
  </si>
  <si>
    <t>Spalte14264</t>
  </si>
  <si>
    <t>Spalte14265</t>
  </si>
  <si>
    <t>Spalte14266</t>
  </si>
  <si>
    <t>Spalte14267</t>
  </si>
  <si>
    <t>Spalte14268</t>
  </si>
  <si>
    <t>Spalte14269</t>
  </si>
  <si>
    <t>Spalte14270</t>
  </si>
  <si>
    <t>Spalte14271</t>
  </si>
  <si>
    <t>Spalte14272</t>
  </si>
  <si>
    <t>Spalte14273</t>
  </si>
  <si>
    <t>Spalte14274</t>
  </si>
  <si>
    <t>Spalte14275</t>
  </si>
  <si>
    <t>Spalte14276</t>
  </si>
  <si>
    <t>Spalte14277</t>
  </si>
  <si>
    <t>Spalte14278</t>
  </si>
  <si>
    <t>Spalte14279</t>
  </si>
  <si>
    <t>Spalte14280</t>
  </si>
  <si>
    <t>Spalte14281</t>
  </si>
  <si>
    <t>Spalte14282</t>
  </si>
  <si>
    <t>Spalte14283</t>
  </si>
  <si>
    <t>Spalte14284</t>
  </si>
  <si>
    <t>Spalte14285</t>
  </si>
  <si>
    <t>Spalte14286</t>
  </si>
  <si>
    <t>Spalte14287</t>
  </si>
  <si>
    <t>Spalte14288</t>
  </si>
  <si>
    <t>Spalte14289</t>
  </si>
  <si>
    <t>Spalte14290</t>
  </si>
  <si>
    <t>Spalte14291</t>
  </si>
  <si>
    <t>Spalte14292</t>
  </si>
  <si>
    <t>Spalte14293</t>
  </si>
  <si>
    <t>Spalte14294</t>
  </si>
  <si>
    <t>Spalte14295</t>
  </si>
  <si>
    <t>Spalte14296</t>
  </si>
  <si>
    <t>Spalte14297</t>
  </si>
  <si>
    <t>Spalte14298</t>
  </si>
  <si>
    <t>Spalte14299</t>
  </si>
  <si>
    <t>Spalte14300</t>
  </si>
  <si>
    <t>Spalte14301</t>
  </si>
  <si>
    <t>Spalte14302</t>
  </si>
  <si>
    <t>Spalte14303</t>
  </si>
  <si>
    <t>Spalte14304</t>
  </si>
  <si>
    <t>Spalte14305</t>
  </si>
  <si>
    <t>Spalte14306</t>
  </si>
  <si>
    <t>Spalte14307</t>
  </si>
  <si>
    <t>Spalte14308</t>
  </si>
  <si>
    <t>Spalte14309</t>
  </si>
  <si>
    <t>Spalte14310</t>
  </si>
  <si>
    <t>Spalte14311</t>
  </si>
  <si>
    <t>Spalte14312</t>
  </si>
  <si>
    <t>Spalte14313</t>
  </si>
  <si>
    <t>Spalte14314</t>
  </si>
  <si>
    <t>Spalte14315</t>
  </si>
  <si>
    <t>Spalte14316</t>
  </si>
  <si>
    <t>Spalte14317</t>
  </si>
  <si>
    <t>Spalte14318</t>
  </si>
  <si>
    <t>Spalte14319</t>
  </si>
  <si>
    <t>Spalte14320</t>
  </si>
  <si>
    <t>Spalte14321</t>
  </si>
  <si>
    <t>Spalte14322</t>
  </si>
  <si>
    <t>Spalte14323</t>
  </si>
  <si>
    <t>Spalte14324</t>
  </si>
  <si>
    <t>Spalte14325</t>
  </si>
  <si>
    <t>Spalte14326</t>
  </si>
  <si>
    <t>Spalte14327</t>
  </si>
  <si>
    <t>Spalte14328</t>
  </si>
  <si>
    <t>Spalte14329</t>
  </si>
  <si>
    <t>Spalte14330</t>
  </si>
  <si>
    <t>Spalte14331</t>
  </si>
  <si>
    <t>Spalte14332</t>
  </si>
  <si>
    <t>Spalte14333</t>
  </si>
  <si>
    <t>Spalte14334</t>
  </si>
  <si>
    <t>Spalte14335</t>
  </si>
  <si>
    <t>Spalte14336</t>
  </si>
  <si>
    <t>Spalte14337</t>
  </si>
  <si>
    <t>Spalte14338</t>
  </si>
  <si>
    <t>Spalte14339</t>
  </si>
  <si>
    <t>Spalte14340</t>
  </si>
  <si>
    <t>Spalte14341</t>
  </si>
  <si>
    <t>Spalte14342</t>
  </si>
  <si>
    <t>Spalte14343</t>
  </si>
  <si>
    <t>Spalte14344</t>
  </si>
  <si>
    <t>Spalte14345</t>
  </si>
  <si>
    <t>Spalte14346</t>
  </si>
  <si>
    <t>Spalte14347</t>
  </si>
  <si>
    <t>Spalte14348</t>
  </si>
  <si>
    <t>Spalte14349</t>
  </si>
  <si>
    <t>Spalte14350</t>
  </si>
  <si>
    <t>Spalte14351</t>
  </si>
  <si>
    <t>Spalte14352</t>
  </si>
  <si>
    <t>Spalte14353</t>
  </si>
  <si>
    <t>Spalte14354</t>
  </si>
  <si>
    <t>Spalte14355</t>
  </si>
  <si>
    <t>Spalte14356</t>
  </si>
  <si>
    <t>Spalte14357</t>
  </si>
  <si>
    <t>Spalte14358</t>
  </si>
  <si>
    <t>Spalte14359</t>
  </si>
  <si>
    <t>Spalte14360</t>
  </si>
  <si>
    <t>Spalte14361</t>
  </si>
  <si>
    <t>Spalte14362</t>
  </si>
  <si>
    <t>Spalte14363</t>
  </si>
  <si>
    <t>Spalte14364</t>
  </si>
  <si>
    <t>Spalte14365</t>
  </si>
  <si>
    <t>Spalte14366</t>
  </si>
  <si>
    <t>Spalte14367</t>
  </si>
  <si>
    <t>Spalte14368</t>
  </si>
  <si>
    <t>Spalte14369</t>
  </si>
  <si>
    <t>Spalte14370</t>
  </si>
  <si>
    <t>Spalte14371</t>
  </si>
  <si>
    <t>Spalte14372</t>
  </si>
  <si>
    <t>Spalte14373</t>
  </si>
  <si>
    <t>Spalte14374</t>
  </si>
  <si>
    <t>Spalte14375</t>
  </si>
  <si>
    <t>Spalte14376</t>
  </si>
  <si>
    <t>Spalte14377</t>
  </si>
  <si>
    <t>Spalte14378</t>
  </si>
  <si>
    <t>Spalte14379</t>
  </si>
  <si>
    <t>Spalte14380</t>
  </si>
  <si>
    <t>Spalte14381</t>
  </si>
  <si>
    <t>Spalte14382</t>
  </si>
  <si>
    <t>Spalte14383</t>
  </si>
  <si>
    <t>Spalte14384</t>
  </si>
  <si>
    <t>Spalte14385</t>
  </si>
  <si>
    <t>Spalte14386</t>
  </si>
  <si>
    <t>Spalte14387</t>
  </si>
  <si>
    <t>Spalte14388</t>
  </si>
  <si>
    <t>Spalte14389</t>
  </si>
  <si>
    <t>Spalte14390</t>
  </si>
  <si>
    <t>Spalte14391</t>
  </si>
  <si>
    <t>Spalte14392</t>
  </si>
  <si>
    <t>Spalte14393</t>
  </si>
  <si>
    <t>Spalte14394</t>
  </si>
  <si>
    <t>Spalte14395</t>
  </si>
  <si>
    <t>Spalte14396</t>
  </si>
  <si>
    <t>Spalte14397</t>
  </si>
  <si>
    <t>Spalte14398</t>
  </si>
  <si>
    <t>Spalte14399</t>
  </si>
  <si>
    <t>Spalte14400</t>
  </si>
  <si>
    <t>Spalte14401</t>
  </si>
  <si>
    <t>Spalte14402</t>
  </si>
  <si>
    <t>Spalte14403</t>
  </si>
  <si>
    <t>Spalte14404</t>
  </si>
  <si>
    <t>Spalte14405</t>
  </si>
  <si>
    <t>Spalte14406</t>
  </si>
  <si>
    <t>Spalte14407</t>
  </si>
  <si>
    <t>Spalte14408</t>
  </si>
  <si>
    <t>Spalte14409</t>
  </si>
  <si>
    <t>Spalte14410</t>
  </si>
  <si>
    <t>Spalte14411</t>
  </si>
  <si>
    <t>Spalte14412</t>
  </si>
  <si>
    <t>Spalte14413</t>
  </si>
  <si>
    <t>Spalte14414</t>
  </si>
  <si>
    <t>Spalte14415</t>
  </si>
  <si>
    <t>Spalte14416</t>
  </si>
  <si>
    <t>Spalte14417</t>
  </si>
  <si>
    <t>Spalte14418</t>
  </si>
  <si>
    <t>Spalte14419</t>
  </si>
  <si>
    <t>Spalte14420</t>
  </si>
  <si>
    <t>Spalte14421</t>
  </si>
  <si>
    <t>Spalte14422</t>
  </si>
  <si>
    <t>Spalte14423</t>
  </si>
  <si>
    <t>Spalte14424</t>
  </si>
  <si>
    <t>Spalte14425</t>
  </si>
  <si>
    <t>Spalte14426</t>
  </si>
  <si>
    <t>Spalte14427</t>
  </si>
  <si>
    <t>Spalte14428</t>
  </si>
  <si>
    <t>Spalte14429</t>
  </si>
  <si>
    <t>Spalte14430</t>
  </si>
  <si>
    <t>Spalte14431</t>
  </si>
  <si>
    <t>Spalte14432</t>
  </si>
  <si>
    <t>Spalte14433</t>
  </si>
  <si>
    <t>Spalte14434</t>
  </si>
  <si>
    <t>Spalte14435</t>
  </si>
  <si>
    <t>Spalte14436</t>
  </si>
  <si>
    <t>Spalte14437</t>
  </si>
  <si>
    <t>Spalte14438</t>
  </si>
  <si>
    <t>Spalte14439</t>
  </si>
  <si>
    <t>Spalte14440</t>
  </si>
  <si>
    <t>Spalte14441</t>
  </si>
  <si>
    <t>Spalte14442</t>
  </si>
  <si>
    <t>Spalte14443</t>
  </si>
  <si>
    <t>Spalte14444</t>
  </si>
  <si>
    <t>Spalte14445</t>
  </si>
  <si>
    <t>Spalte14446</t>
  </si>
  <si>
    <t>Spalte14447</t>
  </si>
  <si>
    <t>Spalte14448</t>
  </si>
  <si>
    <t>Spalte14449</t>
  </si>
  <si>
    <t>Spalte14450</t>
  </si>
  <si>
    <t>Spalte14451</t>
  </si>
  <si>
    <t>Spalte14452</t>
  </si>
  <si>
    <t>Spalte14453</t>
  </si>
  <si>
    <t>Spalte14454</t>
  </si>
  <si>
    <t>Spalte14455</t>
  </si>
  <si>
    <t>Spalte14456</t>
  </si>
  <si>
    <t>Spalte14457</t>
  </si>
  <si>
    <t>Spalte14458</t>
  </si>
  <si>
    <t>Spalte14459</t>
  </si>
  <si>
    <t>Spalte14460</t>
  </si>
  <si>
    <t>Spalte14461</t>
  </si>
  <si>
    <t>Spalte14462</t>
  </si>
  <si>
    <t>Spalte14463</t>
  </si>
  <si>
    <t>Spalte14464</t>
  </si>
  <si>
    <t>Spalte14465</t>
  </si>
  <si>
    <t>Spalte14466</t>
  </si>
  <si>
    <t>Spalte14467</t>
  </si>
  <si>
    <t>Spalte14468</t>
  </si>
  <si>
    <t>Spalte14469</t>
  </si>
  <si>
    <t>Spalte14470</t>
  </si>
  <si>
    <t>Spalte14471</t>
  </si>
  <si>
    <t>Spalte14472</t>
  </si>
  <si>
    <t>Spalte14473</t>
  </si>
  <si>
    <t>Spalte14474</t>
  </si>
  <si>
    <t>Spalte14475</t>
  </si>
  <si>
    <t>Spalte14476</t>
  </si>
  <si>
    <t>Spalte14477</t>
  </si>
  <si>
    <t>Spalte14478</t>
  </si>
  <si>
    <t>Spalte14479</t>
  </si>
  <si>
    <t>Spalte14480</t>
  </si>
  <si>
    <t>Spalte14481</t>
  </si>
  <si>
    <t>Spalte14482</t>
  </si>
  <si>
    <t>Spalte14483</t>
  </si>
  <si>
    <t>Spalte14484</t>
  </si>
  <si>
    <t>Spalte14485</t>
  </si>
  <si>
    <t>Spalte14486</t>
  </si>
  <si>
    <t>Spalte14487</t>
  </si>
  <si>
    <t>Spalte14488</t>
  </si>
  <si>
    <t>Spalte14489</t>
  </si>
  <si>
    <t>Spalte14490</t>
  </si>
  <si>
    <t>Spalte14491</t>
  </si>
  <si>
    <t>Spalte14492</t>
  </si>
  <si>
    <t>Spalte14493</t>
  </si>
  <si>
    <t>Spalte14494</t>
  </si>
  <si>
    <t>Spalte14495</t>
  </si>
  <si>
    <t>Spalte14496</t>
  </si>
  <si>
    <t>Spalte14497</t>
  </si>
  <si>
    <t>Spalte14498</t>
  </si>
  <si>
    <t>Spalte14499</t>
  </si>
  <si>
    <t>Spalte14500</t>
  </si>
  <si>
    <t>Spalte14501</t>
  </si>
  <si>
    <t>Spalte14502</t>
  </si>
  <si>
    <t>Spalte14503</t>
  </si>
  <si>
    <t>Spalte14504</t>
  </si>
  <si>
    <t>Spalte14505</t>
  </si>
  <si>
    <t>Spalte14506</t>
  </si>
  <si>
    <t>Spalte14507</t>
  </si>
  <si>
    <t>Spalte14508</t>
  </si>
  <si>
    <t>Spalte14509</t>
  </si>
  <si>
    <t>Spalte14510</t>
  </si>
  <si>
    <t>Spalte14511</t>
  </si>
  <si>
    <t>Spalte14512</t>
  </si>
  <si>
    <t>Spalte14513</t>
  </si>
  <si>
    <t>Spalte14514</t>
  </si>
  <si>
    <t>Spalte14515</t>
  </si>
  <si>
    <t>Spalte14516</t>
  </si>
  <si>
    <t>Spalte14517</t>
  </si>
  <si>
    <t>Spalte14518</t>
  </si>
  <si>
    <t>Spalte14519</t>
  </si>
  <si>
    <t>Spalte14520</t>
  </si>
  <si>
    <t>Spalte14521</t>
  </si>
  <si>
    <t>Spalte14522</t>
  </si>
  <si>
    <t>Spalte14523</t>
  </si>
  <si>
    <t>Spalte14524</t>
  </si>
  <si>
    <t>Spalte14525</t>
  </si>
  <si>
    <t>Spalte14526</t>
  </si>
  <si>
    <t>Spalte14527</t>
  </si>
  <si>
    <t>Spalte14528</t>
  </si>
  <si>
    <t>Spalte14529</t>
  </si>
  <si>
    <t>Spalte14530</t>
  </si>
  <si>
    <t>Spalte14531</t>
  </si>
  <si>
    <t>Spalte14532</t>
  </si>
  <si>
    <t>Spalte14533</t>
  </si>
  <si>
    <t>Spalte14534</t>
  </si>
  <si>
    <t>Spalte14535</t>
  </si>
  <si>
    <t>Spalte14536</t>
  </si>
  <si>
    <t>Spalte14537</t>
  </si>
  <si>
    <t>Spalte14538</t>
  </si>
  <si>
    <t>Spalte14539</t>
  </si>
  <si>
    <t>Spalte14540</t>
  </si>
  <si>
    <t>Spalte14541</t>
  </si>
  <si>
    <t>Spalte14542</t>
  </si>
  <si>
    <t>Spalte14543</t>
  </si>
  <si>
    <t>Spalte14544</t>
  </si>
  <si>
    <t>Spalte14545</t>
  </si>
  <si>
    <t>Spalte14546</t>
  </si>
  <si>
    <t>Spalte14547</t>
  </si>
  <si>
    <t>Spalte14548</t>
  </si>
  <si>
    <t>Spalte14549</t>
  </si>
  <si>
    <t>Spalte14550</t>
  </si>
  <si>
    <t>Spalte14551</t>
  </si>
  <si>
    <t>Spalte14552</t>
  </si>
  <si>
    <t>Spalte14553</t>
  </si>
  <si>
    <t>Spalte14554</t>
  </si>
  <si>
    <t>Spalte14555</t>
  </si>
  <si>
    <t>Spalte14556</t>
  </si>
  <si>
    <t>Spalte14557</t>
  </si>
  <si>
    <t>Spalte14558</t>
  </si>
  <si>
    <t>Spalte14559</t>
  </si>
  <si>
    <t>Spalte14560</t>
  </si>
  <si>
    <t>Spalte14561</t>
  </si>
  <si>
    <t>Spalte14562</t>
  </si>
  <si>
    <t>Spalte14563</t>
  </si>
  <si>
    <t>Spalte14564</t>
  </si>
  <si>
    <t>Spalte14565</t>
  </si>
  <si>
    <t>Spalte14566</t>
  </si>
  <si>
    <t>Spalte14567</t>
  </si>
  <si>
    <t>Spalte14568</t>
  </si>
  <si>
    <t>Spalte14569</t>
  </si>
  <si>
    <t>Spalte14570</t>
  </si>
  <si>
    <t>Spalte14571</t>
  </si>
  <si>
    <t>Spalte14572</t>
  </si>
  <si>
    <t>Spalte14573</t>
  </si>
  <si>
    <t>Spalte14574</t>
  </si>
  <si>
    <t>Spalte14575</t>
  </si>
  <si>
    <t>Spalte14576</t>
  </si>
  <si>
    <t>Spalte14577</t>
  </si>
  <si>
    <t>Spalte14578</t>
  </si>
  <si>
    <t>Spalte14579</t>
  </si>
  <si>
    <t>Spalte14580</t>
  </si>
  <si>
    <t>Spalte14581</t>
  </si>
  <si>
    <t>Spalte14582</t>
  </si>
  <si>
    <t>Spalte14583</t>
  </si>
  <si>
    <t>Spalte14584</t>
  </si>
  <si>
    <t>Spalte14585</t>
  </si>
  <si>
    <t>Spalte14586</t>
  </si>
  <si>
    <t>Spalte14587</t>
  </si>
  <si>
    <t>Spalte14588</t>
  </si>
  <si>
    <t>Spalte14589</t>
  </si>
  <si>
    <t>Spalte14590</t>
  </si>
  <si>
    <t>Spalte14591</t>
  </si>
  <si>
    <t>Spalte14592</t>
  </si>
  <si>
    <t>Spalte14593</t>
  </si>
  <si>
    <t>Spalte14594</t>
  </si>
  <si>
    <t>Spalte14595</t>
  </si>
  <si>
    <t>Spalte14596</t>
  </si>
  <si>
    <t>Spalte14597</t>
  </si>
  <si>
    <t>Spalte14598</t>
  </si>
  <si>
    <t>Spalte14599</t>
  </si>
  <si>
    <t>Spalte14600</t>
  </si>
  <si>
    <t>Spalte14601</t>
  </si>
  <si>
    <t>Spalte14602</t>
  </si>
  <si>
    <t>Spalte14603</t>
  </si>
  <si>
    <t>Spalte14604</t>
  </si>
  <si>
    <t>Spalte14605</t>
  </si>
  <si>
    <t>Spalte14606</t>
  </si>
  <si>
    <t>Spalte14607</t>
  </si>
  <si>
    <t>Spalte14608</t>
  </si>
  <si>
    <t>Spalte14609</t>
  </si>
  <si>
    <t>Spalte14610</t>
  </si>
  <si>
    <t>Spalte14611</t>
  </si>
  <si>
    <t>Spalte14612</t>
  </si>
  <si>
    <t>Spalte14613</t>
  </si>
  <si>
    <t>Spalte14614</t>
  </si>
  <si>
    <t>Spalte14615</t>
  </si>
  <si>
    <t>Spalte14616</t>
  </si>
  <si>
    <t>Spalte14617</t>
  </si>
  <si>
    <t>Spalte14618</t>
  </si>
  <si>
    <t>Spalte14619</t>
  </si>
  <si>
    <t>Spalte14620</t>
  </si>
  <si>
    <t>Spalte14621</t>
  </si>
  <si>
    <t>Spalte14622</t>
  </si>
  <si>
    <t>Spalte14623</t>
  </si>
  <si>
    <t>Spalte14624</t>
  </si>
  <si>
    <t>Spalte14625</t>
  </si>
  <si>
    <t>Spalte14626</t>
  </si>
  <si>
    <t>Spalte14627</t>
  </si>
  <si>
    <t>Spalte14628</t>
  </si>
  <si>
    <t>Spalte14629</t>
  </si>
  <si>
    <t>Spalte14630</t>
  </si>
  <si>
    <t>Spalte14631</t>
  </si>
  <si>
    <t>Spalte14632</t>
  </si>
  <si>
    <t>Spalte14633</t>
  </si>
  <si>
    <t>Spalte14634</t>
  </si>
  <si>
    <t>Spalte14635</t>
  </si>
  <si>
    <t>Spalte14636</t>
  </si>
  <si>
    <t>Spalte14637</t>
  </si>
  <si>
    <t>Spalte14638</t>
  </si>
  <si>
    <t>Spalte14639</t>
  </si>
  <si>
    <t>Spalte14640</t>
  </si>
  <si>
    <t>Spalte14641</t>
  </si>
  <si>
    <t>Spalte14642</t>
  </si>
  <si>
    <t>Spalte14643</t>
  </si>
  <si>
    <t>Spalte14644</t>
  </si>
  <si>
    <t>Spalte14645</t>
  </si>
  <si>
    <t>Spalte14646</t>
  </si>
  <si>
    <t>Spalte14647</t>
  </si>
  <si>
    <t>Spalte14648</t>
  </si>
  <si>
    <t>Spalte14649</t>
  </si>
  <si>
    <t>Spalte14650</t>
  </si>
  <si>
    <t>Spalte14651</t>
  </si>
  <si>
    <t>Spalte14652</t>
  </si>
  <si>
    <t>Spalte14653</t>
  </si>
  <si>
    <t>Spalte14654</t>
  </si>
  <si>
    <t>Spalte14655</t>
  </si>
  <si>
    <t>Spalte14656</t>
  </si>
  <si>
    <t>Spalte14657</t>
  </si>
  <si>
    <t>Spalte14658</t>
  </si>
  <si>
    <t>Spalte14659</t>
  </si>
  <si>
    <t>Spalte14660</t>
  </si>
  <si>
    <t>Spalte14661</t>
  </si>
  <si>
    <t>Spalte14662</t>
  </si>
  <si>
    <t>Spalte14663</t>
  </si>
  <si>
    <t>Spalte14664</t>
  </si>
  <si>
    <t>Spalte14665</t>
  </si>
  <si>
    <t>Spalte14666</t>
  </si>
  <si>
    <t>Spalte14667</t>
  </si>
  <si>
    <t>Spalte14668</t>
  </si>
  <si>
    <t>Spalte14669</t>
  </si>
  <si>
    <t>Spalte14670</t>
  </si>
  <si>
    <t>Spalte14671</t>
  </si>
  <si>
    <t>Spalte14672</t>
  </si>
  <si>
    <t>Spalte14673</t>
  </si>
  <si>
    <t>Spalte14674</t>
  </si>
  <si>
    <t>Spalte14675</t>
  </si>
  <si>
    <t>Spalte14676</t>
  </si>
  <si>
    <t>Spalte14677</t>
  </si>
  <si>
    <t>Spalte14678</t>
  </si>
  <si>
    <t>Spalte14679</t>
  </si>
  <si>
    <t>Spalte14680</t>
  </si>
  <si>
    <t>Spalte14681</t>
  </si>
  <si>
    <t>Spalte14682</t>
  </si>
  <si>
    <t>Spalte14683</t>
  </si>
  <si>
    <t>Spalte14684</t>
  </si>
  <si>
    <t>Spalte14685</t>
  </si>
  <si>
    <t>Spalte14686</t>
  </si>
  <si>
    <t>Spalte14687</t>
  </si>
  <si>
    <t>Spalte14688</t>
  </si>
  <si>
    <t>Spalte14689</t>
  </si>
  <si>
    <t>Spalte14690</t>
  </si>
  <si>
    <t>Spalte14691</t>
  </si>
  <si>
    <t>Spalte14692</t>
  </si>
  <si>
    <t>Spalte14693</t>
  </si>
  <si>
    <t>Spalte14694</t>
  </si>
  <si>
    <t>Spalte14695</t>
  </si>
  <si>
    <t>Spalte14696</t>
  </si>
  <si>
    <t>Spalte14697</t>
  </si>
  <si>
    <t>Spalte14698</t>
  </si>
  <si>
    <t>Spalte14699</t>
  </si>
  <si>
    <t>Spalte14700</t>
  </si>
  <si>
    <t>Spalte14701</t>
  </si>
  <si>
    <t>Spalte14702</t>
  </si>
  <si>
    <t>Spalte14703</t>
  </si>
  <si>
    <t>Spalte14704</t>
  </si>
  <si>
    <t>Spalte14705</t>
  </si>
  <si>
    <t>Spalte14706</t>
  </si>
  <si>
    <t>Spalte14707</t>
  </si>
  <si>
    <t>Spalte14708</t>
  </si>
  <si>
    <t>Spalte14709</t>
  </si>
  <si>
    <t>Spalte14710</t>
  </si>
  <si>
    <t>Spalte14711</t>
  </si>
  <si>
    <t>Spalte14712</t>
  </si>
  <si>
    <t>Spalte14713</t>
  </si>
  <si>
    <t>Spalte14714</t>
  </si>
  <si>
    <t>Spalte14715</t>
  </si>
  <si>
    <t>Spalte14716</t>
  </si>
  <si>
    <t>Spalte14717</t>
  </si>
  <si>
    <t>Spalte14718</t>
  </si>
  <si>
    <t>Spalte14719</t>
  </si>
  <si>
    <t>Spalte14720</t>
  </si>
  <si>
    <t>Spalte14721</t>
  </si>
  <si>
    <t>Spalte14722</t>
  </si>
  <si>
    <t>Spalte14723</t>
  </si>
  <si>
    <t>Spalte14724</t>
  </si>
  <si>
    <t>Spalte14725</t>
  </si>
  <si>
    <t>Spalte14726</t>
  </si>
  <si>
    <t>Spalte14727</t>
  </si>
  <si>
    <t>Spalte14728</t>
  </si>
  <si>
    <t>Spalte14729</t>
  </si>
  <si>
    <t>Spalte14730</t>
  </si>
  <si>
    <t>Spalte14731</t>
  </si>
  <si>
    <t>Spalte14732</t>
  </si>
  <si>
    <t>Spalte14733</t>
  </si>
  <si>
    <t>Spalte14734</t>
  </si>
  <si>
    <t>Spalte14735</t>
  </si>
  <si>
    <t>Spalte14736</t>
  </si>
  <si>
    <t>Spalte14737</t>
  </si>
  <si>
    <t>Spalte14738</t>
  </si>
  <si>
    <t>Spalte14739</t>
  </si>
  <si>
    <t>Spalte14740</t>
  </si>
  <si>
    <t>Spalte14741</t>
  </si>
  <si>
    <t>Spalte14742</t>
  </si>
  <si>
    <t>Spalte14743</t>
  </si>
  <si>
    <t>Spalte14744</t>
  </si>
  <si>
    <t>Spalte14745</t>
  </si>
  <si>
    <t>Spalte14746</t>
  </si>
  <si>
    <t>Spalte14747</t>
  </si>
  <si>
    <t>Spalte14748</t>
  </si>
  <si>
    <t>Spalte14749</t>
  </si>
  <si>
    <t>Spalte14750</t>
  </si>
  <si>
    <t>Spalte14751</t>
  </si>
  <si>
    <t>Spalte14752</t>
  </si>
  <si>
    <t>Spalte14753</t>
  </si>
  <si>
    <t>Spalte14754</t>
  </si>
  <si>
    <t>Spalte14755</t>
  </si>
  <si>
    <t>Spalte14756</t>
  </si>
  <si>
    <t>Spalte14757</t>
  </si>
  <si>
    <t>Spalte14758</t>
  </si>
  <si>
    <t>Spalte14759</t>
  </si>
  <si>
    <t>Spalte14760</t>
  </si>
  <si>
    <t>Spalte14761</t>
  </si>
  <si>
    <t>Spalte14762</t>
  </si>
  <si>
    <t>Spalte14763</t>
  </si>
  <si>
    <t>Spalte14764</t>
  </si>
  <si>
    <t>Spalte14765</t>
  </si>
  <si>
    <t>Spalte14766</t>
  </si>
  <si>
    <t>Spalte14767</t>
  </si>
  <si>
    <t>Spalte14768</t>
  </si>
  <si>
    <t>Spalte14769</t>
  </si>
  <si>
    <t>Spalte14770</t>
  </si>
  <si>
    <t>Spalte14771</t>
  </si>
  <si>
    <t>Spalte14772</t>
  </si>
  <si>
    <t>Spalte14773</t>
  </si>
  <si>
    <t>Spalte14774</t>
  </si>
  <si>
    <t>Spalte14775</t>
  </si>
  <si>
    <t>Spalte14776</t>
  </si>
  <si>
    <t>Spalte14777</t>
  </si>
  <si>
    <t>Spalte14778</t>
  </si>
  <si>
    <t>Spalte14779</t>
  </si>
  <si>
    <t>Spalte14780</t>
  </si>
  <si>
    <t>Spalte14781</t>
  </si>
  <si>
    <t>Spalte14782</t>
  </si>
  <si>
    <t>Spalte14783</t>
  </si>
  <si>
    <t>Spalte14784</t>
  </si>
  <si>
    <t>Spalte14785</t>
  </si>
  <si>
    <t>Spalte14786</t>
  </si>
  <si>
    <t>Spalte14787</t>
  </si>
  <si>
    <t>Spalte14788</t>
  </si>
  <si>
    <t>Spalte14789</t>
  </si>
  <si>
    <t>Spalte14790</t>
  </si>
  <si>
    <t>Spalte14791</t>
  </si>
  <si>
    <t>Spalte14792</t>
  </si>
  <si>
    <t>Spalte14793</t>
  </si>
  <si>
    <t>Spalte14794</t>
  </si>
  <si>
    <t>Spalte14795</t>
  </si>
  <si>
    <t>Spalte14796</t>
  </si>
  <si>
    <t>Spalte14797</t>
  </si>
  <si>
    <t>Spalte14798</t>
  </si>
  <si>
    <t>Spalte14799</t>
  </si>
  <si>
    <t>Spalte14800</t>
  </si>
  <si>
    <t>Spalte14801</t>
  </si>
  <si>
    <t>Spalte14802</t>
  </si>
  <si>
    <t>Spalte14803</t>
  </si>
  <si>
    <t>Spalte14804</t>
  </si>
  <si>
    <t>Spalte14805</t>
  </si>
  <si>
    <t>Spalte14806</t>
  </si>
  <si>
    <t>Spalte14807</t>
  </si>
  <si>
    <t>Spalte14808</t>
  </si>
  <si>
    <t>Spalte14809</t>
  </si>
  <si>
    <t>Spalte14810</t>
  </si>
  <si>
    <t>Spalte14811</t>
  </si>
  <si>
    <t>Spalte14812</t>
  </si>
  <si>
    <t>Spalte14813</t>
  </si>
  <si>
    <t>Spalte14814</t>
  </si>
  <si>
    <t>Spalte14815</t>
  </si>
  <si>
    <t>Spalte14816</t>
  </si>
  <si>
    <t>Spalte14817</t>
  </si>
  <si>
    <t>Spalte14818</t>
  </si>
  <si>
    <t>Spalte14819</t>
  </si>
  <si>
    <t>Spalte14820</t>
  </si>
  <si>
    <t>Spalte14821</t>
  </si>
  <si>
    <t>Spalte14822</t>
  </si>
  <si>
    <t>Spalte14823</t>
  </si>
  <si>
    <t>Spalte14824</t>
  </si>
  <si>
    <t>Spalte14825</t>
  </si>
  <si>
    <t>Spalte14826</t>
  </si>
  <si>
    <t>Spalte14827</t>
  </si>
  <si>
    <t>Spalte14828</t>
  </si>
  <si>
    <t>Spalte14829</t>
  </si>
  <si>
    <t>Spalte14830</t>
  </si>
  <si>
    <t>Spalte14831</t>
  </si>
  <si>
    <t>Spalte14832</t>
  </si>
  <si>
    <t>Spalte14833</t>
  </si>
  <si>
    <t>Spalte14834</t>
  </si>
  <si>
    <t>Spalte14835</t>
  </si>
  <si>
    <t>Spalte14836</t>
  </si>
  <si>
    <t>Spalte14837</t>
  </si>
  <si>
    <t>Spalte14838</t>
  </si>
  <si>
    <t>Spalte14839</t>
  </si>
  <si>
    <t>Spalte14840</t>
  </si>
  <si>
    <t>Spalte14841</t>
  </si>
  <si>
    <t>Spalte14842</t>
  </si>
  <si>
    <t>Spalte14843</t>
  </si>
  <si>
    <t>Spalte14844</t>
  </si>
  <si>
    <t>Spalte14845</t>
  </si>
  <si>
    <t>Spalte14846</t>
  </si>
  <si>
    <t>Spalte14847</t>
  </si>
  <si>
    <t>Spalte14848</t>
  </si>
  <si>
    <t>Spalte14849</t>
  </si>
  <si>
    <t>Spalte14850</t>
  </si>
  <si>
    <t>Spalte14851</t>
  </si>
  <si>
    <t>Spalte14852</t>
  </si>
  <si>
    <t>Spalte14853</t>
  </si>
  <si>
    <t>Spalte14854</t>
  </si>
  <si>
    <t>Spalte14855</t>
  </si>
  <si>
    <t>Spalte14856</t>
  </si>
  <si>
    <t>Spalte14857</t>
  </si>
  <si>
    <t>Spalte14858</t>
  </si>
  <si>
    <t>Spalte14859</t>
  </si>
  <si>
    <t>Spalte14860</t>
  </si>
  <si>
    <t>Spalte14861</t>
  </si>
  <si>
    <t>Spalte14862</t>
  </si>
  <si>
    <t>Spalte14863</t>
  </si>
  <si>
    <t>Spalte14864</t>
  </si>
  <si>
    <t>Spalte14865</t>
  </si>
  <si>
    <t>Spalte14866</t>
  </si>
  <si>
    <t>Spalte14867</t>
  </si>
  <si>
    <t>Spalte14868</t>
  </si>
  <si>
    <t>Spalte14869</t>
  </si>
  <si>
    <t>Spalte14870</t>
  </si>
  <si>
    <t>Spalte14871</t>
  </si>
  <si>
    <t>Spalte14872</t>
  </si>
  <si>
    <t>Spalte14873</t>
  </si>
  <si>
    <t>Spalte14874</t>
  </si>
  <si>
    <t>Spalte14875</t>
  </si>
  <si>
    <t>Spalte14876</t>
  </si>
  <si>
    <t>Spalte14877</t>
  </si>
  <si>
    <t>Spalte14878</t>
  </si>
  <si>
    <t>Spalte14879</t>
  </si>
  <si>
    <t>Spalte14880</t>
  </si>
  <si>
    <t>Spalte14881</t>
  </si>
  <si>
    <t>Spalte14882</t>
  </si>
  <si>
    <t>Spalte14883</t>
  </si>
  <si>
    <t>Spalte14884</t>
  </si>
  <si>
    <t>Spalte14885</t>
  </si>
  <si>
    <t>Spalte14886</t>
  </si>
  <si>
    <t>Spalte14887</t>
  </si>
  <si>
    <t>Spalte14888</t>
  </si>
  <si>
    <t>Spalte14889</t>
  </si>
  <si>
    <t>Spalte14890</t>
  </si>
  <si>
    <t>Spalte14891</t>
  </si>
  <si>
    <t>Spalte14892</t>
  </si>
  <si>
    <t>Spalte14893</t>
  </si>
  <si>
    <t>Spalte14894</t>
  </si>
  <si>
    <t>Spalte14895</t>
  </si>
  <si>
    <t>Spalte14896</t>
  </si>
  <si>
    <t>Spalte14897</t>
  </si>
  <si>
    <t>Spalte14898</t>
  </si>
  <si>
    <t>Spalte14899</t>
  </si>
  <si>
    <t>Spalte14900</t>
  </si>
  <si>
    <t>Spalte14901</t>
  </si>
  <si>
    <t>Spalte14902</t>
  </si>
  <si>
    <t>Spalte14903</t>
  </si>
  <si>
    <t>Spalte14904</t>
  </si>
  <si>
    <t>Spalte14905</t>
  </si>
  <si>
    <t>Spalte14906</t>
  </si>
  <si>
    <t>Spalte14907</t>
  </si>
  <si>
    <t>Spalte14908</t>
  </si>
  <si>
    <t>Spalte14909</t>
  </si>
  <si>
    <t>Spalte14910</t>
  </si>
  <si>
    <t>Spalte14911</t>
  </si>
  <si>
    <t>Spalte14912</t>
  </si>
  <si>
    <t>Spalte14913</t>
  </si>
  <si>
    <t>Spalte14914</t>
  </si>
  <si>
    <t>Spalte14915</t>
  </si>
  <si>
    <t>Spalte14916</t>
  </si>
  <si>
    <t>Spalte14917</t>
  </si>
  <si>
    <t>Spalte14918</t>
  </si>
  <si>
    <t>Spalte14919</t>
  </si>
  <si>
    <t>Spalte14920</t>
  </si>
  <si>
    <t>Spalte14921</t>
  </si>
  <si>
    <t>Spalte14922</t>
  </si>
  <si>
    <t>Spalte14923</t>
  </si>
  <si>
    <t>Spalte14924</t>
  </si>
  <si>
    <t>Spalte14925</t>
  </si>
  <si>
    <t>Spalte14926</t>
  </si>
  <si>
    <t>Spalte14927</t>
  </si>
  <si>
    <t>Spalte14928</t>
  </si>
  <si>
    <t>Spalte14929</t>
  </si>
  <si>
    <t>Spalte14930</t>
  </si>
  <si>
    <t>Spalte14931</t>
  </si>
  <si>
    <t>Spalte14932</t>
  </si>
  <si>
    <t>Spalte14933</t>
  </si>
  <si>
    <t>Spalte14934</t>
  </si>
  <si>
    <t>Spalte14935</t>
  </si>
  <si>
    <t>Spalte14936</t>
  </si>
  <si>
    <t>Spalte14937</t>
  </si>
  <si>
    <t>Spalte14938</t>
  </si>
  <si>
    <t>Spalte14939</t>
  </si>
  <si>
    <t>Spalte14940</t>
  </si>
  <si>
    <t>Spalte14941</t>
  </si>
  <si>
    <t>Spalte14942</t>
  </si>
  <si>
    <t>Spalte14943</t>
  </si>
  <si>
    <t>Spalte14944</t>
  </si>
  <si>
    <t>Spalte14945</t>
  </si>
  <si>
    <t>Spalte14946</t>
  </si>
  <si>
    <t>Spalte14947</t>
  </si>
  <si>
    <t>Spalte14948</t>
  </si>
  <si>
    <t>Spalte14949</t>
  </si>
  <si>
    <t>Spalte14950</t>
  </si>
  <si>
    <t>Spalte14951</t>
  </si>
  <si>
    <t>Spalte14952</t>
  </si>
  <si>
    <t>Spalte14953</t>
  </si>
  <si>
    <t>Spalte14954</t>
  </si>
  <si>
    <t>Spalte14955</t>
  </si>
  <si>
    <t>Spalte14956</t>
  </si>
  <si>
    <t>Spalte14957</t>
  </si>
  <si>
    <t>Spalte14958</t>
  </si>
  <si>
    <t>Spalte14959</t>
  </si>
  <si>
    <t>Spalte14960</t>
  </si>
  <si>
    <t>Spalte14961</t>
  </si>
  <si>
    <t>Spalte14962</t>
  </si>
  <si>
    <t>Spalte14963</t>
  </si>
  <si>
    <t>Spalte14964</t>
  </si>
  <si>
    <t>Spalte14965</t>
  </si>
  <si>
    <t>Spalte14966</t>
  </si>
  <si>
    <t>Spalte14967</t>
  </si>
  <si>
    <t>Spalte14968</t>
  </si>
  <si>
    <t>Spalte14969</t>
  </si>
  <si>
    <t>Spalte14970</t>
  </si>
  <si>
    <t>Spalte14971</t>
  </si>
  <si>
    <t>Spalte14972</t>
  </si>
  <si>
    <t>Spalte14973</t>
  </si>
  <si>
    <t>Spalte14974</t>
  </si>
  <si>
    <t>Spalte14975</t>
  </si>
  <si>
    <t>Spalte14976</t>
  </si>
  <si>
    <t>Spalte14977</t>
  </si>
  <si>
    <t>Spalte14978</t>
  </si>
  <si>
    <t>Spalte14979</t>
  </si>
  <si>
    <t>Spalte14980</t>
  </si>
  <si>
    <t>Spalte14981</t>
  </si>
  <si>
    <t>Spalte14982</t>
  </si>
  <si>
    <t>Spalte14983</t>
  </si>
  <si>
    <t>Spalte14984</t>
  </si>
  <si>
    <t>Spalte14985</t>
  </si>
  <si>
    <t>Spalte14986</t>
  </si>
  <si>
    <t>Spalte14987</t>
  </si>
  <si>
    <t>Spalte14988</t>
  </si>
  <si>
    <t>Spalte14989</t>
  </si>
  <si>
    <t>Spalte14990</t>
  </si>
  <si>
    <t>Spalte14991</t>
  </si>
  <si>
    <t>Spalte14992</t>
  </si>
  <si>
    <t>Spalte14993</t>
  </si>
  <si>
    <t>Spalte14994</t>
  </si>
  <si>
    <t>Spalte14995</t>
  </si>
  <si>
    <t>Spalte14996</t>
  </si>
  <si>
    <t>Spalte14997</t>
  </si>
  <si>
    <t>Spalte14998</t>
  </si>
  <si>
    <t>Spalte14999</t>
  </si>
  <si>
    <t>Spalte15000</t>
  </si>
  <si>
    <t>Spalte15001</t>
  </si>
  <si>
    <t>Spalte15002</t>
  </si>
  <si>
    <t>Spalte15003</t>
  </si>
  <si>
    <t>Spalte15004</t>
  </si>
  <si>
    <t>Spalte15005</t>
  </si>
  <si>
    <t>Spalte15006</t>
  </si>
  <si>
    <t>Spalte15007</t>
  </si>
  <si>
    <t>Spalte15008</t>
  </si>
  <si>
    <t>Spalte15009</t>
  </si>
  <si>
    <t>Spalte15010</t>
  </si>
  <si>
    <t>Spalte15011</t>
  </si>
  <si>
    <t>Spalte15012</t>
  </si>
  <si>
    <t>Spalte15013</t>
  </si>
  <si>
    <t>Spalte15014</t>
  </si>
  <si>
    <t>Spalte15015</t>
  </si>
  <si>
    <t>Spalte15016</t>
  </si>
  <si>
    <t>Spalte15017</t>
  </si>
  <si>
    <t>Spalte15018</t>
  </si>
  <si>
    <t>Spalte15019</t>
  </si>
  <si>
    <t>Spalte15020</t>
  </si>
  <si>
    <t>Spalte15021</t>
  </si>
  <si>
    <t>Spalte15022</t>
  </si>
  <si>
    <t>Spalte15023</t>
  </si>
  <si>
    <t>Spalte15024</t>
  </si>
  <si>
    <t>Spalte15025</t>
  </si>
  <si>
    <t>Spalte15026</t>
  </si>
  <si>
    <t>Spalte15027</t>
  </si>
  <si>
    <t>Spalte15028</t>
  </si>
  <si>
    <t>Spalte15029</t>
  </si>
  <si>
    <t>Spalte15030</t>
  </si>
  <si>
    <t>Spalte15031</t>
  </si>
  <si>
    <t>Spalte15032</t>
  </si>
  <si>
    <t>Spalte15033</t>
  </si>
  <si>
    <t>Spalte15034</t>
  </si>
  <si>
    <t>Spalte15035</t>
  </si>
  <si>
    <t>Spalte15036</t>
  </si>
  <si>
    <t>Spalte15037</t>
  </si>
  <si>
    <t>Spalte15038</t>
  </si>
  <si>
    <t>Spalte15039</t>
  </si>
  <si>
    <t>Spalte15040</t>
  </si>
  <si>
    <t>Spalte15041</t>
  </si>
  <si>
    <t>Spalte15042</t>
  </si>
  <si>
    <t>Spalte15043</t>
  </si>
  <si>
    <t>Spalte15044</t>
  </si>
  <si>
    <t>Spalte15045</t>
  </si>
  <si>
    <t>Spalte15046</t>
  </si>
  <si>
    <t>Spalte15047</t>
  </si>
  <si>
    <t>Spalte15048</t>
  </si>
  <si>
    <t>Spalte15049</t>
  </si>
  <si>
    <t>Spalte15050</t>
  </si>
  <si>
    <t>Spalte15051</t>
  </si>
  <si>
    <t>Spalte15052</t>
  </si>
  <si>
    <t>Spalte15053</t>
  </si>
  <si>
    <t>Spalte15054</t>
  </si>
  <si>
    <t>Spalte15055</t>
  </si>
  <si>
    <t>Spalte15056</t>
  </si>
  <si>
    <t>Spalte15057</t>
  </si>
  <si>
    <t>Spalte15058</t>
  </si>
  <si>
    <t>Spalte15059</t>
  </si>
  <si>
    <t>Spalte15060</t>
  </si>
  <si>
    <t>Spalte15061</t>
  </si>
  <si>
    <t>Spalte15062</t>
  </si>
  <si>
    <t>Spalte15063</t>
  </si>
  <si>
    <t>Spalte15064</t>
  </si>
  <si>
    <t>Spalte15065</t>
  </si>
  <si>
    <t>Spalte15066</t>
  </si>
  <si>
    <t>Spalte15067</t>
  </si>
  <si>
    <t>Spalte15068</t>
  </si>
  <si>
    <t>Spalte15069</t>
  </si>
  <si>
    <t>Spalte15070</t>
  </si>
  <si>
    <t>Spalte15071</t>
  </si>
  <si>
    <t>Spalte15072</t>
  </si>
  <si>
    <t>Spalte15073</t>
  </si>
  <si>
    <t>Spalte15074</t>
  </si>
  <si>
    <t>Spalte15075</t>
  </si>
  <si>
    <t>Spalte15076</t>
  </si>
  <si>
    <t>Spalte15077</t>
  </si>
  <si>
    <t>Spalte15078</t>
  </si>
  <si>
    <t>Spalte15079</t>
  </si>
  <si>
    <t>Spalte15080</t>
  </si>
  <si>
    <t>Spalte15081</t>
  </si>
  <si>
    <t>Spalte15082</t>
  </si>
  <si>
    <t>Spalte15083</t>
  </si>
  <si>
    <t>Spalte15084</t>
  </si>
  <si>
    <t>Spalte15085</t>
  </si>
  <si>
    <t>Spalte15086</t>
  </si>
  <si>
    <t>Spalte15087</t>
  </si>
  <si>
    <t>Spalte15088</t>
  </si>
  <si>
    <t>Spalte15089</t>
  </si>
  <si>
    <t>Spalte15090</t>
  </si>
  <si>
    <t>Spalte15091</t>
  </si>
  <si>
    <t>Spalte15092</t>
  </si>
  <si>
    <t>Spalte15093</t>
  </si>
  <si>
    <t>Spalte15094</t>
  </si>
  <si>
    <t>Spalte15095</t>
  </si>
  <si>
    <t>Spalte15096</t>
  </si>
  <si>
    <t>Spalte15097</t>
  </si>
  <si>
    <t>Spalte15098</t>
  </si>
  <si>
    <t>Spalte15099</t>
  </si>
  <si>
    <t>Spalte15100</t>
  </si>
  <si>
    <t>Spalte15101</t>
  </si>
  <si>
    <t>Spalte15102</t>
  </si>
  <si>
    <t>Spalte15103</t>
  </si>
  <si>
    <t>Spalte15104</t>
  </si>
  <si>
    <t>Spalte15105</t>
  </si>
  <si>
    <t>Spalte15106</t>
  </si>
  <si>
    <t>Spalte15107</t>
  </si>
  <si>
    <t>Spalte15108</t>
  </si>
  <si>
    <t>Spalte15109</t>
  </si>
  <si>
    <t>Spalte15110</t>
  </si>
  <si>
    <t>Spalte15111</t>
  </si>
  <si>
    <t>Spalte15112</t>
  </si>
  <si>
    <t>Spalte15113</t>
  </si>
  <si>
    <t>Spalte15114</t>
  </si>
  <si>
    <t>Spalte15115</t>
  </si>
  <si>
    <t>Spalte15116</t>
  </si>
  <si>
    <t>Spalte15117</t>
  </si>
  <si>
    <t>Spalte15118</t>
  </si>
  <si>
    <t>Spalte15119</t>
  </si>
  <si>
    <t>Spalte15120</t>
  </si>
  <si>
    <t>Spalte15121</t>
  </si>
  <si>
    <t>Spalte15122</t>
  </si>
  <si>
    <t>Spalte15123</t>
  </si>
  <si>
    <t>Spalte15124</t>
  </si>
  <si>
    <t>Spalte15125</t>
  </si>
  <si>
    <t>Spalte15126</t>
  </si>
  <si>
    <t>Spalte15127</t>
  </si>
  <si>
    <t>Spalte15128</t>
  </si>
  <si>
    <t>Spalte15129</t>
  </si>
  <si>
    <t>Spalte15130</t>
  </si>
  <si>
    <t>Spalte15131</t>
  </si>
  <si>
    <t>Spalte15132</t>
  </si>
  <si>
    <t>Spalte15133</t>
  </si>
  <si>
    <t>Spalte15134</t>
  </si>
  <si>
    <t>Spalte15135</t>
  </si>
  <si>
    <t>Spalte15136</t>
  </si>
  <si>
    <t>Spalte15137</t>
  </si>
  <si>
    <t>Spalte15138</t>
  </si>
  <si>
    <t>Spalte15139</t>
  </si>
  <si>
    <t>Spalte15140</t>
  </si>
  <si>
    <t>Spalte15141</t>
  </si>
  <si>
    <t>Spalte15142</t>
  </si>
  <si>
    <t>Spalte15143</t>
  </si>
  <si>
    <t>Spalte15144</t>
  </si>
  <si>
    <t>Spalte15145</t>
  </si>
  <si>
    <t>Spalte15146</t>
  </si>
  <si>
    <t>Spalte15147</t>
  </si>
  <si>
    <t>Spalte15148</t>
  </si>
  <si>
    <t>Spalte15149</t>
  </si>
  <si>
    <t>Spalte15150</t>
  </si>
  <si>
    <t>Spalte15151</t>
  </si>
  <si>
    <t>Spalte15152</t>
  </si>
  <si>
    <t>Spalte15153</t>
  </si>
  <si>
    <t>Spalte15154</t>
  </si>
  <si>
    <t>Spalte15155</t>
  </si>
  <si>
    <t>Spalte15156</t>
  </si>
  <si>
    <t>Spalte15157</t>
  </si>
  <si>
    <t>Spalte15158</t>
  </si>
  <si>
    <t>Spalte15159</t>
  </si>
  <si>
    <t>Spalte15160</t>
  </si>
  <si>
    <t>Spalte15161</t>
  </si>
  <si>
    <t>Spalte15162</t>
  </si>
  <si>
    <t>Spalte15163</t>
  </si>
  <si>
    <t>Spalte15164</t>
  </si>
  <si>
    <t>Spalte15165</t>
  </si>
  <si>
    <t>Spalte15166</t>
  </si>
  <si>
    <t>Spalte15167</t>
  </si>
  <si>
    <t>Spalte15168</t>
  </si>
  <si>
    <t>Spalte15169</t>
  </si>
  <si>
    <t>Spalte15170</t>
  </si>
  <si>
    <t>Spalte15171</t>
  </si>
  <si>
    <t>Spalte15172</t>
  </si>
  <si>
    <t>Spalte15173</t>
  </si>
  <si>
    <t>Spalte15174</t>
  </si>
  <si>
    <t>Spalte15175</t>
  </si>
  <si>
    <t>Spalte15176</t>
  </si>
  <si>
    <t>Spalte15177</t>
  </si>
  <si>
    <t>Spalte15178</t>
  </si>
  <si>
    <t>Spalte15179</t>
  </si>
  <si>
    <t>Spalte15180</t>
  </si>
  <si>
    <t>Spalte15181</t>
  </si>
  <si>
    <t>Spalte15182</t>
  </si>
  <si>
    <t>Spalte15183</t>
  </si>
  <si>
    <t>Spalte15184</t>
  </si>
  <si>
    <t>Spalte15185</t>
  </si>
  <si>
    <t>Spalte15186</t>
  </si>
  <si>
    <t>Spalte15187</t>
  </si>
  <si>
    <t>Spalte15188</t>
  </si>
  <si>
    <t>Spalte15189</t>
  </si>
  <si>
    <t>Spalte15190</t>
  </si>
  <si>
    <t>Spalte15191</t>
  </si>
  <si>
    <t>Spalte15192</t>
  </si>
  <si>
    <t>Spalte15193</t>
  </si>
  <si>
    <t>Spalte15194</t>
  </si>
  <si>
    <t>Spalte15195</t>
  </si>
  <si>
    <t>Spalte15196</t>
  </si>
  <si>
    <t>Spalte15197</t>
  </si>
  <si>
    <t>Spalte15198</t>
  </si>
  <si>
    <t>Spalte15199</t>
  </si>
  <si>
    <t>Spalte15200</t>
  </si>
  <si>
    <t>Spalte15201</t>
  </si>
  <si>
    <t>Spalte15202</t>
  </si>
  <si>
    <t>Spalte15203</t>
  </si>
  <si>
    <t>Spalte15204</t>
  </si>
  <si>
    <t>Spalte15205</t>
  </si>
  <si>
    <t>Spalte15206</t>
  </si>
  <si>
    <t>Spalte15207</t>
  </si>
  <si>
    <t>Spalte15208</t>
  </si>
  <si>
    <t>Spalte15209</t>
  </si>
  <si>
    <t>Spalte15210</t>
  </si>
  <si>
    <t>Spalte15211</t>
  </si>
  <si>
    <t>Spalte15212</t>
  </si>
  <si>
    <t>Spalte15213</t>
  </si>
  <si>
    <t>Spalte15214</t>
  </si>
  <si>
    <t>Spalte15215</t>
  </si>
  <si>
    <t>Spalte15216</t>
  </si>
  <si>
    <t>Spalte15217</t>
  </si>
  <si>
    <t>Spalte15218</t>
  </si>
  <si>
    <t>Spalte15219</t>
  </si>
  <si>
    <t>Spalte15220</t>
  </si>
  <si>
    <t>Spalte15221</t>
  </si>
  <si>
    <t>Spalte15222</t>
  </si>
  <si>
    <t>Spalte15223</t>
  </si>
  <si>
    <t>Spalte15224</t>
  </si>
  <si>
    <t>Spalte15225</t>
  </si>
  <si>
    <t>Spalte15226</t>
  </si>
  <si>
    <t>Spalte15227</t>
  </si>
  <si>
    <t>Spalte15228</t>
  </si>
  <si>
    <t>Spalte15229</t>
  </si>
  <si>
    <t>Spalte15230</t>
  </si>
  <si>
    <t>Spalte15231</t>
  </si>
  <si>
    <t>Spalte15232</t>
  </si>
  <si>
    <t>Spalte15233</t>
  </si>
  <si>
    <t>Spalte15234</t>
  </si>
  <si>
    <t>Spalte15235</t>
  </si>
  <si>
    <t>Spalte15236</t>
  </si>
  <si>
    <t>Spalte15237</t>
  </si>
  <si>
    <t>Spalte15238</t>
  </si>
  <si>
    <t>Spalte15239</t>
  </si>
  <si>
    <t>Spalte15240</t>
  </si>
  <si>
    <t>Spalte15241</t>
  </si>
  <si>
    <t>Spalte15242</t>
  </si>
  <si>
    <t>Spalte15243</t>
  </si>
  <si>
    <t>Spalte15244</t>
  </si>
  <si>
    <t>Spalte15245</t>
  </si>
  <si>
    <t>Spalte15246</t>
  </si>
  <si>
    <t>Spalte15247</t>
  </si>
  <si>
    <t>Spalte15248</t>
  </si>
  <si>
    <t>Spalte15249</t>
  </si>
  <si>
    <t>Spalte15250</t>
  </si>
  <si>
    <t>Spalte15251</t>
  </si>
  <si>
    <t>Spalte15252</t>
  </si>
  <si>
    <t>Spalte15253</t>
  </si>
  <si>
    <t>Spalte15254</t>
  </si>
  <si>
    <t>Spalte15255</t>
  </si>
  <si>
    <t>Spalte15256</t>
  </si>
  <si>
    <t>Spalte15257</t>
  </si>
  <si>
    <t>Spalte15258</t>
  </si>
  <si>
    <t>Spalte15259</t>
  </si>
  <si>
    <t>Spalte15260</t>
  </si>
  <si>
    <t>Spalte15261</t>
  </si>
  <si>
    <t>Spalte15262</t>
  </si>
  <si>
    <t>Spalte15263</t>
  </si>
  <si>
    <t>Spalte15264</t>
  </si>
  <si>
    <t>Spalte15265</t>
  </si>
  <si>
    <t>Spalte15266</t>
  </si>
  <si>
    <t>Spalte15267</t>
  </si>
  <si>
    <t>Spalte15268</t>
  </si>
  <si>
    <t>Spalte15269</t>
  </si>
  <si>
    <t>Spalte15270</t>
  </si>
  <si>
    <t>Spalte15271</t>
  </si>
  <si>
    <t>Spalte15272</t>
  </si>
  <si>
    <t>Spalte15273</t>
  </si>
  <si>
    <t>Spalte15274</t>
  </si>
  <si>
    <t>Spalte15275</t>
  </si>
  <si>
    <t>Spalte15276</t>
  </si>
  <si>
    <t>Spalte15277</t>
  </si>
  <si>
    <t>Spalte15278</t>
  </si>
  <si>
    <t>Spalte15279</t>
  </si>
  <si>
    <t>Spalte15280</t>
  </si>
  <si>
    <t>Spalte15281</t>
  </si>
  <si>
    <t>Spalte15282</t>
  </si>
  <si>
    <t>Spalte15283</t>
  </si>
  <si>
    <t>Spalte15284</t>
  </si>
  <si>
    <t>Spalte15285</t>
  </si>
  <si>
    <t>Spalte15286</t>
  </si>
  <si>
    <t>Spalte15287</t>
  </si>
  <si>
    <t>Spalte15288</t>
  </si>
  <si>
    <t>Spalte15289</t>
  </si>
  <si>
    <t>Spalte15290</t>
  </si>
  <si>
    <t>Spalte15291</t>
  </si>
  <si>
    <t>Spalte15292</t>
  </si>
  <si>
    <t>Spalte15293</t>
  </si>
  <si>
    <t>Spalte15294</t>
  </si>
  <si>
    <t>Spalte15295</t>
  </si>
  <si>
    <t>Spalte15296</t>
  </si>
  <si>
    <t>Spalte15297</t>
  </si>
  <si>
    <t>Spalte15298</t>
  </si>
  <si>
    <t>Spalte15299</t>
  </si>
  <si>
    <t>Spalte15300</t>
  </si>
  <si>
    <t>Spalte15301</t>
  </si>
  <si>
    <t>Spalte15302</t>
  </si>
  <si>
    <t>Spalte15303</t>
  </si>
  <si>
    <t>Spalte15304</t>
  </si>
  <si>
    <t>Spalte15305</t>
  </si>
  <si>
    <t>Spalte15306</t>
  </si>
  <si>
    <t>Spalte15307</t>
  </si>
  <si>
    <t>Spalte15308</t>
  </si>
  <si>
    <t>Spalte15309</t>
  </si>
  <si>
    <t>Spalte15310</t>
  </si>
  <si>
    <t>Spalte15311</t>
  </si>
  <si>
    <t>Spalte15312</t>
  </si>
  <si>
    <t>Spalte15313</t>
  </si>
  <si>
    <t>Spalte15314</t>
  </si>
  <si>
    <t>Spalte15315</t>
  </si>
  <si>
    <t>Spalte15316</t>
  </si>
  <si>
    <t>Spalte15317</t>
  </si>
  <si>
    <t>Spalte15318</t>
  </si>
  <si>
    <t>Spalte15319</t>
  </si>
  <si>
    <t>Spalte15320</t>
  </si>
  <si>
    <t>Spalte15321</t>
  </si>
  <si>
    <t>Spalte15322</t>
  </si>
  <si>
    <t>Spalte15323</t>
  </si>
  <si>
    <t>Spalte15324</t>
  </si>
  <si>
    <t>Spalte15325</t>
  </si>
  <si>
    <t>Spalte15326</t>
  </si>
  <si>
    <t>Spalte15327</t>
  </si>
  <si>
    <t>Spalte15328</t>
  </si>
  <si>
    <t>Spalte15329</t>
  </si>
  <si>
    <t>Spalte15330</t>
  </si>
  <si>
    <t>Spalte15331</t>
  </si>
  <si>
    <t>Spalte15332</t>
  </si>
  <si>
    <t>Spalte15333</t>
  </si>
  <si>
    <t>Spalte15334</t>
  </si>
  <si>
    <t>Spalte15335</t>
  </si>
  <si>
    <t>Spalte15336</t>
  </si>
  <si>
    <t>Spalte15337</t>
  </si>
  <si>
    <t>Spalte15338</t>
  </si>
  <si>
    <t>Spalte15339</t>
  </si>
  <si>
    <t>Spalte15340</t>
  </si>
  <si>
    <t>Spalte15341</t>
  </si>
  <si>
    <t>Spalte15342</t>
  </si>
  <si>
    <t>Spalte15343</t>
  </si>
  <si>
    <t>Spalte15344</t>
  </si>
  <si>
    <t>Spalte15345</t>
  </si>
  <si>
    <t>Spalte15346</t>
  </si>
  <si>
    <t>Spalte15347</t>
  </si>
  <si>
    <t>Spalte15348</t>
  </si>
  <si>
    <t>Spalte15349</t>
  </si>
  <si>
    <t>Spalte15350</t>
  </si>
  <si>
    <t>Spalte15351</t>
  </si>
  <si>
    <t>Spalte15352</t>
  </si>
  <si>
    <t>Spalte15353</t>
  </si>
  <si>
    <t>Spalte15354</t>
  </si>
  <si>
    <t>Spalte15355</t>
  </si>
  <si>
    <t>Spalte15356</t>
  </si>
  <si>
    <t>Spalte15357</t>
  </si>
  <si>
    <t>Spalte15358</t>
  </si>
  <si>
    <t>Spalte15359</t>
  </si>
  <si>
    <t>Spalte15360</t>
  </si>
  <si>
    <t>Spalte15361</t>
  </si>
  <si>
    <t>Spalte15362</t>
  </si>
  <si>
    <t>Spalte15363</t>
  </si>
  <si>
    <t>Spalte15364</t>
  </si>
  <si>
    <t>Spalte15365</t>
  </si>
  <si>
    <t>Spalte15366</t>
  </si>
  <si>
    <t>Spalte15367</t>
  </si>
  <si>
    <t>Spalte15368</t>
  </si>
  <si>
    <t>Spalte15369</t>
  </si>
  <si>
    <t>Spalte15370</t>
  </si>
  <si>
    <t>Spalte15371</t>
  </si>
  <si>
    <t>Spalte15372</t>
  </si>
  <si>
    <t>Spalte15373</t>
  </si>
  <si>
    <t>Spalte15374</t>
  </si>
  <si>
    <t>Spalte15375</t>
  </si>
  <si>
    <t>Spalte15376</t>
  </si>
  <si>
    <t>Spalte15377</t>
  </si>
  <si>
    <t>Spalte15378</t>
  </si>
  <si>
    <t>Spalte15379</t>
  </si>
  <si>
    <t>Spalte15380</t>
  </si>
  <si>
    <t>Spalte15381</t>
  </si>
  <si>
    <t>Spalte15382</t>
  </si>
  <si>
    <t>Spalte15383</t>
  </si>
  <si>
    <t>Spalte15384</t>
  </si>
  <si>
    <t>Spalte15385</t>
  </si>
  <si>
    <t>Spalte15386</t>
  </si>
  <si>
    <t>Spalte15387</t>
  </si>
  <si>
    <t>Spalte15388</t>
  </si>
  <si>
    <t>Spalte15389</t>
  </si>
  <si>
    <t>Spalte15390</t>
  </si>
  <si>
    <t>Spalte15391</t>
  </si>
  <si>
    <t>Spalte15392</t>
  </si>
  <si>
    <t>Spalte15393</t>
  </si>
  <si>
    <t>Spalte15394</t>
  </si>
  <si>
    <t>Spalte15395</t>
  </si>
  <si>
    <t>Spalte15396</t>
  </si>
  <si>
    <t>Spalte15397</t>
  </si>
  <si>
    <t>Spalte15398</t>
  </si>
  <si>
    <t>Spalte15399</t>
  </si>
  <si>
    <t>Spalte15400</t>
  </si>
  <si>
    <t>Spalte15401</t>
  </si>
  <si>
    <t>Spalte15402</t>
  </si>
  <si>
    <t>Spalte15403</t>
  </si>
  <si>
    <t>Spalte15404</t>
  </si>
  <si>
    <t>Spalte15405</t>
  </si>
  <si>
    <t>Spalte15406</t>
  </si>
  <si>
    <t>Spalte15407</t>
  </si>
  <si>
    <t>Spalte15408</t>
  </si>
  <si>
    <t>Spalte15409</t>
  </si>
  <si>
    <t>Spalte15410</t>
  </si>
  <si>
    <t>Spalte15411</t>
  </si>
  <si>
    <t>Spalte15412</t>
  </si>
  <si>
    <t>Spalte15413</t>
  </si>
  <si>
    <t>Spalte15414</t>
  </si>
  <si>
    <t>Spalte15415</t>
  </si>
  <si>
    <t>Spalte15416</t>
  </si>
  <si>
    <t>Spalte15417</t>
  </si>
  <si>
    <t>Spalte15418</t>
  </si>
  <si>
    <t>Spalte15419</t>
  </si>
  <si>
    <t>Spalte15420</t>
  </si>
  <si>
    <t>Spalte15421</t>
  </si>
  <si>
    <t>Spalte15422</t>
  </si>
  <si>
    <t>Spalte15423</t>
  </si>
  <si>
    <t>Spalte15424</t>
  </si>
  <si>
    <t>Spalte15425</t>
  </si>
  <si>
    <t>Spalte15426</t>
  </si>
  <si>
    <t>Spalte15427</t>
  </si>
  <si>
    <t>Spalte15428</t>
  </si>
  <si>
    <t>Spalte15429</t>
  </si>
  <si>
    <t>Spalte15430</t>
  </si>
  <si>
    <t>Spalte15431</t>
  </si>
  <si>
    <t>Spalte15432</t>
  </si>
  <si>
    <t>Spalte15433</t>
  </si>
  <si>
    <t>Spalte15434</t>
  </si>
  <si>
    <t>Spalte15435</t>
  </si>
  <si>
    <t>Spalte15436</t>
  </si>
  <si>
    <t>Spalte15437</t>
  </si>
  <si>
    <t>Spalte15438</t>
  </si>
  <si>
    <t>Spalte15439</t>
  </si>
  <si>
    <t>Spalte15440</t>
  </si>
  <si>
    <t>Spalte15441</t>
  </si>
  <si>
    <t>Spalte15442</t>
  </si>
  <si>
    <t>Spalte15443</t>
  </si>
  <si>
    <t>Spalte15444</t>
  </si>
  <si>
    <t>Spalte15445</t>
  </si>
  <si>
    <t>Spalte15446</t>
  </si>
  <si>
    <t>Spalte15447</t>
  </si>
  <si>
    <t>Spalte15448</t>
  </si>
  <si>
    <t>Spalte15449</t>
  </si>
  <si>
    <t>Spalte15450</t>
  </si>
  <si>
    <t>Spalte15451</t>
  </si>
  <si>
    <t>Spalte15452</t>
  </si>
  <si>
    <t>Spalte15453</t>
  </si>
  <si>
    <t>Spalte15454</t>
  </si>
  <si>
    <t>Spalte15455</t>
  </si>
  <si>
    <t>Spalte15456</t>
  </si>
  <si>
    <t>Spalte15457</t>
  </si>
  <si>
    <t>Spalte15458</t>
  </si>
  <si>
    <t>Spalte15459</t>
  </si>
  <si>
    <t>Spalte15460</t>
  </si>
  <si>
    <t>Spalte15461</t>
  </si>
  <si>
    <t>Spalte15462</t>
  </si>
  <si>
    <t>Spalte15463</t>
  </si>
  <si>
    <t>Spalte15464</t>
  </si>
  <si>
    <t>Spalte15465</t>
  </si>
  <si>
    <t>Spalte15466</t>
  </si>
  <si>
    <t>Spalte15467</t>
  </si>
  <si>
    <t>Spalte15468</t>
  </si>
  <si>
    <t>Spalte15469</t>
  </si>
  <si>
    <t>Spalte15470</t>
  </si>
  <si>
    <t>Spalte15471</t>
  </si>
  <si>
    <t>Spalte15472</t>
  </si>
  <si>
    <t>Spalte15473</t>
  </si>
  <si>
    <t>Spalte15474</t>
  </si>
  <si>
    <t>Spalte15475</t>
  </si>
  <si>
    <t>Spalte15476</t>
  </si>
  <si>
    <t>Spalte15477</t>
  </si>
  <si>
    <t>Spalte15478</t>
  </si>
  <si>
    <t>Spalte15479</t>
  </si>
  <si>
    <t>Spalte15480</t>
  </si>
  <si>
    <t>Spalte15481</t>
  </si>
  <si>
    <t>Spalte15482</t>
  </si>
  <si>
    <t>Spalte15483</t>
  </si>
  <si>
    <t>Spalte15484</t>
  </si>
  <si>
    <t>Spalte15485</t>
  </si>
  <si>
    <t>Spalte15486</t>
  </si>
  <si>
    <t>Spalte15487</t>
  </si>
  <si>
    <t>Spalte15488</t>
  </si>
  <si>
    <t>Spalte15489</t>
  </si>
  <si>
    <t>Spalte15490</t>
  </si>
  <si>
    <t>Spalte15491</t>
  </si>
  <si>
    <t>Spalte15492</t>
  </si>
  <si>
    <t>Spalte15493</t>
  </si>
  <si>
    <t>Spalte15494</t>
  </si>
  <si>
    <t>Spalte15495</t>
  </si>
  <si>
    <t>Spalte15496</t>
  </si>
  <si>
    <t>Spalte15497</t>
  </si>
  <si>
    <t>Spalte15498</t>
  </si>
  <si>
    <t>Spalte15499</t>
  </si>
  <si>
    <t>Spalte15500</t>
  </si>
  <si>
    <t>Spalte15501</t>
  </si>
  <si>
    <t>Spalte15502</t>
  </si>
  <si>
    <t>Spalte15503</t>
  </si>
  <si>
    <t>Spalte15504</t>
  </si>
  <si>
    <t>Spalte15505</t>
  </si>
  <si>
    <t>Spalte15506</t>
  </si>
  <si>
    <t>Spalte15507</t>
  </si>
  <si>
    <t>Spalte15508</t>
  </si>
  <si>
    <t>Spalte15509</t>
  </si>
  <si>
    <t>Spalte15510</t>
  </si>
  <si>
    <t>Spalte15511</t>
  </si>
  <si>
    <t>Spalte15512</t>
  </si>
  <si>
    <t>Spalte15513</t>
  </si>
  <si>
    <t>Spalte15514</t>
  </si>
  <si>
    <t>Spalte15515</t>
  </si>
  <si>
    <t>Spalte15516</t>
  </si>
  <si>
    <t>Spalte15517</t>
  </si>
  <si>
    <t>Spalte15518</t>
  </si>
  <si>
    <t>Spalte15519</t>
  </si>
  <si>
    <t>Spalte15520</t>
  </si>
  <si>
    <t>Spalte15521</t>
  </si>
  <si>
    <t>Spalte15522</t>
  </si>
  <si>
    <t>Spalte15523</t>
  </si>
  <si>
    <t>Spalte15524</t>
  </si>
  <si>
    <t>Spalte15525</t>
  </si>
  <si>
    <t>Spalte15526</t>
  </si>
  <si>
    <t>Spalte15527</t>
  </si>
  <si>
    <t>Spalte15528</t>
  </si>
  <si>
    <t>Spalte15529</t>
  </si>
  <si>
    <t>Spalte15530</t>
  </si>
  <si>
    <t>Spalte15531</t>
  </si>
  <si>
    <t>Spalte15532</t>
  </si>
  <si>
    <t>Spalte15533</t>
  </si>
  <si>
    <t>Spalte15534</t>
  </si>
  <si>
    <t>Spalte15535</t>
  </si>
  <si>
    <t>Spalte15536</t>
  </si>
  <si>
    <t>Spalte15537</t>
  </si>
  <si>
    <t>Spalte15538</t>
  </si>
  <si>
    <t>Spalte15539</t>
  </si>
  <si>
    <t>Spalte15540</t>
  </si>
  <si>
    <t>Spalte15541</t>
  </si>
  <si>
    <t>Spalte15542</t>
  </si>
  <si>
    <t>Spalte15543</t>
  </si>
  <si>
    <t>Spalte15544</t>
  </si>
  <si>
    <t>Spalte15545</t>
  </si>
  <si>
    <t>Spalte15546</t>
  </si>
  <si>
    <t>Spalte15547</t>
  </si>
  <si>
    <t>Spalte15548</t>
  </si>
  <si>
    <t>Spalte15549</t>
  </si>
  <si>
    <t>Spalte15550</t>
  </si>
  <si>
    <t>Spalte15551</t>
  </si>
  <si>
    <t>Spalte15552</t>
  </si>
  <si>
    <t>Spalte15553</t>
  </si>
  <si>
    <t>Spalte15554</t>
  </si>
  <si>
    <t>Spalte15555</t>
  </si>
  <si>
    <t>Spalte15556</t>
  </si>
  <si>
    <t>Spalte15557</t>
  </si>
  <si>
    <t>Spalte15558</t>
  </si>
  <si>
    <t>Spalte15559</t>
  </si>
  <si>
    <t>Spalte15560</t>
  </si>
  <si>
    <t>Spalte15561</t>
  </si>
  <si>
    <t>Spalte15562</t>
  </si>
  <si>
    <t>Spalte15563</t>
  </si>
  <si>
    <t>Spalte15564</t>
  </si>
  <si>
    <t>Spalte15565</t>
  </si>
  <si>
    <t>Spalte15566</t>
  </si>
  <si>
    <t>Spalte15567</t>
  </si>
  <si>
    <t>Spalte15568</t>
  </si>
  <si>
    <t>Spalte15569</t>
  </si>
  <si>
    <t>Spalte15570</t>
  </si>
  <si>
    <t>Spalte15571</t>
  </si>
  <si>
    <t>Spalte15572</t>
  </si>
  <si>
    <t>Spalte15573</t>
  </si>
  <si>
    <t>Spalte15574</t>
  </si>
  <si>
    <t>Spalte15575</t>
  </si>
  <si>
    <t>Spalte15576</t>
  </si>
  <si>
    <t>Spalte15577</t>
  </si>
  <si>
    <t>Spalte15578</t>
  </si>
  <si>
    <t>Spalte15579</t>
  </si>
  <si>
    <t>Spalte15580</t>
  </si>
  <si>
    <t>Spalte15581</t>
  </si>
  <si>
    <t>Spalte15582</t>
  </si>
  <si>
    <t>Spalte15583</t>
  </si>
  <si>
    <t>Spalte15584</t>
  </si>
  <si>
    <t>Spalte15585</t>
  </si>
  <si>
    <t>Spalte15586</t>
  </si>
  <si>
    <t>Spalte15587</t>
  </si>
  <si>
    <t>Spalte15588</t>
  </si>
  <si>
    <t>Spalte15589</t>
  </si>
  <si>
    <t>Spalte15590</t>
  </si>
  <si>
    <t>Spalte15591</t>
  </si>
  <si>
    <t>Spalte15592</t>
  </si>
  <si>
    <t>Spalte15593</t>
  </si>
  <si>
    <t>Spalte15594</t>
  </si>
  <si>
    <t>Spalte15595</t>
  </si>
  <si>
    <t>Spalte15596</t>
  </si>
  <si>
    <t>Spalte15597</t>
  </si>
  <si>
    <t>Spalte15598</t>
  </si>
  <si>
    <t>Spalte15599</t>
  </si>
  <si>
    <t>Spalte15600</t>
  </si>
  <si>
    <t>Spalte15601</t>
  </si>
  <si>
    <t>Spalte15602</t>
  </si>
  <si>
    <t>Spalte15603</t>
  </si>
  <si>
    <t>Spalte15604</t>
  </si>
  <si>
    <t>Spalte15605</t>
  </si>
  <si>
    <t>Spalte15606</t>
  </si>
  <si>
    <t>Spalte15607</t>
  </si>
  <si>
    <t>Spalte15608</t>
  </si>
  <si>
    <t>Spalte15609</t>
  </si>
  <si>
    <t>Spalte15610</t>
  </si>
  <si>
    <t>Spalte15611</t>
  </si>
  <si>
    <t>Spalte15612</t>
  </si>
  <si>
    <t>Spalte15613</t>
  </si>
  <si>
    <t>Spalte15614</t>
  </si>
  <si>
    <t>Spalte15615</t>
  </si>
  <si>
    <t>Spalte15616</t>
  </si>
  <si>
    <t>Spalte15617</t>
  </si>
  <si>
    <t>Spalte15618</t>
  </si>
  <si>
    <t>Spalte15619</t>
  </si>
  <si>
    <t>Spalte15620</t>
  </si>
  <si>
    <t>Spalte15621</t>
  </si>
  <si>
    <t>Spalte15622</t>
  </si>
  <si>
    <t>Spalte15623</t>
  </si>
  <si>
    <t>Spalte15624</t>
  </si>
  <si>
    <t>Spalte15625</t>
  </si>
  <si>
    <t>Spalte15626</t>
  </si>
  <si>
    <t>Spalte15627</t>
  </si>
  <si>
    <t>Spalte15628</t>
  </si>
  <si>
    <t>Spalte15629</t>
  </si>
  <si>
    <t>Spalte15630</t>
  </si>
  <si>
    <t>Spalte15631</t>
  </si>
  <si>
    <t>Spalte15632</t>
  </si>
  <si>
    <t>Spalte15633</t>
  </si>
  <si>
    <t>Spalte15634</t>
  </si>
  <si>
    <t>Spalte15635</t>
  </si>
  <si>
    <t>Spalte15636</t>
  </si>
  <si>
    <t>Spalte15637</t>
  </si>
  <si>
    <t>Spalte15638</t>
  </si>
  <si>
    <t>Spalte15639</t>
  </si>
  <si>
    <t>Spalte15640</t>
  </si>
  <si>
    <t>Spalte15641</t>
  </si>
  <si>
    <t>Spalte15642</t>
  </si>
  <si>
    <t>Spalte15643</t>
  </si>
  <si>
    <t>Spalte15644</t>
  </si>
  <si>
    <t>Spalte15645</t>
  </si>
  <si>
    <t>Spalte15646</t>
  </si>
  <si>
    <t>Spalte15647</t>
  </si>
  <si>
    <t>Spalte15648</t>
  </si>
  <si>
    <t>Spalte15649</t>
  </si>
  <si>
    <t>Spalte15650</t>
  </si>
  <si>
    <t>Spalte15651</t>
  </si>
  <si>
    <t>Spalte15652</t>
  </si>
  <si>
    <t>Spalte15653</t>
  </si>
  <si>
    <t>Spalte15654</t>
  </si>
  <si>
    <t>Spalte15655</t>
  </si>
  <si>
    <t>Spalte15656</t>
  </si>
  <si>
    <t>Spalte15657</t>
  </si>
  <si>
    <t>Spalte15658</t>
  </si>
  <si>
    <t>Spalte15659</t>
  </si>
  <si>
    <t>Spalte15660</t>
  </si>
  <si>
    <t>Spalte15661</t>
  </si>
  <si>
    <t>Spalte15662</t>
  </si>
  <si>
    <t>Spalte15663</t>
  </si>
  <si>
    <t>Spalte15664</t>
  </si>
  <si>
    <t>Spalte15665</t>
  </si>
  <si>
    <t>Spalte15666</t>
  </si>
  <si>
    <t>Spalte15667</t>
  </si>
  <si>
    <t>Spalte15668</t>
  </si>
  <si>
    <t>Spalte15669</t>
  </si>
  <si>
    <t>Spalte15670</t>
  </si>
  <si>
    <t>Spalte15671</t>
  </si>
  <si>
    <t>Spalte15672</t>
  </si>
  <si>
    <t>Spalte15673</t>
  </si>
  <si>
    <t>Spalte15674</t>
  </si>
  <si>
    <t>Spalte15675</t>
  </si>
  <si>
    <t>Spalte15676</t>
  </si>
  <si>
    <t>Spalte15677</t>
  </si>
  <si>
    <t>Spalte15678</t>
  </si>
  <si>
    <t>Spalte15679</t>
  </si>
  <si>
    <t>Spalte15680</t>
  </si>
  <si>
    <t>Spalte15681</t>
  </si>
  <si>
    <t>Spalte15682</t>
  </si>
  <si>
    <t>Spalte15683</t>
  </si>
  <si>
    <t>Spalte15684</t>
  </si>
  <si>
    <t>Spalte15685</t>
  </si>
  <si>
    <t>Spalte15686</t>
  </si>
  <si>
    <t>Spalte15687</t>
  </si>
  <si>
    <t>Spalte15688</t>
  </si>
  <si>
    <t>Spalte15689</t>
  </si>
  <si>
    <t>Spalte15690</t>
  </si>
  <si>
    <t>Spalte15691</t>
  </si>
  <si>
    <t>Spalte15692</t>
  </si>
  <si>
    <t>Spalte15693</t>
  </si>
  <si>
    <t>Spalte15694</t>
  </si>
  <si>
    <t>Spalte15695</t>
  </si>
  <si>
    <t>Spalte15696</t>
  </si>
  <si>
    <t>Spalte15697</t>
  </si>
  <si>
    <t>Spalte15698</t>
  </si>
  <si>
    <t>Spalte15699</t>
  </si>
  <si>
    <t>Spalte15700</t>
  </si>
  <si>
    <t>Spalte15701</t>
  </si>
  <si>
    <t>Spalte15702</t>
  </si>
  <si>
    <t>Spalte15703</t>
  </si>
  <si>
    <t>Spalte15704</t>
  </si>
  <si>
    <t>Spalte15705</t>
  </si>
  <si>
    <t>Spalte15706</t>
  </si>
  <si>
    <t>Spalte15707</t>
  </si>
  <si>
    <t>Spalte15708</t>
  </si>
  <si>
    <t>Spalte15709</t>
  </si>
  <si>
    <t>Spalte15710</t>
  </si>
  <si>
    <t>Spalte15711</t>
  </si>
  <si>
    <t>Spalte15712</t>
  </si>
  <si>
    <t>Spalte15713</t>
  </si>
  <si>
    <t>Spalte15714</t>
  </si>
  <si>
    <t>Spalte15715</t>
  </si>
  <si>
    <t>Spalte15716</t>
  </si>
  <si>
    <t>Spalte15717</t>
  </si>
  <si>
    <t>Spalte15718</t>
  </si>
  <si>
    <t>Spalte15719</t>
  </si>
  <si>
    <t>Spalte15720</t>
  </si>
  <si>
    <t>Spalte15721</t>
  </si>
  <si>
    <t>Spalte15722</t>
  </si>
  <si>
    <t>Spalte15723</t>
  </si>
  <si>
    <t>Spalte15724</t>
  </si>
  <si>
    <t>Spalte15725</t>
  </si>
  <si>
    <t>Spalte15726</t>
  </si>
  <si>
    <t>Spalte15727</t>
  </si>
  <si>
    <t>Spalte15728</t>
  </si>
  <si>
    <t>Spalte15729</t>
  </si>
  <si>
    <t>Spalte15730</t>
  </si>
  <si>
    <t>Spalte15731</t>
  </si>
  <si>
    <t>Spalte15732</t>
  </si>
  <si>
    <t>Spalte15733</t>
  </si>
  <si>
    <t>Spalte15734</t>
  </si>
  <si>
    <t>Spalte15735</t>
  </si>
  <si>
    <t>Spalte15736</t>
  </si>
  <si>
    <t>Spalte15737</t>
  </si>
  <si>
    <t>Spalte15738</t>
  </si>
  <si>
    <t>Spalte15739</t>
  </si>
  <si>
    <t>Spalte15740</t>
  </si>
  <si>
    <t>Spalte15741</t>
  </si>
  <si>
    <t>Spalte15742</t>
  </si>
  <si>
    <t>Spalte15743</t>
  </si>
  <si>
    <t>Spalte15744</t>
  </si>
  <si>
    <t>Spalte15745</t>
  </si>
  <si>
    <t>Spalte15746</t>
  </si>
  <si>
    <t>Spalte15747</t>
  </si>
  <si>
    <t>Spalte15748</t>
  </si>
  <si>
    <t>Spalte15749</t>
  </si>
  <si>
    <t>Spalte15750</t>
  </si>
  <si>
    <t>Spalte15751</t>
  </si>
  <si>
    <t>Spalte15752</t>
  </si>
  <si>
    <t>Spalte15753</t>
  </si>
  <si>
    <t>Spalte15754</t>
  </si>
  <si>
    <t>Spalte15755</t>
  </si>
  <si>
    <t>Spalte15756</t>
  </si>
  <si>
    <t>Spalte15757</t>
  </si>
  <si>
    <t>Spalte15758</t>
  </si>
  <si>
    <t>Spalte15759</t>
  </si>
  <si>
    <t>Spalte15760</t>
  </si>
  <si>
    <t>Spalte15761</t>
  </si>
  <si>
    <t>Spalte15762</t>
  </si>
  <si>
    <t>Spalte15763</t>
  </si>
  <si>
    <t>Spalte15764</t>
  </si>
  <si>
    <t>Spalte15765</t>
  </si>
  <si>
    <t>Spalte15766</t>
  </si>
  <si>
    <t>Spalte15767</t>
  </si>
  <si>
    <t>Spalte15768</t>
  </si>
  <si>
    <t>Spalte15769</t>
  </si>
  <si>
    <t>Spalte15770</t>
  </si>
  <si>
    <t>Spalte15771</t>
  </si>
  <si>
    <t>Spalte15772</t>
  </si>
  <si>
    <t>Spalte15773</t>
  </si>
  <si>
    <t>Spalte15774</t>
  </si>
  <si>
    <t>Spalte15775</t>
  </si>
  <si>
    <t>Spalte15776</t>
  </si>
  <si>
    <t>Spalte15777</t>
  </si>
  <si>
    <t>Spalte15778</t>
  </si>
  <si>
    <t>Spalte15779</t>
  </si>
  <si>
    <t>Spalte15780</t>
  </si>
  <si>
    <t>Spalte15781</t>
  </si>
  <si>
    <t>Spalte15782</t>
  </si>
  <si>
    <t>Spalte15783</t>
  </si>
  <si>
    <t>Spalte15784</t>
  </si>
  <si>
    <t>Spalte15785</t>
  </si>
  <si>
    <t>Spalte15786</t>
  </si>
  <si>
    <t>Spalte15787</t>
  </si>
  <si>
    <t>Spalte15788</t>
  </si>
  <si>
    <t>Spalte15789</t>
  </si>
  <si>
    <t>Spalte15790</t>
  </si>
  <si>
    <t>Spalte15791</t>
  </si>
  <si>
    <t>Spalte15792</t>
  </si>
  <si>
    <t>Spalte15793</t>
  </si>
  <si>
    <t>Spalte15794</t>
  </si>
  <si>
    <t>Spalte15795</t>
  </si>
  <si>
    <t>Spalte15796</t>
  </si>
  <si>
    <t>Spalte15797</t>
  </si>
  <si>
    <t>Spalte15798</t>
  </si>
  <si>
    <t>Spalte15799</t>
  </si>
  <si>
    <t>Spalte15800</t>
  </si>
  <si>
    <t>Spalte15801</t>
  </si>
  <si>
    <t>Spalte15802</t>
  </si>
  <si>
    <t>Spalte15803</t>
  </si>
  <si>
    <t>Spalte15804</t>
  </si>
  <si>
    <t>Spalte15805</t>
  </si>
  <si>
    <t>Spalte15806</t>
  </si>
  <si>
    <t>Spalte15807</t>
  </si>
  <si>
    <t>Spalte15808</t>
  </si>
  <si>
    <t>Spalte15809</t>
  </si>
  <si>
    <t>Spalte15810</t>
  </si>
  <si>
    <t>Spalte15811</t>
  </si>
  <si>
    <t>Spalte15812</t>
  </si>
  <si>
    <t>Spalte15813</t>
  </si>
  <si>
    <t>Spalte15814</t>
  </si>
  <si>
    <t>Spalte15815</t>
  </si>
  <si>
    <t>Spalte15816</t>
  </si>
  <si>
    <t>Spalte15817</t>
  </si>
  <si>
    <t>Spalte15818</t>
  </si>
  <si>
    <t>Spalte15819</t>
  </si>
  <si>
    <t>Spalte15820</t>
  </si>
  <si>
    <t>Spalte15821</t>
  </si>
  <si>
    <t>Spalte15822</t>
  </si>
  <si>
    <t>Spalte15823</t>
  </si>
  <si>
    <t>Spalte15824</t>
  </si>
  <si>
    <t>Spalte15825</t>
  </si>
  <si>
    <t>Spalte15826</t>
  </si>
  <si>
    <t>Spalte15827</t>
  </si>
  <si>
    <t>Spalte15828</t>
  </si>
  <si>
    <t>Spalte15829</t>
  </si>
  <si>
    <t>Spalte15830</t>
  </si>
  <si>
    <t>Spalte15831</t>
  </si>
  <si>
    <t>Spalte15832</t>
  </si>
  <si>
    <t>Spalte15833</t>
  </si>
  <si>
    <t>Spalte15834</t>
  </si>
  <si>
    <t>Spalte15835</t>
  </si>
  <si>
    <t>Spalte15836</t>
  </si>
  <si>
    <t>Spalte15837</t>
  </si>
  <si>
    <t>Spalte15838</t>
  </si>
  <si>
    <t>Spalte15839</t>
  </si>
  <si>
    <t>Spalte15840</t>
  </si>
  <si>
    <t>Spalte15841</t>
  </si>
  <si>
    <t>Spalte15842</t>
  </si>
  <si>
    <t>Spalte15843</t>
  </si>
  <si>
    <t>Spalte15844</t>
  </si>
  <si>
    <t>Spalte15845</t>
  </si>
  <si>
    <t>Spalte15846</t>
  </si>
  <si>
    <t>Spalte15847</t>
  </si>
  <si>
    <t>Spalte15848</t>
  </si>
  <si>
    <t>Spalte15849</t>
  </si>
  <si>
    <t>Spalte15850</t>
  </si>
  <si>
    <t>Spalte15851</t>
  </si>
  <si>
    <t>Spalte15852</t>
  </si>
  <si>
    <t>Spalte15853</t>
  </si>
  <si>
    <t>Spalte15854</t>
  </si>
  <si>
    <t>Spalte15855</t>
  </si>
  <si>
    <t>Spalte15856</t>
  </si>
  <si>
    <t>Spalte15857</t>
  </si>
  <si>
    <t>Spalte15858</t>
  </si>
  <si>
    <t>Spalte15859</t>
  </si>
  <si>
    <t>Spalte15860</t>
  </si>
  <si>
    <t>Spalte15861</t>
  </si>
  <si>
    <t>Spalte15862</t>
  </si>
  <si>
    <t>Spalte15863</t>
  </si>
  <si>
    <t>Spalte15864</t>
  </si>
  <si>
    <t>Spalte15865</t>
  </si>
  <si>
    <t>Spalte15866</t>
  </si>
  <si>
    <t>Spalte15867</t>
  </si>
  <si>
    <t>Spalte15868</t>
  </si>
  <si>
    <t>Spalte15869</t>
  </si>
  <si>
    <t>Spalte15870</t>
  </si>
  <si>
    <t>Spalte15871</t>
  </si>
  <si>
    <t>Spalte15872</t>
  </si>
  <si>
    <t>Spalte15873</t>
  </si>
  <si>
    <t>Spalte15874</t>
  </si>
  <si>
    <t>Spalte15875</t>
  </si>
  <si>
    <t>Spalte15876</t>
  </si>
  <si>
    <t>Spalte15877</t>
  </si>
  <si>
    <t>Spalte15878</t>
  </si>
  <si>
    <t>Spalte15879</t>
  </si>
  <si>
    <t>Spalte15880</t>
  </si>
  <si>
    <t>Spalte15881</t>
  </si>
  <si>
    <t>Spalte15882</t>
  </si>
  <si>
    <t>Spalte15883</t>
  </si>
  <si>
    <t>Spalte15884</t>
  </si>
  <si>
    <t>Spalte15885</t>
  </si>
  <si>
    <t>Spalte15886</t>
  </si>
  <si>
    <t>Spalte15887</t>
  </si>
  <si>
    <t>Spalte15888</t>
  </si>
  <si>
    <t>Spalte15889</t>
  </si>
  <si>
    <t>Spalte15890</t>
  </si>
  <si>
    <t>Spalte15891</t>
  </si>
  <si>
    <t>Spalte15892</t>
  </si>
  <si>
    <t>Spalte15893</t>
  </si>
  <si>
    <t>Spalte15894</t>
  </si>
  <si>
    <t>Spalte15895</t>
  </si>
  <si>
    <t>Spalte15896</t>
  </si>
  <si>
    <t>Spalte15897</t>
  </si>
  <si>
    <t>Spalte15898</t>
  </si>
  <si>
    <t>Spalte15899</t>
  </si>
  <si>
    <t>Spalte15900</t>
  </si>
  <si>
    <t>Spalte15901</t>
  </si>
  <si>
    <t>Spalte15902</t>
  </si>
  <si>
    <t>Spalte15903</t>
  </si>
  <si>
    <t>Spalte15904</t>
  </si>
  <si>
    <t>Spalte15905</t>
  </si>
  <si>
    <t>Spalte15906</t>
  </si>
  <si>
    <t>Spalte15907</t>
  </si>
  <si>
    <t>Spalte15908</t>
  </si>
  <si>
    <t>Spalte15909</t>
  </si>
  <si>
    <t>Spalte15910</t>
  </si>
  <si>
    <t>Spalte15911</t>
  </si>
  <si>
    <t>Spalte15912</t>
  </si>
  <si>
    <t>Spalte15913</t>
  </si>
  <si>
    <t>Spalte15914</t>
  </si>
  <si>
    <t>Spalte15915</t>
  </si>
  <si>
    <t>Spalte15916</t>
  </si>
  <si>
    <t>Spalte15917</t>
  </si>
  <si>
    <t>Spalte15918</t>
  </si>
  <si>
    <t>Spalte15919</t>
  </si>
  <si>
    <t>Spalte15920</t>
  </si>
  <si>
    <t>Spalte15921</t>
  </si>
  <si>
    <t>Spalte15922</t>
  </si>
  <si>
    <t>Spalte15923</t>
  </si>
  <si>
    <t>Spalte15924</t>
  </si>
  <si>
    <t>Spalte15925</t>
  </si>
  <si>
    <t>Spalte15926</t>
  </si>
  <si>
    <t>Spalte15927</t>
  </si>
  <si>
    <t>Spalte15928</t>
  </si>
  <si>
    <t>Spalte15929</t>
  </si>
  <si>
    <t>Spalte15930</t>
  </si>
  <si>
    <t>Spalte15931</t>
  </si>
  <si>
    <t>Spalte15932</t>
  </si>
  <si>
    <t>Spalte15933</t>
  </si>
  <si>
    <t>Spalte15934</t>
  </si>
  <si>
    <t>Spalte15935</t>
  </si>
  <si>
    <t>Spalte15936</t>
  </si>
  <si>
    <t>Spalte15937</t>
  </si>
  <si>
    <t>Spalte15938</t>
  </si>
  <si>
    <t>Spalte15939</t>
  </si>
  <si>
    <t>Spalte15940</t>
  </si>
  <si>
    <t>Spalte15941</t>
  </si>
  <si>
    <t>Spalte15942</t>
  </si>
  <si>
    <t>Spalte15943</t>
  </si>
  <si>
    <t>Spalte15944</t>
  </si>
  <si>
    <t>Spalte15945</t>
  </si>
  <si>
    <t>Spalte15946</t>
  </si>
  <si>
    <t>Spalte15947</t>
  </si>
  <si>
    <t>Spalte15948</t>
  </si>
  <si>
    <t>Spalte15949</t>
  </si>
  <si>
    <t>Spalte15950</t>
  </si>
  <si>
    <t>Spalte15951</t>
  </si>
  <si>
    <t>Spalte15952</t>
  </si>
  <si>
    <t>Spalte15953</t>
  </si>
  <si>
    <t>Spalte15954</t>
  </si>
  <si>
    <t>Spalte15955</t>
  </si>
  <si>
    <t>Spalte15956</t>
  </si>
  <si>
    <t>Spalte15957</t>
  </si>
  <si>
    <t>Spalte15958</t>
  </si>
  <si>
    <t>Spalte15959</t>
  </si>
  <si>
    <t>Spalte15960</t>
  </si>
  <si>
    <t>Spalte15961</t>
  </si>
  <si>
    <t>Spalte15962</t>
  </si>
  <si>
    <t>Spalte15963</t>
  </si>
  <si>
    <t>Spalte15964</t>
  </si>
  <si>
    <t>Spalte15965</t>
  </si>
  <si>
    <t>Spalte15966</t>
  </si>
  <si>
    <t>Spalte15967</t>
  </si>
  <si>
    <t>Spalte15968</t>
  </si>
  <si>
    <t>Spalte15969</t>
  </si>
  <si>
    <t>Spalte15970</t>
  </si>
  <si>
    <t>Spalte15971</t>
  </si>
  <si>
    <t>Spalte15972</t>
  </si>
  <si>
    <t>Spalte15973</t>
  </si>
  <si>
    <t>Spalte15974</t>
  </si>
  <si>
    <t>Spalte15975</t>
  </si>
  <si>
    <t>Spalte15976</t>
  </si>
  <si>
    <t>Spalte15977</t>
  </si>
  <si>
    <t>Spalte15978</t>
  </si>
  <si>
    <t>Spalte15979</t>
  </si>
  <si>
    <t>Spalte15980</t>
  </si>
  <si>
    <t>Spalte15981</t>
  </si>
  <si>
    <t>Spalte15982</t>
  </si>
  <si>
    <t>Spalte15983</t>
  </si>
  <si>
    <t>Spalte15984</t>
  </si>
  <si>
    <t>Spalte15985</t>
  </si>
  <si>
    <t>Spalte15986</t>
  </si>
  <si>
    <t>Spalte15987</t>
  </si>
  <si>
    <t>Spalte15988</t>
  </si>
  <si>
    <t>Spalte15989</t>
  </si>
  <si>
    <t>Spalte15990</t>
  </si>
  <si>
    <t>Spalte15991</t>
  </si>
  <si>
    <t>Spalte15992</t>
  </si>
  <si>
    <t>Spalte15993</t>
  </si>
  <si>
    <t>Spalte15994</t>
  </si>
  <si>
    <t>Spalte15995</t>
  </si>
  <si>
    <t>Spalte15996</t>
  </si>
  <si>
    <t>Spalte15997</t>
  </si>
  <si>
    <t>Spalte15998</t>
  </si>
  <si>
    <t>Spalte15999</t>
  </si>
  <si>
    <t>Spalte16000</t>
  </si>
  <si>
    <t>Spalte16001</t>
  </si>
  <si>
    <t>Spalte16002</t>
  </si>
  <si>
    <t>Spalte16003</t>
  </si>
  <si>
    <t>Spalte16004</t>
  </si>
  <si>
    <t>Spalte16005</t>
  </si>
  <si>
    <t>Spalte16006</t>
  </si>
  <si>
    <t>Spalte16007</t>
  </si>
  <si>
    <t>Spalte16008</t>
  </si>
  <si>
    <t>Spalte16009</t>
  </si>
  <si>
    <t>Spalte16010</t>
  </si>
  <si>
    <t>Spalte16011</t>
  </si>
  <si>
    <t>Spalte16012</t>
  </si>
  <si>
    <t>Spalte16013</t>
  </si>
  <si>
    <t>Spalte16014</t>
  </si>
  <si>
    <t>Spalte16015</t>
  </si>
  <si>
    <t>Spalte16016</t>
  </si>
  <si>
    <t>Spalte16017</t>
  </si>
  <si>
    <t>Spalte16018</t>
  </si>
  <si>
    <t>Spalte16019</t>
  </si>
  <si>
    <t>Spalte16020</t>
  </si>
  <si>
    <t>Spalte16021</t>
  </si>
  <si>
    <t>Spalte16022</t>
  </si>
  <si>
    <t>Spalte16023</t>
  </si>
  <si>
    <t>Spalte16024</t>
  </si>
  <si>
    <t>Spalte16025</t>
  </si>
  <si>
    <t>Spalte16026</t>
  </si>
  <si>
    <t>Spalte16027</t>
  </si>
  <si>
    <t>Spalte16028</t>
  </si>
  <si>
    <t>Spalte16029</t>
  </si>
  <si>
    <t>Spalte16030</t>
  </si>
  <si>
    <t>Spalte16031</t>
  </si>
  <si>
    <t>Spalte16032</t>
  </si>
  <si>
    <t>Spalte16033</t>
  </si>
  <si>
    <t>Spalte16034</t>
  </si>
  <si>
    <t>Spalte16035</t>
  </si>
  <si>
    <t>Spalte16036</t>
  </si>
  <si>
    <t>Spalte16037</t>
  </si>
  <si>
    <t>Spalte16038</t>
  </si>
  <si>
    <t>Spalte16039</t>
  </si>
  <si>
    <t>Spalte16040</t>
  </si>
  <si>
    <t>Spalte16041</t>
  </si>
  <si>
    <t>Spalte16042</t>
  </si>
  <si>
    <t>Spalte16043</t>
  </si>
  <si>
    <t>Spalte16044</t>
  </si>
  <si>
    <t>Spalte16045</t>
  </si>
  <si>
    <t>Spalte16046</t>
  </si>
  <si>
    <t>Spalte16047</t>
  </si>
  <si>
    <t>Spalte16048</t>
  </si>
  <si>
    <t>Spalte16049</t>
  </si>
  <si>
    <t>Spalte16050</t>
  </si>
  <si>
    <t>Spalte16051</t>
  </si>
  <si>
    <t>Spalte16052</t>
  </si>
  <si>
    <t>Spalte16053</t>
  </si>
  <si>
    <t>Spalte16054</t>
  </si>
  <si>
    <t>Spalte16055</t>
  </si>
  <si>
    <t>Spalte16056</t>
  </si>
  <si>
    <t>Spalte16057</t>
  </si>
  <si>
    <t>Spalte16058</t>
  </si>
  <si>
    <t>Spalte16059</t>
  </si>
  <si>
    <t>Spalte16060</t>
  </si>
  <si>
    <t>Spalte16061</t>
  </si>
  <si>
    <t>Spalte16062</t>
  </si>
  <si>
    <t>Spalte16063</t>
  </si>
  <si>
    <t>Spalte16064</t>
  </si>
  <si>
    <t>Spalte16065</t>
  </si>
  <si>
    <t>Spalte16066</t>
  </si>
  <si>
    <t>Spalte16067</t>
  </si>
  <si>
    <t>Spalte16068</t>
  </si>
  <si>
    <t>Spalte16069</t>
  </si>
  <si>
    <t>Spalte16070</t>
  </si>
  <si>
    <t>Spalte16071</t>
  </si>
  <si>
    <t>Spalte16072</t>
  </si>
  <si>
    <t>Spalte16073</t>
  </si>
  <si>
    <t>Spalte16074</t>
  </si>
  <si>
    <t>Spalte16075</t>
  </si>
  <si>
    <t>Spalte16076</t>
  </si>
  <si>
    <t>Spalte16077</t>
  </si>
  <si>
    <t>Spalte16078</t>
  </si>
  <si>
    <t>Spalte16079</t>
  </si>
  <si>
    <t>Spalte16080</t>
  </si>
  <si>
    <t>Spalte16081</t>
  </si>
  <si>
    <t>Spalte16082</t>
  </si>
  <si>
    <t>Spalte16083</t>
  </si>
  <si>
    <t>Spalte16084</t>
  </si>
  <si>
    <t>Spalte16085</t>
  </si>
  <si>
    <t>Spalte16086</t>
  </si>
  <si>
    <t>Spalte16087</t>
  </si>
  <si>
    <t>Spalte16088</t>
  </si>
  <si>
    <t>Spalte16089</t>
  </si>
  <si>
    <t>Spalte16090</t>
  </si>
  <si>
    <t>Spalte16091</t>
  </si>
  <si>
    <t>Spalte16092</t>
  </si>
  <si>
    <t>Spalte16093</t>
  </si>
  <si>
    <t>Spalte16094</t>
  </si>
  <si>
    <t>Spalte16095</t>
  </si>
  <si>
    <t>Spalte16096</t>
  </si>
  <si>
    <t>Spalte16097</t>
  </si>
  <si>
    <t>Spalte16098</t>
  </si>
  <si>
    <t>Spalte16099</t>
  </si>
  <si>
    <t>Spalte16100</t>
  </si>
  <si>
    <t>Spalte16101</t>
  </si>
  <si>
    <t>Spalte16102</t>
  </si>
  <si>
    <t>Spalte16103</t>
  </si>
  <si>
    <t>Spalte16104</t>
  </si>
  <si>
    <t>Spalte16105</t>
  </si>
  <si>
    <t>Spalte16106</t>
  </si>
  <si>
    <t>Spalte16107</t>
  </si>
  <si>
    <t>Spalte16108</t>
  </si>
  <si>
    <t>Spalte16109</t>
  </si>
  <si>
    <t>Spalte16110</t>
  </si>
  <si>
    <t>Spalte16111</t>
  </si>
  <si>
    <t>Spalte16112</t>
  </si>
  <si>
    <t>Spalte16113</t>
  </si>
  <si>
    <t>Spalte16114</t>
  </si>
  <si>
    <t>Spalte16115</t>
  </si>
  <si>
    <t>Spalte16116</t>
  </si>
  <si>
    <t>Spalte16117</t>
  </si>
  <si>
    <t>Spalte16118</t>
  </si>
  <si>
    <t>Spalte16119</t>
  </si>
  <si>
    <t>Spalte16120</t>
  </si>
  <si>
    <t>Spalte16121</t>
  </si>
  <si>
    <t>Spalte16122</t>
  </si>
  <si>
    <t>Spalte16123</t>
  </si>
  <si>
    <t>Spalte16124</t>
  </si>
  <si>
    <t>Spalte16125</t>
  </si>
  <si>
    <t>Spalte16126</t>
  </si>
  <si>
    <t>Spalte16127</t>
  </si>
  <si>
    <t>Spalte16128</t>
  </si>
  <si>
    <t>Spalte16129</t>
  </si>
  <si>
    <t>Spalte16130</t>
  </si>
  <si>
    <t>Spalte16131</t>
  </si>
  <si>
    <t>Spalte16132</t>
  </si>
  <si>
    <t>Spalte16133</t>
  </si>
  <si>
    <t>Spalte16134</t>
  </si>
  <si>
    <t>Spalte16135</t>
  </si>
  <si>
    <t>Spalte16136</t>
  </si>
  <si>
    <t>Spalte16137</t>
  </si>
  <si>
    <t>Spalte16138</t>
  </si>
  <si>
    <t>Spalte16139</t>
  </si>
  <si>
    <t>Spalte16140</t>
  </si>
  <si>
    <t>Spalte16141</t>
  </si>
  <si>
    <t>Spalte16142</t>
  </si>
  <si>
    <t>Spalte16143</t>
  </si>
  <si>
    <t>Spalte16144</t>
  </si>
  <si>
    <t>Spalte16145</t>
  </si>
  <si>
    <t>Spalte16146</t>
  </si>
  <si>
    <t>Spalte16147</t>
  </si>
  <si>
    <t>Spalte16148</t>
  </si>
  <si>
    <t>Spalte16149</t>
  </si>
  <si>
    <t>Spalte16150</t>
  </si>
  <si>
    <t>Spalte16151</t>
  </si>
  <si>
    <t>Spalte16152</t>
  </si>
  <si>
    <t>Spalte16153</t>
  </si>
  <si>
    <t>Spalte16154</t>
  </si>
  <si>
    <t>Spalte16155</t>
  </si>
  <si>
    <t>Spalte16156</t>
  </si>
  <si>
    <t>Spalte16157</t>
  </si>
  <si>
    <t>Spalte16158</t>
  </si>
  <si>
    <t>Spalte16159</t>
  </si>
  <si>
    <t>Spalte16160</t>
  </si>
  <si>
    <t>Spalte16161</t>
  </si>
  <si>
    <t>Spalte16162</t>
  </si>
  <si>
    <t>Spalte16163</t>
  </si>
  <si>
    <t>Spalte16164</t>
  </si>
  <si>
    <t>Spalte16165</t>
  </si>
  <si>
    <t>Spalte16166</t>
  </si>
  <si>
    <t>Spalte16167</t>
  </si>
  <si>
    <t>Spalte16168</t>
  </si>
  <si>
    <t>Spalte16169</t>
  </si>
  <si>
    <t>Spalte16170</t>
  </si>
  <si>
    <t>Spalte16171</t>
  </si>
  <si>
    <t>Spalte16172</t>
  </si>
  <si>
    <t>Spalte16173</t>
  </si>
  <si>
    <t>Spalte16174</t>
  </si>
  <si>
    <t>Spalte16175</t>
  </si>
  <si>
    <t>Spalte16176</t>
  </si>
  <si>
    <t>Spalte16177</t>
  </si>
  <si>
    <t>Spalte16178</t>
  </si>
  <si>
    <t>Spalte16179</t>
  </si>
  <si>
    <t>Spalte16180</t>
  </si>
  <si>
    <t>Spalte16181</t>
  </si>
  <si>
    <t>Spalte16182</t>
  </si>
  <si>
    <t>Spalte16183</t>
  </si>
  <si>
    <t>Spalte16184</t>
  </si>
  <si>
    <t>Spalte16185</t>
  </si>
  <si>
    <t>Spalte16186</t>
  </si>
  <si>
    <t>Spalte16187</t>
  </si>
  <si>
    <t>Spalte16188</t>
  </si>
  <si>
    <t>Spalte16189</t>
  </si>
  <si>
    <t>Spalte16190</t>
  </si>
  <si>
    <t>Spalte16191</t>
  </si>
  <si>
    <t>Spalte16192</t>
  </si>
  <si>
    <t>Spalte16193</t>
  </si>
  <si>
    <t>Spalte16194</t>
  </si>
  <si>
    <t>Spalte16195</t>
  </si>
  <si>
    <t>Spalte16196</t>
  </si>
  <si>
    <t>Spalte16197</t>
  </si>
  <si>
    <t>Spalte16198</t>
  </si>
  <si>
    <t>Spalte16199</t>
  </si>
  <si>
    <t>Spalte16200</t>
  </si>
  <si>
    <t>Spalte16201</t>
  </si>
  <si>
    <t>Spalte16202</t>
  </si>
  <si>
    <t>Spalte16203</t>
  </si>
  <si>
    <t>Spalte16204</t>
  </si>
  <si>
    <t>Spalte16205</t>
  </si>
  <si>
    <t>Spalte16206</t>
  </si>
  <si>
    <t>Spalte16207</t>
  </si>
  <si>
    <t>Spalte16208</t>
  </si>
  <si>
    <t>Spalte16209</t>
  </si>
  <si>
    <t>Spalte16210</t>
  </si>
  <si>
    <t>Spalte16211</t>
  </si>
  <si>
    <t>Spalte16212</t>
  </si>
  <si>
    <t>Spalte16213</t>
  </si>
  <si>
    <t>Spalte16214</t>
  </si>
  <si>
    <t>Spalte16215</t>
  </si>
  <si>
    <t>Spalte16216</t>
  </si>
  <si>
    <t>Spalte16217</t>
  </si>
  <si>
    <t>Spalte16218</t>
  </si>
  <si>
    <t>Spalte16219</t>
  </si>
  <si>
    <t>Spalte16220</t>
  </si>
  <si>
    <t>Spalte16221</t>
  </si>
  <si>
    <t>Spalte16222</t>
  </si>
  <si>
    <t>Spalte16223</t>
  </si>
  <si>
    <t>Spalte16224</t>
  </si>
  <si>
    <t>Spalte16225</t>
  </si>
  <si>
    <t>Spalte16226</t>
  </si>
  <si>
    <t>Spalte16227</t>
  </si>
  <si>
    <t>Spalte16228</t>
  </si>
  <si>
    <t>Spalte16229</t>
  </si>
  <si>
    <t>Spalte16230</t>
  </si>
  <si>
    <t>Spalte16231</t>
  </si>
  <si>
    <t>Spalte16232</t>
  </si>
  <si>
    <t>Spalte16233</t>
  </si>
  <si>
    <t>Spalte16234</t>
  </si>
  <si>
    <t>Spalte16235</t>
  </si>
  <si>
    <t>Spalte16236</t>
  </si>
  <si>
    <t>Spalte16237</t>
  </si>
  <si>
    <t>Spalte16238</t>
  </si>
  <si>
    <t>Spalte16239</t>
  </si>
  <si>
    <t>Spalte16240</t>
  </si>
  <si>
    <t>Spalte16241</t>
  </si>
  <si>
    <t>Spalte16242</t>
  </si>
  <si>
    <t>Spalte16243</t>
  </si>
  <si>
    <t>Spalte16244</t>
  </si>
  <si>
    <t>Spalte16245</t>
  </si>
  <si>
    <t>Spalte16246</t>
  </si>
  <si>
    <t>Spalte16247</t>
  </si>
  <si>
    <t>Spalte16248</t>
  </si>
  <si>
    <t>Spalte16249</t>
  </si>
  <si>
    <t>Spalte16250</t>
  </si>
  <si>
    <t>Spalte16251</t>
  </si>
  <si>
    <t>Spalte16252</t>
  </si>
  <si>
    <t>Spalte16253</t>
  </si>
  <si>
    <t>Spalte16254</t>
  </si>
  <si>
    <t>Spalte16255</t>
  </si>
  <si>
    <t>Spalte16256</t>
  </si>
  <si>
    <t>Spalte16257</t>
  </si>
  <si>
    <t>Spalte16258</t>
  </si>
  <si>
    <t>Spalte16259</t>
  </si>
  <si>
    <t>Spalte16260</t>
  </si>
  <si>
    <t>Spalte16261</t>
  </si>
  <si>
    <t>Spalte16262</t>
  </si>
  <si>
    <t>Spalte16263</t>
  </si>
  <si>
    <t>Spalte16264</t>
  </si>
  <si>
    <t>Spalte16265</t>
  </si>
  <si>
    <t>Spalte16266</t>
  </si>
  <si>
    <t>Spalte16267</t>
  </si>
  <si>
    <t>Spalte16268</t>
  </si>
  <si>
    <t>Spalte16269</t>
  </si>
  <si>
    <t>Spalte16270</t>
  </si>
  <si>
    <t>Spalte16271</t>
  </si>
  <si>
    <t>Spalte16272</t>
  </si>
  <si>
    <t>Spalte16273</t>
  </si>
  <si>
    <t>Spalte16274</t>
  </si>
  <si>
    <t>Spalte16275</t>
  </si>
  <si>
    <t>Spalte16276</t>
  </si>
  <si>
    <t>Spalte16277</t>
  </si>
  <si>
    <t>Spalte16278</t>
  </si>
  <si>
    <t>Spalte16279</t>
  </si>
  <si>
    <t>Spalte16280</t>
  </si>
  <si>
    <t>Spalte16281</t>
  </si>
  <si>
    <t>Spalte16282</t>
  </si>
  <si>
    <t>Spalte16283</t>
  </si>
  <si>
    <t>Spalte16284</t>
  </si>
  <si>
    <t>Spalte16285</t>
  </si>
  <si>
    <t>Spalte16286</t>
  </si>
  <si>
    <t>Spalte16287</t>
  </si>
  <si>
    <t>Spalte16288</t>
  </si>
  <si>
    <t>Spalte16289</t>
  </si>
  <si>
    <t>Spalte16290</t>
  </si>
  <si>
    <t>Spalte16291</t>
  </si>
  <si>
    <t>Spalte16292</t>
  </si>
  <si>
    <t>Spalte16293</t>
  </si>
  <si>
    <t>Spalte16294</t>
  </si>
  <si>
    <t>Spalte16295</t>
  </si>
  <si>
    <t>Spalte16296</t>
  </si>
  <si>
    <t>Spalte16297</t>
  </si>
  <si>
    <t>Spalte16298</t>
  </si>
  <si>
    <t>Spalte16299</t>
  </si>
  <si>
    <t>Spalte16300</t>
  </si>
  <si>
    <t>Spalte16301</t>
  </si>
  <si>
    <t>Spalte16302</t>
  </si>
  <si>
    <t>Spalte16303</t>
  </si>
  <si>
    <t>Spalte16304</t>
  </si>
  <si>
    <t>Spalte16305</t>
  </si>
  <si>
    <t>Spalte16306</t>
  </si>
  <si>
    <t>Spalte16307</t>
  </si>
  <si>
    <t>Spalte16308</t>
  </si>
  <si>
    <t>Spalte16309</t>
  </si>
  <si>
    <t>Spalte16310</t>
  </si>
  <si>
    <t>Spalte16311</t>
  </si>
  <si>
    <t>Spalte16312</t>
  </si>
  <si>
    <t>Spalte16313</t>
  </si>
  <si>
    <t>Spalte16314</t>
  </si>
  <si>
    <t>Spalte16315</t>
  </si>
  <si>
    <t>Spalte16316</t>
  </si>
  <si>
    <t>Spalte16317</t>
  </si>
  <si>
    <t>Spalte16318</t>
  </si>
  <si>
    <t>Spalte16319</t>
  </si>
  <si>
    <t>Spalte16320</t>
  </si>
  <si>
    <t>Spalte16321</t>
  </si>
  <si>
    <t>Spalte16322</t>
  </si>
  <si>
    <t>Spalte16323</t>
  </si>
  <si>
    <t>Spalte16324</t>
  </si>
  <si>
    <t>Spalte16325</t>
  </si>
  <si>
    <t>Spalte16326</t>
  </si>
  <si>
    <t>Spalte16327</t>
  </si>
  <si>
    <t>Spalte16328</t>
  </si>
  <si>
    <t>Spalte16329</t>
  </si>
  <si>
    <t>Spalte16330</t>
  </si>
  <si>
    <t>Spalte16331</t>
  </si>
  <si>
    <t>Spalte16332</t>
  </si>
  <si>
    <t>Spalte16333</t>
  </si>
  <si>
    <t>Spalte16334</t>
  </si>
  <si>
    <t>Spalte16335</t>
  </si>
  <si>
    <t>Spalte16336</t>
  </si>
  <si>
    <t>Spalte16337</t>
  </si>
  <si>
    <t>Spalte16338</t>
  </si>
  <si>
    <t>Spalte16339</t>
  </si>
  <si>
    <t>Spalte16340</t>
  </si>
  <si>
    <t>Spalte16341</t>
  </si>
  <si>
    <t>Spalte16342</t>
  </si>
  <si>
    <t>Spalte16343</t>
  </si>
  <si>
    <t>Spalte16344</t>
  </si>
  <si>
    <t>Spalte16345</t>
  </si>
  <si>
    <t>Spalte16346</t>
  </si>
  <si>
    <t>Spalte16347</t>
  </si>
  <si>
    <t>Spalte16348</t>
  </si>
  <si>
    <t>Spalte16349</t>
  </si>
  <si>
    <t>Spalte16350</t>
  </si>
  <si>
    <t>Spalte16351</t>
  </si>
  <si>
    <t>Spalte16352</t>
  </si>
  <si>
    <t>Spalte16353</t>
  </si>
  <si>
    <t>Spalte16354</t>
  </si>
  <si>
    <t>Spalte16355</t>
  </si>
  <si>
    <t>Spalte16356</t>
  </si>
  <si>
    <t>Spalte16357</t>
  </si>
  <si>
    <t>Spalte16358</t>
  </si>
  <si>
    <t>Spalte16359</t>
  </si>
  <si>
    <t>Spalte16360</t>
  </si>
  <si>
    <t>Spalte16361</t>
  </si>
  <si>
    <t>Spalte16362</t>
  </si>
  <si>
    <t>Spalte16363</t>
  </si>
  <si>
    <t>Spalte16364</t>
  </si>
  <si>
    <t>Spalte16365</t>
  </si>
  <si>
    <t>Spalte16366</t>
  </si>
  <si>
    <t>Spalte16367</t>
  </si>
  <si>
    <t>Valentine's Series / Cascade, Parkfall, Ventnor</t>
  </si>
  <si>
    <t>AK-INT-2026-0007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</si>
</sst>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0.00\ &quot;€&quot;;[Red]\-#,##0.00\ &quot;€&quot;"/>
    <numFmt numFmtId="164" formatCode="#,##0.00\ \€"/>
    <numFmt numFmtId="165" formatCode="0.0%"/>
    <numFmt numFmtId="166" formatCode="0.00\ \€"/>
    <numFmt numFmtId="167" formatCode="#,##0.00\ [$€-407]"/>
  </numFmts>
  <fonts count="25" x14ac:knownFonts="1">
    <font>
      <sz val="11"/>
      <color theme="1"/>
      <name val="Calibri"/>
      <family val="2"/>
      <scheme val="minor"/>
    </font>
    <font>
      <sz val="10"/>
      <name val="Segoe UI"/>
    </font>
    <font>
      <sz val="8"/>
      <name val="Calibri"/>
      <family val="2"/>
      <scheme val="minor"/>
    </font>
    <font>
      <b/>
      <sz val="11"/>
      <color theme="1"/>
      <name val="Calibri"/>
      <family val="2"/>
      <scheme val="minor"/>
    </font>
    <font>
      <sz val="10"/>
      <color theme="1"/>
      <name val="Aptos"/>
    </font>
    <font>
      <b/>
      <sz val="10"/>
      <color rgb="FFFFFFFF"/>
      <name val="Aptos"/>
    </font>
    <font>
      <b/>
      <sz val="18"/>
      <color rgb="FFFFFFFF"/>
      <name val="Aptos"/>
    </font>
    <font>
      <i/>
      <sz val="10"/>
      <color rgb="FF5B6573"/>
      <name val="Aptos"/>
    </font>
    <font>
      <b/>
      <sz val="10"/>
      <color rgb="FF17365D"/>
      <name val="Aptos"/>
    </font>
    <font>
      <b/>
      <sz val="10"/>
      <color theme="1"/>
      <name val="Aptos"/>
    </font>
    <font>
      <b/>
      <sz val="13"/>
      <color theme="1"/>
      <name val="Aptos"/>
    </font>
    <font>
      <b/>
      <sz val="20"/>
      <color rgb="FFFFFFFF"/>
      <name val="Aptos"/>
    </font>
    <font>
      <b/>
      <sz val="16"/>
      <color rgb="FF17365D"/>
      <name val="Aptos"/>
    </font>
    <font>
      <b/>
      <sz val="12"/>
      <color rgb="FFFFFFFF"/>
      <name val="Aptos"/>
    </font>
    <font>
      <sz val="10"/>
      <name val="Segoe UI"/>
      <family val="2"/>
    </font>
    <font>
      <sz val="10"/>
      <color theme="1"/>
      <name val="Aptos"/>
      <family val="2"/>
    </font>
    <font>
      <i/>
      <sz val="10"/>
      <color rgb="FF334155"/>
      <name val="Aptos"/>
    </font>
    <font>
      <b/>
      <sz val="15"/>
      <color rgb="FF17365D"/>
      <name val="Aptos"/>
    </font>
    <font>
      <b/>
      <sz val="10"/>
      <color rgb="FF006100"/>
      <name val="Aptos"/>
    </font>
    <font>
      <b/>
      <sz val="10"/>
      <color rgb="FF9C0006"/>
      <name val="Aptos"/>
    </font>
    <font>
      <i/>
      <sz val="11"/>
      <color rgb="FF7F6000"/>
      <name val="Calibri"/>
      <family val="2"/>
      <scheme val="minor"/>
    </font>
    <font>
      <b/>
      <sz val="10"/>
      <color rgb="FF7F6000"/>
      <name val="Aptos"/>
    </font>
    <font>
      <sz val="10"/>
      <color rgb="FF7F6000"/>
      <name val="Aptos"/>
    </font>
    <font>
      <i/>
      <sz val="10"/>
      <color theme="1"/>
      <name val="Aptos"/>
    </font>
    <font>
      <b/>
      <sz val="14"/>
      <color theme="1"/>
      <name val="Aptos"/>
    </font>
  </fonts>
  <fills count="20">
    <fill>
      <patternFill patternType="none"/>
    </fill>
    <fill>
      <patternFill patternType="gray125"/>
    </fill>
    <fill>
      <patternFill patternType="solid">
        <fgColor theme="0"/>
        <bgColor indexed="64"/>
      </patternFill>
    </fill>
    <fill>
      <patternFill patternType="solid">
        <fgColor rgb="FF17365D"/>
        <bgColor indexed="64"/>
      </patternFill>
    </fill>
    <fill>
      <patternFill patternType="solid">
        <fgColor rgb="FFD9EAF7"/>
        <bgColor indexed="64"/>
      </patternFill>
    </fill>
    <fill>
      <patternFill patternType="solid">
        <fgColor rgb="FFF3F7FA"/>
        <bgColor indexed="64"/>
      </patternFill>
    </fill>
    <fill>
      <patternFill patternType="solid">
        <fgColor rgb="FF4472C4"/>
        <bgColor indexed="64"/>
      </patternFill>
    </fill>
    <fill>
      <patternFill patternType="solid">
        <fgColor rgb="FFF7F9FC"/>
        <bgColor indexed="64"/>
      </patternFill>
    </fill>
    <fill>
      <patternFill patternType="solid">
        <fgColor rgb="FFFBFCFE"/>
        <bgColor indexed="64"/>
      </patternFill>
    </fill>
    <fill>
      <patternFill patternType="solid">
        <fgColor rgb="FFFFF2CC"/>
        <bgColor indexed="64"/>
      </patternFill>
    </fill>
    <fill>
      <patternFill patternType="solid">
        <fgColor rgb="FFFFFFFF"/>
        <bgColor indexed="64"/>
      </patternFill>
    </fill>
    <fill>
      <patternFill patternType="solid">
        <fgColor rgb="FFDCE6F1"/>
        <bgColor indexed="64"/>
      </patternFill>
    </fill>
    <fill>
      <patternFill patternType="solid">
        <fgColor rgb="FF2F75B5"/>
        <bgColor indexed="64"/>
      </patternFill>
    </fill>
    <fill>
      <patternFill patternType="solid">
        <fgColor rgb="FFEAF2F8"/>
        <bgColor indexed="64"/>
      </patternFill>
    </fill>
    <fill>
      <patternFill patternType="solid">
        <fgColor rgb="FFF5F8FC"/>
        <bgColor indexed="64"/>
      </patternFill>
    </fill>
    <fill>
      <patternFill patternType="solid">
        <fgColor rgb="FF1F4E78"/>
        <bgColor indexed="64"/>
      </patternFill>
    </fill>
    <fill>
      <patternFill patternType="solid">
        <fgColor rgb="FFD9EAD3"/>
        <bgColor indexed="64"/>
      </patternFill>
    </fill>
    <fill>
      <patternFill patternType="solid">
        <fgColor rgb="FFF3FAF1"/>
        <bgColor indexed="64"/>
      </patternFill>
    </fill>
    <fill>
      <patternFill patternType="solid">
        <fgColor rgb="FFFFFF00"/>
        <bgColor indexed="64"/>
      </patternFill>
    </fill>
    <fill>
      <patternFill patternType="solid">
        <fgColor rgb="FFFF0000"/>
        <bgColor indexed="64"/>
      </patternFill>
    </fill>
  </fills>
  <borders count="5">
    <border>
      <left/>
      <right/>
      <top/>
      <bottom/>
      <diagonal/>
    </border>
    <border>
      <left style="thin">
        <color rgb="FFD3D3D3"/>
      </left>
      <right style="thin">
        <color rgb="FFD3D3D3"/>
      </right>
      <top style="thin">
        <color rgb="FFD3D3D3"/>
      </top>
      <bottom style="thin">
        <color rgb="FFD3D3D3"/>
      </bottom>
      <diagonal/>
    </border>
    <border>
      <left/>
      <right/>
      <top/>
      <bottom style="thin">
        <color rgb="FFD9E2F3"/>
      </bottom>
      <diagonal/>
    </border>
    <border>
      <left/>
      <right/>
      <top style="thin">
        <color rgb="FFD9E2F3"/>
      </top>
      <bottom/>
      <diagonal/>
    </border>
    <border>
      <left/>
      <right style="thin">
        <color rgb="FFD3D3D3"/>
      </right>
      <top style="thin">
        <color rgb="FFD3D3D3"/>
      </top>
      <bottom style="thin">
        <color rgb="FFD3D3D3"/>
      </bottom>
      <diagonal/>
    </border>
  </borders>
  <cellStyleXfs count="1">
    <xf numFmtId="0" fontId="0" fillId="0" borderId="0"/>
  </cellStyleXfs>
  <cellXfs count="120">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164" fontId="1" fillId="0" borderId="1" xfId="0" applyNumberFormat="1" applyFont="1" applyBorder="1" applyAlignment="1">
      <alignment horizontal="right" vertical="center"/>
    </xf>
    <xf numFmtId="164" fontId="1" fillId="0" borderId="1" xfId="0" applyNumberFormat="1" applyFont="1" applyBorder="1" applyAlignment="1">
      <alignment horizontal="left" vertical="center" wrapText="1"/>
    </xf>
    <xf numFmtId="0" fontId="0" fillId="2" borderId="0" xfId="0" applyFill="1"/>
    <xf numFmtId="0" fontId="4" fillId="0" borderId="0" xfId="0" applyFont="1" applyAlignment="1">
      <alignment vertical="center"/>
    </xf>
    <xf numFmtId="0" fontId="9" fillId="0" borderId="0" xfId="0" applyFont="1" applyAlignment="1">
      <alignment horizontal="center" vertical="center"/>
    </xf>
    <xf numFmtId="0" fontId="4" fillId="0" borderId="0" xfId="0" applyFont="1" applyAlignment="1">
      <alignment vertical="center" wrapText="1"/>
    </xf>
    <xf numFmtId="0" fontId="4" fillId="0" borderId="0" xfId="0" applyFont="1" applyAlignment="1">
      <alignment horizontal="center" vertical="center"/>
    </xf>
    <xf numFmtId="0" fontId="5" fillId="6" borderId="0" xfId="0" applyFont="1" applyFill="1" applyAlignment="1">
      <alignment horizontal="center" vertical="center"/>
    </xf>
    <xf numFmtId="0" fontId="4" fillId="7" borderId="0" xfId="0" applyFont="1" applyFill="1" applyAlignment="1">
      <alignment vertical="center"/>
    </xf>
    <xf numFmtId="164" fontId="4" fillId="7" borderId="0" xfId="0" applyNumberFormat="1" applyFont="1" applyFill="1" applyAlignment="1">
      <alignment vertical="center"/>
    </xf>
    <xf numFmtId="0" fontId="4" fillId="8" borderId="0" xfId="0" applyFont="1" applyFill="1" applyAlignment="1">
      <alignment vertical="center"/>
    </xf>
    <xf numFmtId="164" fontId="4" fillId="8" borderId="0" xfId="0" applyNumberFormat="1" applyFont="1" applyFill="1" applyAlignment="1">
      <alignment vertical="center"/>
    </xf>
    <xf numFmtId="0" fontId="4" fillId="8" borderId="0" xfId="0" applyFont="1" applyFill="1" applyAlignment="1">
      <alignment vertical="center" wrapText="1"/>
    </xf>
    <xf numFmtId="0" fontId="3" fillId="0" borderId="0" xfId="0" applyFont="1"/>
    <xf numFmtId="0" fontId="14" fillId="0" borderId="1" xfId="0" applyFont="1" applyBorder="1" applyAlignment="1">
      <alignment horizontal="center" vertical="center"/>
    </xf>
    <xf numFmtId="0" fontId="14" fillId="0" borderId="1" xfId="0" applyFont="1" applyBorder="1" applyAlignment="1">
      <alignment horizontal="left" vertical="center" wrapText="1"/>
    </xf>
    <xf numFmtId="0" fontId="15" fillId="0" borderId="0" xfId="0" applyFont="1" applyAlignment="1">
      <alignment horizontal="center" vertical="center"/>
    </xf>
    <xf numFmtId="0" fontId="15" fillId="0" borderId="0" xfId="0" applyFont="1" applyAlignment="1">
      <alignment vertical="center"/>
    </xf>
    <xf numFmtId="0" fontId="15" fillId="0" borderId="0" xfId="0" applyFont="1" applyAlignment="1">
      <alignment vertical="center" wrapText="1"/>
    </xf>
    <xf numFmtId="8" fontId="14" fillId="0" borderId="1" xfId="0" applyNumberFormat="1" applyFont="1" applyBorder="1" applyAlignment="1">
      <alignment horizontal="left" vertical="center" wrapText="1"/>
    </xf>
    <xf numFmtId="166" fontId="14" fillId="0" borderId="1" xfId="0" applyNumberFormat="1" applyFont="1" applyBorder="1" applyAlignment="1">
      <alignment horizontal="right" vertical="center"/>
    </xf>
    <xf numFmtId="166" fontId="14" fillId="0" borderId="1" xfId="0" applyNumberFormat="1" applyFont="1" applyBorder="1" applyAlignment="1">
      <alignment horizontal="left" vertical="center" wrapText="1"/>
    </xf>
    <xf numFmtId="14" fontId="14" fillId="0" borderId="1" xfId="0" applyNumberFormat="1" applyFont="1" applyBorder="1" applyAlignment="1">
      <alignment horizontal="center" vertical="center"/>
    </xf>
    <xf numFmtId="14" fontId="14" fillId="0" borderId="1" xfId="0" applyNumberFormat="1" applyFont="1" applyBorder="1" applyAlignment="1">
      <alignment horizontal="left" vertical="center" wrapText="1"/>
    </xf>
    <xf numFmtId="49" fontId="14" fillId="0" borderId="1" xfId="0" applyNumberFormat="1" applyFont="1" applyBorder="1" applyAlignment="1">
      <alignment horizontal="center" vertical="center"/>
    </xf>
    <xf numFmtId="166" fontId="1" fillId="0" borderId="1" xfId="0" applyNumberFormat="1" applyFont="1" applyBorder="1" applyAlignment="1">
      <alignment horizontal="right" vertical="center"/>
    </xf>
    <xf numFmtId="166" fontId="1" fillId="0" borderId="1" xfId="0" applyNumberFormat="1" applyFont="1" applyBorder="1" applyAlignment="1">
      <alignment horizontal="left" vertical="center" wrapText="1"/>
    </xf>
    <xf numFmtId="166" fontId="4" fillId="0" borderId="0" xfId="0" applyNumberFormat="1" applyFont="1" applyAlignment="1">
      <alignment horizontal="right" vertical="center"/>
    </xf>
    <xf numFmtId="49" fontId="14" fillId="0" borderId="1" xfId="0" applyNumberFormat="1" applyFont="1" applyBorder="1" applyAlignment="1">
      <alignment horizontal="left" vertical="center" wrapText="1"/>
    </xf>
    <xf numFmtId="0" fontId="4" fillId="0" borderId="0" xfId="0" applyFont="1"/>
    <xf numFmtId="0" fontId="4" fillId="0" borderId="0" xfId="0" applyFont="1" applyAlignment="1">
      <alignment vertical="top"/>
    </xf>
    <xf numFmtId="0" fontId="4" fillId="10" borderId="0" xfId="0" applyFont="1" applyFill="1" applyAlignment="1">
      <alignment vertical="top" wrapText="1"/>
    </xf>
    <xf numFmtId="0" fontId="5" fillId="3" borderId="0" xfId="0" applyFont="1" applyFill="1" applyAlignment="1">
      <alignment horizontal="center" vertical="top" wrapText="1"/>
    </xf>
    <xf numFmtId="164" fontId="4" fillId="10" borderId="0" xfId="0" applyNumberFormat="1" applyFont="1" applyFill="1" applyAlignment="1">
      <alignment vertical="top" wrapText="1"/>
    </xf>
    <xf numFmtId="0" fontId="18" fillId="10" borderId="0" xfId="0" applyFont="1" applyFill="1" applyAlignment="1">
      <alignment vertical="top" wrapText="1"/>
    </xf>
    <xf numFmtId="0" fontId="4" fillId="14" borderId="0" xfId="0" applyFont="1" applyFill="1" applyAlignment="1">
      <alignment vertical="top" wrapText="1"/>
    </xf>
    <xf numFmtId="164" fontId="4" fillId="14" borderId="0" xfId="0" applyNumberFormat="1" applyFont="1" applyFill="1" applyAlignment="1">
      <alignment vertical="top" wrapText="1"/>
    </xf>
    <xf numFmtId="0" fontId="18" fillId="14" borderId="0" xfId="0" applyFont="1" applyFill="1" applyAlignment="1">
      <alignment vertical="top" wrapText="1"/>
    </xf>
    <xf numFmtId="0" fontId="19" fillId="10" borderId="0" xfId="0" applyFont="1" applyFill="1" applyAlignment="1">
      <alignment vertical="top" wrapText="1"/>
    </xf>
    <xf numFmtId="0" fontId="19" fillId="14" borderId="0" xfId="0" applyFont="1" applyFill="1" applyAlignment="1">
      <alignment vertical="top" wrapText="1"/>
    </xf>
    <xf numFmtId="0" fontId="4" fillId="14" borderId="2" xfId="0" applyFont="1" applyFill="1" applyBorder="1" applyAlignment="1">
      <alignment vertical="top" wrapText="1"/>
    </xf>
    <xf numFmtId="164" fontId="4" fillId="14" borderId="2" xfId="0" applyNumberFormat="1" applyFont="1" applyFill="1" applyBorder="1" applyAlignment="1">
      <alignment vertical="top" wrapText="1"/>
    </xf>
    <xf numFmtId="0" fontId="19" fillId="14" borderId="2" xfId="0" applyFont="1" applyFill="1" applyBorder="1" applyAlignment="1">
      <alignment vertical="top" wrapText="1"/>
    </xf>
    <xf numFmtId="0" fontId="8" fillId="11" borderId="0" xfId="0" applyFont="1" applyFill="1" applyAlignment="1">
      <alignment vertical="top" wrapText="1"/>
    </xf>
    <xf numFmtId="0" fontId="21" fillId="9" borderId="0" xfId="0" applyFont="1" applyFill="1" applyAlignment="1">
      <alignment vertical="top" wrapText="1"/>
    </xf>
    <xf numFmtId="164" fontId="4" fillId="0" borderId="0" xfId="0" applyNumberFormat="1" applyFont="1" applyAlignment="1">
      <alignment vertical="top"/>
    </xf>
    <xf numFmtId="164" fontId="9" fillId="16" borderId="0" xfId="0" applyNumberFormat="1" applyFont="1" applyFill="1" applyAlignment="1">
      <alignment vertical="top"/>
    </xf>
    <xf numFmtId="0" fontId="9" fillId="16" borderId="0" xfId="0" applyFont="1" applyFill="1" applyAlignment="1">
      <alignment vertical="top"/>
    </xf>
    <xf numFmtId="0" fontId="4" fillId="0" borderId="0" xfId="0" applyFont="1" applyAlignment="1">
      <alignment vertical="top" wrapText="1"/>
    </xf>
    <xf numFmtId="164" fontId="4" fillId="0" borderId="0" xfId="0" applyNumberFormat="1" applyFont="1" applyAlignment="1">
      <alignment vertical="top" wrapText="1"/>
    </xf>
    <xf numFmtId="166" fontId="15" fillId="0" borderId="0" xfId="0" applyNumberFormat="1" applyFont="1" applyAlignment="1">
      <alignment horizontal="right" vertical="center"/>
    </xf>
    <xf numFmtId="0" fontId="5" fillId="3" borderId="0" xfId="0" applyFont="1" applyFill="1" applyAlignment="1">
      <alignment horizontal="center"/>
    </xf>
    <xf numFmtId="0" fontId="4" fillId="14" borderId="0" xfId="0" applyFont="1" applyFill="1"/>
    <xf numFmtId="164" fontId="4" fillId="14" borderId="0" xfId="0" applyNumberFormat="1" applyFont="1" applyFill="1"/>
    <xf numFmtId="0" fontId="9" fillId="14" borderId="0" xfId="0" applyFont="1" applyFill="1"/>
    <xf numFmtId="164" fontId="4" fillId="0" borderId="0" xfId="0" applyNumberFormat="1" applyFont="1"/>
    <xf numFmtId="167" fontId="14" fillId="0" borderId="1" xfId="0" applyNumberFormat="1" applyFont="1" applyBorder="1" applyAlignment="1">
      <alignment horizontal="left" vertical="center" wrapText="1"/>
    </xf>
    <xf numFmtId="8" fontId="0" fillId="0" borderId="0" xfId="0" applyNumberFormat="1"/>
    <xf numFmtId="0" fontId="14" fillId="18" borderId="1" xfId="0" applyFont="1" applyFill="1" applyBorder="1" applyAlignment="1">
      <alignment horizontal="center" vertical="center"/>
    </xf>
    <xf numFmtId="0" fontId="14" fillId="18" borderId="1" xfId="0" applyFont="1" applyFill="1" applyBorder="1" applyAlignment="1">
      <alignment horizontal="left" vertical="center" wrapText="1"/>
    </xf>
    <xf numFmtId="14" fontId="14" fillId="18" borderId="1" xfId="0" applyNumberFormat="1" applyFont="1" applyFill="1" applyBorder="1" applyAlignment="1">
      <alignment horizontal="center" vertical="center"/>
    </xf>
    <xf numFmtId="14" fontId="14" fillId="18" borderId="1" xfId="0" applyNumberFormat="1" applyFont="1" applyFill="1" applyBorder="1" applyAlignment="1">
      <alignment horizontal="left" vertical="center" wrapText="1"/>
    </xf>
    <xf numFmtId="8" fontId="14" fillId="18" borderId="1" xfId="0" applyNumberFormat="1" applyFont="1" applyFill="1" applyBorder="1" applyAlignment="1">
      <alignment horizontal="left" vertical="center" wrapText="1"/>
    </xf>
    <xf numFmtId="166" fontId="14" fillId="18" borderId="1" xfId="0" applyNumberFormat="1" applyFont="1" applyFill="1" applyBorder="1" applyAlignment="1">
      <alignment horizontal="right" vertical="center"/>
    </xf>
    <xf numFmtId="166" fontId="14" fillId="18" borderId="1" xfId="0" applyNumberFormat="1" applyFont="1" applyFill="1" applyBorder="1" applyAlignment="1">
      <alignment horizontal="left" vertical="center" wrapText="1"/>
    </xf>
    <xf numFmtId="0" fontId="0" fillId="18" borderId="0" xfId="0" applyFill="1"/>
    <xf numFmtId="166" fontId="0" fillId="0" borderId="0" xfId="0" applyNumberFormat="1"/>
    <xf numFmtId="0" fontId="14" fillId="0" borderId="1" xfId="0" applyFont="1" applyBorder="1" applyAlignment="1">
      <alignment horizontal="left" vertical="center"/>
    </xf>
    <xf numFmtId="0" fontId="1" fillId="0" borderId="4" xfId="0" applyFont="1" applyBorder="1" applyAlignment="1">
      <alignment horizontal="center" vertical="center"/>
    </xf>
    <xf numFmtId="0" fontId="14" fillId="0" borderId="4" xfId="0" applyFont="1" applyBorder="1" applyAlignment="1">
      <alignment horizontal="center" vertical="center"/>
    </xf>
    <xf numFmtId="0" fontId="11" fillId="3" borderId="0" xfId="0" applyFont="1" applyFill="1"/>
    <xf numFmtId="0" fontId="16" fillId="11" borderId="0" xfId="0" applyFont="1" applyFill="1"/>
    <xf numFmtId="0" fontId="5" fillId="12" borderId="0" xfId="0" applyFont="1" applyFill="1" applyAlignment="1">
      <alignment horizontal="center"/>
    </xf>
    <xf numFmtId="0" fontId="22" fillId="9" borderId="0" xfId="0" applyFont="1" applyFill="1" applyAlignment="1">
      <alignment wrapText="1"/>
    </xf>
    <xf numFmtId="0" fontId="12" fillId="13" borderId="0" xfId="0" applyFont="1" applyFill="1" applyAlignment="1">
      <alignment horizontal="center" vertical="center"/>
    </xf>
    <xf numFmtId="164" fontId="12" fillId="13" borderId="0" xfId="0" applyNumberFormat="1" applyFont="1" applyFill="1" applyAlignment="1">
      <alignment horizontal="center" vertical="center"/>
    </xf>
    <xf numFmtId="166" fontId="12" fillId="13" borderId="0" xfId="0" applyNumberFormat="1" applyFont="1" applyFill="1" applyAlignment="1">
      <alignment horizontal="center" vertical="center"/>
    </xf>
    <xf numFmtId="0" fontId="5" fillId="12" borderId="0" xfId="0" applyFont="1" applyFill="1"/>
    <xf numFmtId="0" fontId="4" fillId="14" borderId="0" xfId="0" applyFont="1" applyFill="1"/>
    <xf numFmtId="0" fontId="13" fillId="3" borderId="0" xfId="0" applyFont="1" applyFill="1" applyAlignment="1">
      <alignment vertical="center"/>
    </xf>
    <xf numFmtId="0" fontId="8" fillId="4" borderId="0" xfId="0" applyFont="1" applyFill="1" applyAlignment="1">
      <alignment horizontal="center" vertical="center"/>
    </xf>
    <xf numFmtId="0" fontId="12" fillId="5" borderId="0" xfId="0" applyFont="1" applyFill="1" applyAlignment="1">
      <alignment horizontal="center" vertical="center"/>
    </xf>
    <xf numFmtId="0" fontId="11" fillId="3" borderId="0" xfId="0" applyFont="1" applyFill="1" applyAlignment="1">
      <alignment vertical="center"/>
    </xf>
    <xf numFmtId="0" fontId="7" fillId="0" borderId="0" xfId="0" applyFont="1" applyAlignment="1">
      <alignment vertical="center"/>
    </xf>
    <xf numFmtId="164" fontId="12" fillId="5" borderId="0" xfId="0" applyNumberFormat="1" applyFont="1" applyFill="1" applyAlignment="1">
      <alignment horizontal="center" vertical="center"/>
    </xf>
    <xf numFmtId="165" fontId="12" fillId="5" borderId="0" xfId="0" applyNumberFormat="1" applyFont="1" applyFill="1" applyAlignment="1">
      <alignment horizontal="center" vertical="center"/>
    </xf>
    <xf numFmtId="0" fontId="0" fillId="5" borderId="0" xfId="0" applyFill="1" applyAlignment="1">
      <alignment horizontal="center" vertical="center"/>
    </xf>
    <xf numFmtId="0" fontId="10" fillId="5" borderId="0" xfId="0" applyFont="1" applyFill="1" applyAlignment="1">
      <alignment horizontal="center" vertical="center"/>
    </xf>
    <xf numFmtId="0" fontId="6" fillId="3" borderId="0" xfId="0" applyFont="1" applyFill="1" applyAlignment="1">
      <alignment vertical="center"/>
    </xf>
    <xf numFmtId="164" fontId="0" fillId="5" borderId="0" xfId="0" applyNumberFormat="1" applyFill="1" applyAlignment="1">
      <alignment horizontal="center" vertical="center"/>
    </xf>
    <xf numFmtId="164" fontId="10" fillId="5" borderId="0" xfId="0" applyNumberFormat="1" applyFont="1" applyFill="1" applyAlignment="1">
      <alignment horizontal="center" vertical="center"/>
    </xf>
    <xf numFmtId="0" fontId="6" fillId="3" borderId="0" xfId="0" applyFont="1" applyFill="1" applyAlignment="1">
      <alignment vertical="top"/>
    </xf>
    <xf numFmtId="0" fontId="16" fillId="11" borderId="0" xfId="0" applyFont="1" applyFill="1" applyAlignment="1">
      <alignment vertical="top"/>
    </xf>
    <xf numFmtId="0" fontId="6" fillId="3" borderId="0" xfId="0" applyFont="1" applyFill="1"/>
    <xf numFmtId="0" fontId="23" fillId="11" borderId="0" xfId="0" applyFont="1" applyFill="1"/>
    <xf numFmtId="0" fontId="24" fillId="13" borderId="0" xfId="0" applyFont="1" applyFill="1" applyAlignment="1">
      <alignment horizontal="center"/>
    </xf>
    <xf numFmtId="164" fontId="24" fillId="13" borderId="0" xfId="0" applyNumberFormat="1" applyFont="1" applyFill="1" applyAlignment="1">
      <alignment horizontal="center"/>
    </xf>
    <xf numFmtId="0" fontId="6" fillId="3" borderId="0" xfId="0" applyFont="1" applyFill="1" applyAlignment="1">
      <alignment vertical="top" wrapText="1"/>
    </xf>
    <xf numFmtId="0" fontId="16" fillId="11" borderId="0" xfId="0" applyFont="1" applyFill="1" applyAlignment="1">
      <alignment vertical="top" wrapText="1"/>
    </xf>
    <xf numFmtId="0" fontId="5" fillId="12" borderId="0" xfId="0" applyFont="1" applyFill="1" applyAlignment="1">
      <alignment horizontal="center" vertical="top" wrapText="1"/>
    </xf>
    <xf numFmtId="0" fontId="17" fillId="13" borderId="0" xfId="0" applyFont="1" applyFill="1" applyAlignment="1">
      <alignment horizontal="center" vertical="center" wrapText="1"/>
    </xf>
    <xf numFmtId="164" fontId="17" fillId="13" borderId="0" xfId="0" applyNumberFormat="1" applyFont="1" applyFill="1" applyAlignment="1">
      <alignment horizontal="center" vertical="center" wrapText="1"/>
    </xf>
    <xf numFmtId="0" fontId="8" fillId="16" borderId="0" xfId="0" applyFont="1" applyFill="1" applyAlignment="1">
      <alignment vertical="top" wrapText="1"/>
    </xf>
    <xf numFmtId="0" fontId="4" fillId="17" borderId="0" xfId="0" applyFont="1" applyFill="1" applyAlignment="1">
      <alignment vertical="top" wrapText="1"/>
    </xf>
    <xf numFmtId="0" fontId="8" fillId="13" borderId="0" xfId="0" applyFont="1" applyFill="1" applyAlignment="1">
      <alignment vertical="top" wrapText="1"/>
    </xf>
    <xf numFmtId="0" fontId="4" fillId="10" borderId="0" xfId="0" applyFont="1" applyFill="1" applyAlignment="1">
      <alignment vertical="top" wrapText="1"/>
    </xf>
    <xf numFmtId="0" fontId="13" fillId="15" borderId="0" xfId="0" applyFont="1" applyFill="1" applyAlignment="1">
      <alignment vertical="center" wrapText="1"/>
    </xf>
    <xf numFmtId="0" fontId="21" fillId="9" borderId="0" xfId="0" applyFont="1" applyFill="1" applyAlignment="1">
      <alignment vertical="top" wrapText="1"/>
    </xf>
    <xf numFmtId="0" fontId="20" fillId="9" borderId="3" xfId="0" applyFont="1" applyFill="1" applyBorder="1" applyAlignment="1">
      <alignment wrapText="1"/>
    </xf>
    <xf numFmtId="0" fontId="14" fillId="19" borderId="1" xfId="0" applyFont="1" applyFill="1" applyBorder="1" applyAlignment="1">
      <alignment horizontal="center" vertical="center"/>
    </xf>
    <xf numFmtId="0" fontId="14" fillId="19" borderId="1" xfId="0" applyFont="1" applyFill="1" applyBorder="1" applyAlignment="1">
      <alignment horizontal="left" vertical="center" wrapText="1"/>
    </xf>
    <xf numFmtId="14" fontId="14" fillId="19" borderId="1" xfId="0" applyNumberFormat="1" applyFont="1" applyFill="1" applyBorder="1" applyAlignment="1">
      <alignment horizontal="center" vertical="center"/>
    </xf>
    <xf numFmtId="14" fontId="14" fillId="19" borderId="1" xfId="0" applyNumberFormat="1" applyFont="1" applyFill="1" applyBorder="1" applyAlignment="1">
      <alignment horizontal="left" vertical="center" wrapText="1"/>
    </xf>
    <xf numFmtId="8" fontId="14" fillId="19" borderId="1" xfId="0" applyNumberFormat="1" applyFont="1" applyFill="1" applyBorder="1" applyAlignment="1">
      <alignment horizontal="left" vertical="center" wrapText="1"/>
    </xf>
    <xf numFmtId="166" fontId="14" fillId="19" borderId="1" xfId="0" applyNumberFormat="1" applyFont="1" applyFill="1" applyBorder="1" applyAlignment="1">
      <alignment horizontal="right" vertical="center"/>
    </xf>
    <xf numFmtId="166" fontId="14" fillId="19" borderId="1" xfId="0" applyNumberFormat="1" applyFont="1" applyFill="1" applyBorder="1" applyAlignment="1">
      <alignment horizontal="left" vertical="center" wrapText="1"/>
    </xf>
    <xf numFmtId="0" fontId="0" fillId="19" borderId="0" xfId="0" applyFill="1"/>
  </cellXfs>
  <cellStyles count="1">
    <cellStyle name="Standard" xfId="0" builtinId="0"/>
  </cellStyles>
  <dxfs count="81">
    <dxf>
      <numFmt numFmtId="166" formatCode="0.00\ \€"/>
    </dxf>
    <dxf>
      <font>
        <color rgb="FFC62828"/>
      </font>
      <fill>
        <patternFill patternType="solid">
          <fgColor indexed="64"/>
          <bgColor rgb="FFFCE4D6"/>
        </patternFill>
      </fill>
    </dxf>
    <dxf>
      <font>
        <color rgb="FF2E7D32"/>
      </font>
      <fill>
        <patternFill patternType="solid">
          <fgColor indexed="64"/>
          <bgColor rgb="FFE2F0D9"/>
        </patternFill>
      </fill>
    </dxf>
    <dxf>
      <font>
        <color rgb="FF666666"/>
      </font>
    </dxf>
    <dxf>
      <font>
        <color rgb="FFC62828"/>
      </font>
      <fill>
        <patternFill patternType="solid">
          <fgColor indexed="64"/>
          <bgColor rgb="FFFCE4D6"/>
        </patternFill>
      </fill>
    </dxf>
    <dxf>
      <font>
        <color rgb="FF2E7D32"/>
      </font>
      <fill>
        <patternFill patternType="solid">
          <fgColor indexed="64"/>
          <bgColor rgb="FFE2F0D9"/>
        </patternFill>
      </fill>
    </dxf>
    <dxf>
      <font>
        <color rgb="FFC62828"/>
      </font>
      <fill>
        <patternFill patternType="solid">
          <fgColor indexed="64"/>
          <bgColor rgb="FFFCE4D6"/>
        </patternFill>
      </fill>
    </dxf>
    <dxf>
      <font>
        <color rgb="FF2E7D32"/>
      </font>
      <fill>
        <patternFill patternType="solid">
          <fgColor indexed="64"/>
          <bgColor rgb="FFE2F0D9"/>
        </patternFill>
      </fill>
    </dxf>
    <dxf>
      <font>
        <color rgb="FFC62828"/>
      </font>
      <fill>
        <patternFill patternType="solid">
          <fgColor indexed="64"/>
          <bgColor rgb="FFFCE4D6"/>
        </patternFill>
      </fill>
    </dxf>
    <dxf>
      <font>
        <color rgb="FF2E7D32"/>
      </font>
      <fill>
        <patternFill patternType="solid">
          <fgColor indexed="64"/>
          <bgColor rgb="FFE2F0D9"/>
        </patternFill>
      </fill>
    </dxf>
    <dxf>
      <font>
        <color rgb="FFC62828"/>
      </font>
      <fill>
        <patternFill patternType="solid">
          <fgColor indexed="64"/>
          <bgColor rgb="FFFCE4D6"/>
        </patternFill>
      </fill>
    </dxf>
    <dxf>
      <font>
        <color rgb="FF2E7D32"/>
      </font>
      <fill>
        <patternFill patternType="solid">
          <fgColor indexed="64"/>
          <bgColor rgb="FFE2F0D9"/>
        </patternFill>
      </fill>
    </dxf>
    <dxf>
      <font>
        <color rgb="FF9C6500"/>
      </font>
      <fill>
        <patternFill patternType="solid">
          <fgColor indexed="64"/>
          <bgColor rgb="FFFFF2CC"/>
        </patternFill>
      </fill>
    </dxf>
    <dxf>
      <font>
        <color rgb="FF9C6500"/>
      </font>
      <fill>
        <patternFill patternType="solid">
          <fgColor indexed="64"/>
          <bgColor rgb="FFFFF2CC"/>
        </patternFill>
      </fill>
    </dxf>
    <dxf>
      <font>
        <color rgb="FFC62828"/>
      </font>
      <fill>
        <patternFill patternType="solid">
          <fgColor indexed="64"/>
          <bgColor rgb="FFFCE4D6"/>
        </patternFill>
      </fill>
    </dxf>
    <dxf>
      <font>
        <sz val="10"/>
        <name val="Aptos"/>
      </font>
    </dxf>
    <dxf>
      <font>
        <sz val="10"/>
        <name val="Aptos"/>
      </font>
      <numFmt numFmtId="164" formatCode="#,##0.00\ \€"/>
    </dxf>
    <dxf>
      <font>
        <sz val="10"/>
        <name val="Aptos"/>
      </font>
      <numFmt numFmtId="164" formatCode="#,##0.00\ \€"/>
    </dxf>
    <dxf>
      <font>
        <sz val="10"/>
        <name val="Aptos"/>
      </font>
      <numFmt numFmtId="164" formatCode="#,##0.00\ \€"/>
    </dxf>
    <dxf>
      <font>
        <sz val="10"/>
        <name val="Aptos"/>
      </font>
      <numFmt numFmtId="164" formatCode="#,##0.00\ \€"/>
    </dxf>
    <dxf>
      <font>
        <sz val="10"/>
        <name val="Aptos"/>
      </font>
      <numFmt numFmtId="164" formatCode="#,##0.00\ \€"/>
    </dxf>
    <dxf>
      <font>
        <sz val="10"/>
        <name val="Aptos"/>
      </font>
      <numFmt numFmtId="164" formatCode="#,##0.00\ \€"/>
    </dxf>
    <dxf>
      <font>
        <sz val="10"/>
        <name val="Aptos"/>
      </font>
      <numFmt numFmtId="164" formatCode="#,##0.00\ \€"/>
    </dxf>
    <dxf>
      <font>
        <sz val="10"/>
        <name val="Aptos"/>
      </font>
      <numFmt numFmtId="164" formatCode="#,##0.00\ \€"/>
    </dxf>
    <dxf>
      <font>
        <sz val="10"/>
        <name val="Aptos"/>
      </font>
      <numFmt numFmtId="164" formatCode="#,##0.00\ \€"/>
    </dxf>
    <dxf>
      <font>
        <sz val="10"/>
        <name val="Aptos"/>
      </font>
    </dxf>
    <dxf>
      <font>
        <sz val="10"/>
        <name val="Aptos"/>
      </font>
    </dxf>
    <dxf>
      <font>
        <sz val="10"/>
        <name val="Aptos"/>
      </font>
    </dxf>
    <dxf>
      <font>
        <sz val="10"/>
        <name val="Aptos"/>
      </font>
    </dxf>
    <dxf>
      <font>
        <sz val="10"/>
        <name val="Aptos"/>
      </font>
    </dxf>
    <dxf>
      <font>
        <sz val="10"/>
        <name val="Aptos"/>
      </font>
      <alignment vertical="top" wrapText="1"/>
    </dxf>
    <dxf>
      <font>
        <sz val="10"/>
        <name val="Aptos"/>
      </font>
      <alignment vertical="top" wrapText="1"/>
    </dxf>
    <dxf>
      <font>
        <sz val="10"/>
        <name val="Aptos"/>
      </font>
      <alignment vertical="top" wrapText="1"/>
    </dxf>
    <dxf>
      <font>
        <sz val="10"/>
        <name val="Aptos"/>
      </font>
      <numFmt numFmtId="164" formatCode="#,##0.00\ \€"/>
      <alignment vertical="top" wrapText="1"/>
    </dxf>
    <dxf>
      <font>
        <sz val="10"/>
        <name val="Aptos"/>
      </font>
      <numFmt numFmtId="164" formatCode="#,##0.00\ \€"/>
      <alignment vertical="top" wrapText="1"/>
    </dxf>
    <dxf>
      <font>
        <sz val="10"/>
        <name val="Aptos"/>
      </font>
      <numFmt numFmtId="164" formatCode="#,##0.00\ \€"/>
      <alignment vertical="top" wrapText="1"/>
    </dxf>
    <dxf>
      <font>
        <sz val="10"/>
        <name val="Aptos"/>
      </font>
      <alignment vertical="top" wrapText="1"/>
    </dxf>
    <dxf>
      <font>
        <sz val="10"/>
        <name val="Aptos"/>
      </font>
      <alignment vertical="top" wrapText="1"/>
    </dxf>
    <dxf>
      <font>
        <sz val="10"/>
        <name val="Aptos"/>
      </font>
      <alignment vertical="top" wrapText="1"/>
    </dxf>
    <dxf>
      <font>
        <sz val="10"/>
        <name val="Aptos"/>
      </font>
      <alignment vertical="top" wrapText="1"/>
    </dxf>
    <dxf>
      <font>
        <sz val="10"/>
        <name val="Aptos"/>
      </font>
      <alignment vertical="top" wrapText="1"/>
    </dxf>
    <dxf>
      <font>
        <sz val="10"/>
        <name val="Aptos"/>
      </font>
      <alignment vertical="top" wrapText="1"/>
    </dxf>
    <dxf>
      <font>
        <sz val="10"/>
        <name val="Aptos"/>
      </font>
      <alignment vertical="top" wrapText="1"/>
    </dxf>
    <dxf>
      <font>
        <sz val="10"/>
        <name val="Aptos"/>
      </font>
      <alignment vertical="top" wrapText="1"/>
    </dxf>
    <dxf>
      <font>
        <sz val="10"/>
        <name val="Aptos"/>
      </font>
      <alignment vertical="top" wrapText="1"/>
    </dxf>
    <dxf>
      <font>
        <sz val="10"/>
        <name val="Aptos"/>
      </font>
      <alignment vertical="top" wrapText="1"/>
    </dxf>
    <dxf>
      <font>
        <sz val="10"/>
        <name val="Aptos"/>
      </font>
      <alignment vertical="top" wrapText="1"/>
    </dxf>
    <dxf>
      <font>
        <sz val="10"/>
        <name val="Aptos"/>
      </font>
      <alignment vertical="top" wrapText="1"/>
    </dxf>
    <dxf>
      <font>
        <sz val="10"/>
        <name val="Aptos"/>
      </font>
      <alignment vertical="top" wrapText="1"/>
    </dxf>
    <dxf>
      <font>
        <sz val="10"/>
        <name val="Aptos"/>
      </font>
      <alignment horizontal="center" vertical="center"/>
    </dxf>
    <dxf>
      <font>
        <sz val="10"/>
        <name val="Aptos"/>
      </font>
      <numFmt numFmtId="164" formatCode="#,##0.00\ \€"/>
      <alignment horizontal="right" vertical="center"/>
    </dxf>
    <dxf>
      <font>
        <sz val="10"/>
        <name val="Aptos"/>
      </font>
      <numFmt numFmtId="164" formatCode="#,##0.00\ \€"/>
      <alignment horizontal="right" vertical="center"/>
    </dxf>
    <dxf>
      <font>
        <sz val="10"/>
        <name val="Aptos"/>
      </font>
      <numFmt numFmtId="164" formatCode="#,##0.00\ \€"/>
      <alignment horizontal="right" vertical="center"/>
    </dxf>
    <dxf>
      <font>
        <sz val="10"/>
        <name val="Aptos"/>
      </font>
      <numFmt numFmtId="164" formatCode="#,##0.00\ \€"/>
      <alignment horizontal="right" vertical="center"/>
    </dxf>
    <dxf>
      <font>
        <sz val="10"/>
        <name val="Aptos"/>
      </font>
      <numFmt numFmtId="164" formatCode="#,##0.00\ \€"/>
      <alignment horizontal="right" vertical="center"/>
    </dxf>
    <dxf>
      <font>
        <sz val="10"/>
        <name val="Aptos"/>
      </font>
      <numFmt numFmtId="164" formatCode="#,##0.00\ \€"/>
      <alignment horizontal="right" vertical="center"/>
    </dxf>
    <dxf>
      <font>
        <sz val="10"/>
        <name val="Aptos"/>
      </font>
      <numFmt numFmtId="164" formatCode="#,##0.00\ \€"/>
      <alignment horizontal="right" vertical="center"/>
    </dxf>
    <dxf>
      <font>
        <sz val="10"/>
        <name val="Aptos"/>
      </font>
      <numFmt numFmtId="164" formatCode="#,##0.00\ \€"/>
      <alignment horizontal="right" vertical="center"/>
    </dxf>
    <dxf>
      <font>
        <sz val="10"/>
        <name val="Aptos"/>
      </font>
      <numFmt numFmtId="164" formatCode="#,##0.00\ \€"/>
      <alignment horizontal="right" vertical="center"/>
    </dxf>
    <dxf>
      <font>
        <sz val="10"/>
        <name val="Aptos"/>
      </font>
      <alignment vertical="center" wrapText="1"/>
    </dxf>
    <dxf>
      <font>
        <sz val="10"/>
        <name val="Aptos"/>
      </font>
      <alignment vertical="center"/>
    </dxf>
    <dxf>
      <font>
        <sz val="10"/>
        <name val="Aptos"/>
      </font>
      <alignment horizontal="center" vertical="center"/>
    </dxf>
    <dxf>
      <font>
        <sz val="10"/>
        <name val="Aptos"/>
      </font>
      <alignment vertical="center"/>
    </dxf>
    <dxf>
      <font>
        <b/>
        <sz val="10"/>
        <name val="Aptos"/>
      </font>
      <alignment horizontal="center" vertical="center"/>
    </dxf>
    <dxf>
      <font>
        <b val="0"/>
        <i val="0"/>
        <strike val="0"/>
        <condense val="0"/>
        <extend val="0"/>
        <outline val="0"/>
        <shadow val="0"/>
        <u val="none"/>
        <vertAlign val="baseline"/>
        <sz val="10"/>
        <color auto="1"/>
        <name val="Segoe UI"/>
        <family val="2"/>
        <scheme val="none"/>
      </font>
      <alignment horizontal="left" vertical="center" textRotation="0" wrapText="1" indent="0" justifyLastLine="0" shrinkToFit="0" readingOrder="0"/>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0"/>
        <color auto="1"/>
        <name val="Segoe UI"/>
        <family val="2"/>
        <scheme val="none"/>
      </font>
      <numFmt numFmtId="166" formatCode="0.00\ \€"/>
      <alignment horizontal="left" vertical="center" textRotation="0" wrapText="1" indent="0" justifyLastLine="0" shrinkToFit="0" readingOrder="0"/>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0"/>
        <color auto="1"/>
        <name val="Segoe UI"/>
        <family val="2"/>
        <scheme val="none"/>
      </font>
      <numFmt numFmtId="166" formatCode="0.00\ \€"/>
      <alignment horizontal="right" vertical="center" textRotation="0" wrapText="0" indent="0" justifyLastLine="0" shrinkToFit="0" readingOrder="0"/>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0"/>
        <color auto="1"/>
        <name val="Segoe UI"/>
        <family val="2"/>
        <scheme val="none"/>
      </font>
      <numFmt numFmtId="166" formatCode="0.00\ \€"/>
      <alignment horizontal="right" vertical="center" textRotation="0" wrapText="0" indent="0" justifyLastLine="0" shrinkToFit="0" readingOrder="0"/>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0"/>
        <color auto="1"/>
        <name val="Segoe UI"/>
        <family val="2"/>
        <scheme val="none"/>
      </font>
      <numFmt numFmtId="12" formatCode="#,##0.00\ &quot;€&quot;;[Red]\-#,##0.00\ &quot;€&quot;"/>
      <alignment horizontal="left" vertical="center" textRotation="0" wrapText="1" indent="0" justifyLastLine="0" shrinkToFit="0" readingOrder="0"/>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0"/>
        <color auto="1"/>
        <name val="Segoe UI"/>
        <family val="2"/>
        <scheme val="none"/>
      </font>
      <numFmt numFmtId="19" formatCode="dd/mm/yyyy"/>
      <alignment horizontal="left" vertical="center" textRotation="0" wrapText="1" indent="0" justifyLastLine="0" shrinkToFit="0" readingOrder="0"/>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0"/>
        <color auto="1"/>
        <name val="Segoe UI"/>
        <family val="2"/>
        <scheme val="none"/>
      </font>
      <numFmt numFmtId="19" formatCode="dd/mm/yyyy"/>
      <alignment horizontal="center" vertical="center" textRotation="0" wrapText="0" indent="0" justifyLastLine="0" shrinkToFit="0" readingOrder="0"/>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0"/>
        <color auto="1"/>
        <name val="Segoe UI"/>
        <family val="2"/>
        <scheme val="none"/>
      </font>
      <alignment horizontal="left" vertical="center" textRotation="0" wrapText="1" indent="0" justifyLastLine="0" shrinkToFit="0" readingOrder="0"/>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0"/>
        <color auto="1"/>
        <name val="Segoe UI"/>
        <family val="2"/>
        <scheme val="none"/>
      </font>
      <alignment horizontal="left" vertical="center" textRotation="0" wrapText="1" indent="0" justifyLastLine="0" shrinkToFit="0" readingOrder="0"/>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0"/>
        <color auto="1"/>
        <name val="Segoe UI"/>
        <family val="2"/>
        <scheme val="none"/>
      </font>
      <alignment horizontal="left" vertical="center" textRotation="0" wrapText="1" indent="0" justifyLastLine="0" shrinkToFit="0" readingOrder="0"/>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0"/>
        <color auto="1"/>
        <name val="Segoe UI"/>
        <family val="2"/>
        <scheme val="none"/>
      </font>
      <alignment horizontal="left" vertical="center" textRotation="0" wrapText="1" indent="0" justifyLastLine="0" shrinkToFit="0" readingOrder="0"/>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0"/>
        <color auto="1"/>
        <name val="Segoe UI"/>
        <family val="2"/>
        <scheme val="none"/>
      </font>
      <alignment horizontal="left" vertical="center" textRotation="0" wrapText="1" indent="0" justifyLastLine="0" shrinkToFit="0" readingOrder="0"/>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0"/>
        <color auto="1"/>
        <name val="Segoe UI"/>
        <family val="2"/>
        <scheme val="none"/>
      </font>
      <alignment horizontal="left" vertical="center" textRotation="0" wrapText="1" indent="0" justifyLastLine="0" shrinkToFit="0" readingOrder="0"/>
      <border diagonalUp="0" diagonalDown="0">
        <left style="thin">
          <color rgb="FFD3D3D3"/>
        </left>
        <right style="thin">
          <color rgb="FFD3D3D3"/>
        </right>
        <top style="thin">
          <color rgb="FFD3D3D3"/>
        </top>
        <bottom style="thin">
          <color rgb="FFD3D3D3"/>
        </bottom>
        <vertical/>
        <horizontal/>
      </border>
    </dxf>
    <dxf>
      <font>
        <b val="0"/>
        <i val="0"/>
        <strike val="0"/>
        <condense val="0"/>
        <extend val="0"/>
        <outline val="0"/>
        <shadow val="0"/>
        <u val="none"/>
        <vertAlign val="baseline"/>
        <sz val="10"/>
        <color auto="1"/>
        <name val="Segoe UI"/>
        <family val="2"/>
        <scheme val="none"/>
      </font>
      <alignment horizontal="center" vertical="center" textRotation="0" wrapText="0" indent="0" justifyLastLine="0" shrinkToFit="0" readingOrder="0"/>
      <border diagonalUp="0" diagonalDown="0">
        <left/>
        <right style="thin">
          <color rgb="FFD3D3D3"/>
        </right>
        <top style="thin">
          <color rgb="FFD3D3D3"/>
        </top>
        <bottom style="thin">
          <color rgb="FFD3D3D3"/>
        </bottom>
        <vertical/>
        <horizontal/>
      </border>
    </dxf>
    <dxf>
      <border outline="0">
        <left style="thin">
          <color rgb="FFD3D3D3"/>
        </left>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Top-Orte nach Kartenanzahl</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tx>
            <c:strRef>
              <c:f>'Postkarten Dashboard'!$B$8</c:f>
              <c:strCache>
                <c:ptCount val="1"/>
                <c:pt idx="0">
                  <c:v>Karten</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'Postkarten Dashboard'!$A$9:$A$18</c:f>
              <c:strCache>
                <c:ptCount val="10"/>
                <c:pt idx="0">
                  <c:v>München</c:v>
                </c:pt>
                <c:pt idx="1">
                  <c:v>Regensburg</c:v>
                </c:pt>
                <c:pt idx="2">
                  <c:v>Nürnberg</c:v>
                </c:pt>
                <c:pt idx="3">
                  <c:v>Parsberg</c:v>
                </c:pt>
                <c:pt idx="4">
                  <c:v>Lupburg</c:v>
                </c:pt>
                <c:pt idx="5">
                  <c:v>Donaustauf</c:v>
                </c:pt>
                <c:pt idx="6">
                  <c:v>Herrenchiemsee</c:v>
                </c:pt>
                <c:pt idx="7">
                  <c:v>Oberammergau</c:v>
                </c:pt>
                <c:pt idx="8">
                  <c:v>Rothenburg ob der Tauber</c:v>
                </c:pt>
                <c:pt idx="9">
                  <c:v>Passau</c:v>
                </c:pt>
              </c:strCache>
            </c:strRef>
          </c:cat>
          <c:val>
            <c:numRef>
              <c:f>'Postkarten Dashboard'!$B$9:$B$18</c:f>
              <c:numCache>
                <c:formatCode>General</c:formatCode>
                <c:ptCount val="10"/>
                <c:pt idx="0">
                  <c:v>54</c:v>
                </c:pt>
                <c:pt idx="1">
                  <c:v>42</c:v>
                </c:pt>
                <c:pt idx="2">
                  <c:v>24</c:v>
                </c:pt>
                <c:pt idx="3">
                  <c:v>22</c:v>
                </c:pt>
                <c:pt idx="4">
                  <c:v>13</c:v>
                </c:pt>
                <c:pt idx="5">
                  <c:v>8</c:v>
                </c:pt>
                <c:pt idx="6">
                  <c:v>7</c:v>
                </c:pt>
                <c:pt idx="7">
                  <c:v>7</c:v>
                </c:pt>
                <c:pt idx="8">
                  <c:v>7</c:v>
                </c:pt>
                <c:pt idx="9">
                  <c:v>5</c:v>
                </c:pt>
              </c:numCache>
            </c:numRef>
          </c:val>
          <c:extLst>
            <c:ext xmlns:c16="http://schemas.microsoft.com/office/drawing/2014/chart" uri="{C3380CC4-5D6E-409C-BE32-E72D297353CC}">
              <c16:uniqueId val="{00000000-F30B-4994-A586-9FE5C279CACF}"/>
            </c:ext>
          </c:extLst>
        </c:ser>
        <c:dLbls>
          <c:showLegendKey val="0"/>
          <c:showVal val="0"/>
          <c:showCatName val="0"/>
          <c:showSerName val="0"/>
          <c:showPercent val="0"/>
          <c:showBubbleSize val="0"/>
        </c:dLbls>
        <c:gapWidth val="182"/>
        <c:axId val="1256146080"/>
        <c:axId val="2092529008"/>
      </c:barChart>
      <c:catAx>
        <c:axId val="125614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92529008"/>
        <c:crosses val="autoZero"/>
        <c:auto val="1"/>
        <c:lblAlgn val="ctr"/>
        <c:lblOffset val="100"/>
        <c:noMultiLvlLbl val="0"/>
      </c:catAx>
      <c:valAx>
        <c:axId val="2092529008"/>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5614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r>
              <a:rPr lang="en-US"/>
              <a:t>Sortiment nach Preissegment</a:t>
            </a:r>
          </a:p>
        </c:rich>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'Postkarten Dashboard'!$F$8</c:f>
              <c:strCache>
                <c:ptCount val="1"/>
                <c:pt idx="0">
                  <c:v>Karten</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'Postkarten Dashboard'!$E$9:$E$12</c:f>
              <c:strCache>
                <c:ptCount val="4"/>
                <c:pt idx="0">
                  <c:v>Premium (≥ 12 €)</c:v>
                </c:pt>
                <c:pt idx="1">
                  <c:v>Kernsortiment (8–11,99 €)</c:v>
                </c:pt>
                <c:pt idx="2">
                  <c:v>Standard (5–7,99 €)</c:v>
                </c:pt>
                <c:pt idx="3">
                  <c:v>Bündel (&lt; 5 €)</c:v>
                </c:pt>
              </c:strCache>
            </c:strRef>
          </c:cat>
          <c:val>
            <c:numRef>
              <c:f>'Postkarten Dashboard'!$F$9:$F$12</c:f>
              <c:numCache>
                <c:formatCode>General</c:formatCode>
                <c:ptCount val="4"/>
                <c:pt idx="0">
                  <c:v>46</c:v>
                </c:pt>
                <c:pt idx="1">
                  <c:v>152</c:v>
                </c:pt>
                <c:pt idx="2">
                  <c:v>201</c:v>
                </c:pt>
                <c:pt idx="3">
                  <c:v>10</c:v>
                </c:pt>
              </c:numCache>
            </c:numRef>
          </c:val>
          <c:extLst>
            <c:ext xmlns:c16="http://schemas.microsoft.com/office/drawing/2014/chart" uri="{C3380CC4-5D6E-409C-BE32-E72D297353CC}">
              <c16:uniqueId val="{00000000-FF80-48FF-BDCB-08A72C0AFAE9}"/>
            </c:ext>
          </c:extLst>
        </c:ser>
        <c:dLbls>
          <c:showLegendKey val="0"/>
          <c:showVal val="0"/>
          <c:showCatName val="0"/>
          <c:showSerName val="0"/>
          <c:showPercent val="0"/>
          <c:showBubbleSize val="0"/>
        </c:dLbls>
        <c:gapWidth val="219"/>
        <c:overlap val="-27"/>
        <c:axId val="1395764336"/>
        <c:axId val="2092638448"/>
      </c:barChart>
      <c:catAx>
        <c:axId val="139576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2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92638448"/>
        <c:crosses val="autoZero"/>
        <c:auto val="1"/>
        <c:lblAlgn val="ctr"/>
        <c:lblOffset val="100"/>
        <c:noMultiLvlLbl val="0"/>
      </c:catAx>
      <c:valAx>
        <c:axId val="209263844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9576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0</xdr:colOff>
      <xdr:row>2</xdr:row>
      <xdr:rowOff>0</xdr:rowOff>
    </xdr:from>
    <xdr:to>
      <xdr:col>23</xdr:col>
      <xdr:colOff>0</xdr:colOff>
      <xdr:row>18</xdr:row>
      <xdr:rowOff>0</xdr:rowOff>
    </xdr:to>
    <xdr:graphicFrame macro="">
      <xdr:nvGraphicFramePr>
        <xdr:cNvPr id="2" name="TopOrte">
          <a:extLst>
            <a:ext uri="{FF2B5EF4-FFF2-40B4-BE49-F238E27FC236}">
              <a16:creationId xmlns:a16="http://schemas.microsoft.com/office/drawing/2014/main" id="{E816D194-4BA5-72F4-A3B5-8497E9B272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19</xdr:row>
      <xdr:rowOff>0</xdr:rowOff>
    </xdr:from>
    <xdr:to>
      <xdr:col>23</xdr:col>
      <xdr:colOff>0</xdr:colOff>
      <xdr:row>35</xdr:row>
      <xdr:rowOff>0</xdr:rowOff>
    </xdr:to>
    <xdr:graphicFrame macro="">
      <xdr:nvGraphicFramePr>
        <xdr:cNvPr id="4" name="PreisMix">
          <a:extLst>
            <a:ext uri="{FF2B5EF4-FFF2-40B4-BE49-F238E27FC236}">
              <a16:creationId xmlns:a16="http://schemas.microsoft.com/office/drawing/2014/main" id="{C840824E-B337-8838-5E1A-3F84EFE9A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960DD4-DDA6-4B3C-AE77-10D9FF75DDCF}" name="Tabelle4" displayName="Tabelle4" ref="A1:Q696" totalsRowCount="1">
  <autoFilter ref="A1:Q695" xr:uid="{D0960DD4-DDA6-4B3C-AE77-10D9FF75DDCF}"/>
  <tableColumns count="17">
    <tableColumn id="1" xr3:uid="{E4A16F38-2E65-4B9C-8BB2-53B6DA45B0A7}" name="Artikelnummer"/>
    <tableColumn id="2" xr3:uid="{84B43110-C4CA-4F8C-A017-5D4BB4780634}" name="Titel"/>
    <tableColumn id="3" xr3:uid="{F8486D3D-A89B-4F1F-AB93-092BAFDD20D4}" name="Verlag"/>
    <tableColumn id="4" xr3:uid="{7A15C37D-9808-408D-8693-D6F6F73A2F51}" name="Ort / Region"/>
    <tableColumn id="5" xr3:uid="{32E2E370-B3EC-4D28-98BF-90A0C530C4FB}" name="Kategorie / Motiv"/>
    <tableColumn id="6" xr3:uid="{A5CDB446-10B2-40D1-94D0-F24E2F035028}" name="Erhaltungszustand"/>
    <tableColumn id="7" xr3:uid="{94167E0C-D9F2-446C-9197-A71A84CD527D}" name="Zustand Details"/>
    <tableColumn id="8" xr3:uid="{B2F9329E-E79E-4DE7-AE99-8CE2A8E7C6F7}" name="Gelaufen (J/N)"/>
    <tableColumn id="9" xr3:uid="{EC2E9595-6EBF-4614-938F-4BFB63A59402}" name="Baujahr / Postamt"/>
    <tableColumn id="10" xr3:uid="{20D3D85E-EC67-4873-9DC4-36969EB9D315}" name="Stempel Info"/>
    <tableColumn id="11" xr3:uid="{627C5E8D-3D33-4BE6-BBDE-82823025E5AD}" name="Empfänger / Absender"/>
    <tableColumn id="12" xr3:uid="{15465669-47EA-4127-B8CD-1A9FA6DFB456}" name="Wert Min (€)"/>
    <tableColumn id="13" xr3:uid="{1B55A3E5-8D5E-4CC8-B889-D854607D28B8}" name="Wert Max (€)"/>
    <tableColumn id="14" xr3:uid="{C9A33F86-2AAC-4B7F-9A5D-50975B3F9EF1}" name="Verkaufspreis (€)" totalsRowFunction="custom" totalsRowDxfId="0">
      <totalsRowFormula>SUM(N2:N695)</totalsRowFormula>
    </tableColumn>
    <tableColumn id="15" xr3:uid="{E136E078-26FC-436B-8D1C-9DCD93830DAA}" name="Status"/>
    <tableColumn id="16" xr3:uid="{8BD32F92-B8C4-4485-81F5-DD14A366D502}" name="Besondere Merkmale"/>
    <tableColumn id="17" xr3:uid="{7ADF95D7-15A9-49D4-B94C-CFC3272EF079}" name="Bekannte Mäng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7962BE7-CAFF-4EE7-9835-1BEEDEE33146}" name="Tabelle1" displayName="Tabelle1" ref="A1:XFD7" totalsRowShown="0" tableBorderDxfId="80">
  <autoFilter ref="A1:XFD7" xr:uid="{37962BE7-CAFF-4EE7-9835-1BEEDEE33146}"/>
  <tableColumns count="16384">
    <tableColumn id="1" xr3:uid="{EAC9CA0E-70E4-4F1A-8F91-5841C58290FF}" name="Artikelnummer" dataDxfId="79"/>
    <tableColumn id="2" xr3:uid="{5947C3B0-16B7-45A6-8FA2-AD7A9A6A8ACF}" name="Titel" dataDxfId="78"/>
    <tableColumn id="3" xr3:uid="{48DE2156-22DA-4F1B-9836-1C6C6E1408EF}" name="Verlag" dataDxfId="77"/>
    <tableColumn id="4" xr3:uid="{11F3F0B3-3659-4E65-B5BA-75F9D9B2299E}" name="Ort / Region" dataDxfId="76"/>
    <tableColumn id="5" xr3:uid="{822CCF5B-E685-4C7E-9258-C00A2DD0A25F}" name="Kategorie / Motiv" dataDxfId="75"/>
    <tableColumn id="6" xr3:uid="{4B411E83-73F2-4A01-AA15-CCC4EC121BC5}" name="Erhaltungszustand" dataDxfId="74"/>
    <tableColumn id="7" xr3:uid="{A0C88702-400E-4749-8ECC-2E3B1D92B776}" name="Zustand Details" dataDxfId="73"/>
    <tableColumn id="8" xr3:uid="{D1010ED3-D276-4BA6-A9FD-8C0EAEB9CCD1}" name="Gelaufen (J/N)" dataDxfId="72"/>
    <tableColumn id="9" xr3:uid="{FDD5D6B9-FEAB-448D-A982-743F3E64B679}" name="Baujahr / Postamt" dataDxfId="71"/>
    <tableColumn id="10" xr3:uid="{B57BDA8A-0E58-481F-B679-FCB2C672D878}" name="Stempel Info" dataDxfId="70"/>
    <tableColumn id="11" xr3:uid="{F56E8CBA-865C-49D0-A311-726E6630B164}" name="Empfänger / Absender" dataDxfId="69"/>
    <tableColumn id="12" xr3:uid="{0E0E9FC4-6D2D-44A4-88CE-8DBB63BCF269}" name="Wert Min (€)" dataDxfId="68"/>
    <tableColumn id="13" xr3:uid="{3A75AD39-8C4F-4619-AB3C-5E9E98443921}" name="Wert Max (€)" dataDxfId="67"/>
    <tableColumn id="14" xr3:uid="{B5F6B1EC-4209-4070-8BCF-58908CE3118D}" name="Verkaufspreis (€)" dataDxfId="66">
      <calculatedColumnFormula>MAX(L2,M2)</calculatedColumnFormula>
    </tableColumn>
    <tableColumn id="15" xr3:uid="{F04D6C93-8BBA-4EAD-AA39-CF8B12A3C01C}" name="Status" dataDxfId="65"/>
    <tableColumn id="16" xr3:uid="{278DFB86-6331-42B2-B54D-1B1D235ABBF8}" name="Besondere Merkmale" dataDxfId="64"/>
    <tableColumn id="17" xr3:uid="{0586AC56-70A5-4BF3-B30B-547479DCF478}" name="Bekannte Mängel"/>
    <tableColumn id="18" xr3:uid="{0185935B-FD4B-442B-8124-0090C77F0F9A}" name="Spalte1"/>
    <tableColumn id="19" xr3:uid="{7BFB81DF-94E9-41ED-9E87-872DA08912FC}" name="Spalte2"/>
    <tableColumn id="20" xr3:uid="{9DA8C344-7C7E-4956-BEB6-4DC3209838D1}" name="Spalte3"/>
    <tableColumn id="21" xr3:uid="{A7BD75B7-6BCA-44FE-9479-A1321571DBCC}" name="Spalte4"/>
    <tableColumn id="22" xr3:uid="{0FDBAC45-95CF-437A-8190-1AADACE22FBD}" name="Spalte5"/>
    <tableColumn id="23" xr3:uid="{1EAC5B4F-71FD-4498-9E74-6AABE023A884}" name="Spalte6"/>
    <tableColumn id="24" xr3:uid="{EBF86961-D595-4324-B68B-E001E2BFCD4A}" name="Spalte7"/>
    <tableColumn id="25" xr3:uid="{BB0F4A17-D040-4DD8-A915-F4A9FABAA9C8}" name="Spalte8"/>
    <tableColumn id="26" xr3:uid="{CA6A8E2E-CD32-439E-A53C-C73F3A7D733B}" name="Spalte9"/>
    <tableColumn id="27" xr3:uid="{7AF50E9C-D301-46FA-A8F6-CED239B44708}" name="Spalte10"/>
    <tableColumn id="28" xr3:uid="{827A639E-A943-4956-96DF-21AA1CA6C37E}" name="Spalte11"/>
    <tableColumn id="29" xr3:uid="{21F775CA-2358-44FB-B30F-EF7642BEB91C}" name="Spalte12"/>
    <tableColumn id="30" xr3:uid="{EA68FF1A-E18D-4FF9-A174-762916C40D0E}" name="Spalte13"/>
    <tableColumn id="31" xr3:uid="{7EE0870E-9CEA-4D85-90FA-A418D07982AE}" name="Spalte14"/>
    <tableColumn id="32" xr3:uid="{0B360717-154D-45F7-BAAA-D5936431033A}" name="Spalte15"/>
    <tableColumn id="33" xr3:uid="{638CBC73-B190-42E6-9233-227F70E2489F}" name="Spalte16"/>
    <tableColumn id="34" xr3:uid="{49A02315-4A97-4E43-A97E-2AFCE2F250B7}" name="Spalte17"/>
    <tableColumn id="35" xr3:uid="{31845188-EC44-4E20-BB2F-206D5B857EF7}" name="Spalte18"/>
    <tableColumn id="36" xr3:uid="{9364FBB6-A020-423D-84E2-584A40D8D1FF}" name="Spalte19"/>
    <tableColumn id="37" xr3:uid="{77F6921C-AEDF-48CC-BB62-E6CA8A48EDDB}" name="Spalte20"/>
    <tableColumn id="38" xr3:uid="{16E4171E-3EA4-4353-9934-94853BBC1A57}" name="Spalte21"/>
    <tableColumn id="39" xr3:uid="{8FF8DA96-7D3C-4D70-A421-F44055437DB0}" name="Spalte22"/>
    <tableColumn id="40" xr3:uid="{FF1FD3F6-E4AC-4AF1-8F73-6CC5E4E63478}" name="Spalte23"/>
    <tableColumn id="41" xr3:uid="{009EB317-0899-4D78-8414-4114E1E5E5F0}" name="Spalte24"/>
    <tableColumn id="42" xr3:uid="{ABFD2052-1134-4BB1-926C-DE21022791BF}" name="Spalte25"/>
    <tableColumn id="43" xr3:uid="{851C3568-C1CE-4E89-889A-E396E13599DB}" name="Spalte26"/>
    <tableColumn id="44" xr3:uid="{F664EF53-5649-4155-A98B-C898E5B6849C}" name="Spalte27"/>
    <tableColumn id="45" xr3:uid="{0E994453-9757-4DB9-826D-E0B714F51716}" name="Spalte28"/>
    <tableColumn id="46" xr3:uid="{77695E2A-FAF3-4ABC-AE5E-81ECBE894D04}" name="Spalte29"/>
    <tableColumn id="47" xr3:uid="{6FD33010-2789-47CB-A5DC-CA3B5B47187C}" name="Spalte30"/>
    <tableColumn id="48" xr3:uid="{47667B91-A4D6-4352-9E26-878E10CA1760}" name="Spalte31"/>
    <tableColumn id="49" xr3:uid="{0A139AD1-E98F-4BEC-8F4E-9ED92160730D}" name="Spalte32"/>
    <tableColumn id="50" xr3:uid="{B70BDE78-46CD-4522-9EEC-E699431CA1F6}" name="Spalte33"/>
    <tableColumn id="51" xr3:uid="{C584D073-E6B4-45D9-9038-BDE7B9ED66CD}" name="Spalte34"/>
    <tableColumn id="52" xr3:uid="{71F34427-CA20-4308-8F25-C7D479F8F284}" name="Spalte35"/>
    <tableColumn id="53" xr3:uid="{944D68E7-FAF0-4704-BD6C-C9EC7CB13270}" name="Spalte36"/>
    <tableColumn id="54" xr3:uid="{7E64208B-34F1-45E7-B7D9-9DE071600371}" name="Spalte37"/>
    <tableColumn id="55" xr3:uid="{DCDE91DA-0C2E-402F-9AE6-8EE71B9F96DF}" name="Spalte38"/>
    <tableColumn id="56" xr3:uid="{86676615-4546-4EF1-8369-38918DE9AD3B}" name="Spalte39"/>
    <tableColumn id="57" xr3:uid="{1FBB0483-C77C-4C81-874E-56C156CD1806}" name="Spalte40"/>
    <tableColumn id="58" xr3:uid="{21581A6E-C243-4D70-BD91-6B756925765F}" name="Spalte41"/>
    <tableColumn id="59" xr3:uid="{DBBBFB94-549A-4076-B863-6D4DD78A9D89}" name="Spalte42"/>
    <tableColumn id="60" xr3:uid="{91281C1C-C92F-4C9C-9EB5-8C8ACD5933B8}" name="Spalte43"/>
    <tableColumn id="61" xr3:uid="{9C0AD285-B316-4246-B4FD-F44AC061E441}" name="Spalte44"/>
    <tableColumn id="62" xr3:uid="{86D2C410-83F0-46EC-86EA-C62E13591686}" name="Spalte45"/>
    <tableColumn id="63" xr3:uid="{159F9C69-455C-499E-AF2C-15AA5BE3F8E3}" name="Spalte46"/>
    <tableColumn id="64" xr3:uid="{F21D63A1-3A61-4140-8BC9-ADA642547CCC}" name="Spalte47"/>
    <tableColumn id="65" xr3:uid="{4BCF8B3D-EA4A-4435-BAE6-1ECA70495DE5}" name="Spalte48"/>
    <tableColumn id="66" xr3:uid="{2FDB6A7C-8A49-4C92-9897-3C88BBC01C68}" name="Spalte49"/>
    <tableColumn id="67" xr3:uid="{6286769D-19ED-48FC-AD2A-F90F7D7E0AFE}" name="Spalte50"/>
    <tableColumn id="68" xr3:uid="{8A042796-5D4F-4108-823D-A1C29E23EB15}" name="Spalte51"/>
    <tableColumn id="69" xr3:uid="{70D7DE89-9578-4E34-9685-E0CE6B70A050}" name="Spalte52"/>
    <tableColumn id="70" xr3:uid="{0B160F64-A4EA-4FC6-904F-16CCB4C3F415}" name="Spalte53"/>
    <tableColumn id="71" xr3:uid="{AC54058D-D1B3-4BAA-9B03-547D5D8E58B7}" name="Spalte54"/>
    <tableColumn id="72" xr3:uid="{51E37B98-D323-447E-896E-9E78123F049B}" name="Spalte55"/>
    <tableColumn id="73" xr3:uid="{4DAC1410-BABC-4020-B358-5F47552784BC}" name="Spalte56"/>
    <tableColumn id="74" xr3:uid="{3ED79C4A-0B0D-4640-83AA-5E1BFF891121}" name="Spalte57"/>
    <tableColumn id="75" xr3:uid="{EDC90F49-3719-436E-BC23-42BBFBC70D2E}" name="Spalte58"/>
    <tableColumn id="76" xr3:uid="{B376FBB8-7D27-4F6A-999E-8AC3A1489DD9}" name="Spalte59"/>
    <tableColumn id="77" xr3:uid="{A269FD1F-FF9D-4180-A87A-A608594BC211}" name="Spalte60"/>
    <tableColumn id="78" xr3:uid="{B7507260-FE01-4B3E-9BF1-39D4FADE71C2}" name="Spalte61"/>
    <tableColumn id="79" xr3:uid="{91746B0F-E11D-44CB-9D10-3C997EDA9489}" name="Spalte62"/>
    <tableColumn id="80" xr3:uid="{17F66B57-7E64-4EC1-A43E-B21DB9DA2009}" name="Spalte63"/>
    <tableColumn id="81" xr3:uid="{D390A960-41B6-4D63-83F9-0F674C4071A3}" name="Spalte64"/>
    <tableColumn id="82" xr3:uid="{A3FA64E5-50D5-4428-B9B1-DC92C754E1AD}" name="Spalte65"/>
    <tableColumn id="83" xr3:uid="{8D174693-3D80-498E-84A1-1F7797DB93A1}" name="Spalte66"/>
    <tableColumn id="84" xr3:uid="{35F00BA2-A29B-426E-B685-FC231D794013}" name="Spalte67"/>
    <tableColumn id="85" xr3:uid="{8C04847C-6D08-4A79-9219-48A068D80403}" name="Spalte68"/>
    <tableColumn id="86" xr3:uid="{F64D49A1-76BF-471D-91A8-75DD895C902E}" name="Spalte69"/>
    <tableColumn id="87" xr3:uid="{74ECFA91-677B-4FD5-88BA-86576A7408E2}" name="Spalte70"/>
    <tableColumn id="88" xr3:uid="{5BC0D8C0-1443-45DD-B20F-A1DAECBDF3A3}" name="Spalte71"/>
    <tableColumn id="89" xr3:uid="{F81769AE-23CD-44B1-AC73-8FCA9487299F}" name="Spalte72"/>
    <tableColumn id="90" xr3:uid="{61C28338-5A85-41FC-8B65-AE6C30B713A1}" name="Spalte73"/>
    <tableColumn id="91" xr3:uid="{FC72A4A0-EC8C-4117-8F7F-4E845D97866E}" name="Spalte74"/>
    <tableColumn id="92" xr3:uid="{3046A16D-A806-495D-8A59-7BE6C3CE9094}" name="Spalte75"/>
    <tableColumn id="93" xr3:uid="{6E7098C7-2AA8-441C-AB60-A868921E968B}" name="Spalte76"/>
    <tableColumn id="94" xr3:uid="{95395B88-AB55-464B-961A-A992373EC04F}" name="Spalte77"/>
    <tableColumn id="95" xr3:uid="{2D641E93-970A-4ED9-A0BC-FC42C49831E5}" name="Spalte78"/>
    <tableColumn id="96" xr3:uid="{DBC86963-0658-43B4-AF86-464CA0F02410}" name="Spalte79"/>
    <tableColumn id="97" xr3:uid="{40FC19B9-2DA8-48CF-9BA2-A19AB4242215}" name="Spalte80"/>
    <tableColumn id="98" xr3:uid="{E41EFA57-9854-4FA6-A794-4D8ADA216E6C}" name="Spalte81"/>
    <tableColumn id="99" xr3:uid="{DE4993E3-3B92-4711-8679-B44925715C90}" name="Spalte82"/>
    <tableColumn id="100" xr3:uid="{AD06F28A-CA12-404F-A113-40EC50ED0E4E}" name="Spalte83"/>
    <tableColumn id="101" xr3:uid="{DA1C703D-4BB0-4423-AFD8-7FC8BFFDF700}" name="Spalte84"/>
    <tableColumn id="102" xr3:uid="{68015DDD-A558-4EBB-AEB2-52E0A3F2BF06}" name="Spalte85"/>
    <tableColumn id="103" xr3:uid="{71F7352B-3AC6-45C2-B05F-80C63093ACF6}" name="Spalte86"/>
    <tableColumn id="104" xr3:uid="{8376C098-A087-473C-BD60-8DB9F59F9F85}" name="Spalte87"/>
    <tableColumn id="105" xr3:uid="{028D63E9-F67B-4D3A-A5A0-0184FF6AC903}" name="Spalte88"/>
    <tableColumn id="106" xr3:uid="{2B1F6470-4EF6-4B8F-8EF6-C395C7D9D147}" name="Spalte89"/>
    <tableColumn id="107" xr3:uid="{6018068A-5F8E-4FBA-A680-AA239252B4F9}" name="Spalte90"/>
    <tableColumn id="108" xr3:uid="{CC7E17D6-3C29-48B0-8648-B299561DF272}" name="Spalte91"/>
    <tableColumn id="109" xr3:uid="{E3084169-EEA8-4C00-94AD-3DB8B1A5998E}" name="Spalte92"/>
    <tableColumn id="110" xr3:uid="{F1719DF8-18CD-4C84-A916-25DA06875B05}" name="Spalte93"/>
    <tableColumn id="111" xr3:uid="{341934BE-F1E7-476C-A3BC-D7B4C994DB33}" name="Spalte94"/>
    <tableColumn id="112" xr3:uid="{E5496939-2312-4473-84EF-87554C967DAD}" name="Spalte95"/>
    <tableColumn id="113" xr3:uid="{70F822C5-B08C-4C2D-A12E-FB8944823816}" name="Spalte96"/>
    <tableColumn id="114" xr3:uid="{1BF9B2FD-DA21-4DCC-A436-0D4F34110A6A}" name="Spalte97"/>
    <tableColumn id="115" xr3:uid="{62187A4C-4F95-4566-BD83-7F449B6F029D}" name="Spalte98"/>
    <tableColumn id="116" xr3:uid="{2D5947C5-E8DF-40AB-BFE5-59D661820E02}" name="Spalte99"/>
    <tableColumn id="117" xr3:uid="{F155BE12-EE50-40DF-983B-F5403F3ADB44}" name="Spalte100"/>
    <tableColumn id="118" xr3:uid="{5D4FA9A4-5848-4D4C-BAFD-F903CAC43175}" name="Spalte101"/>
    <tableColumn id="119" xr3:uid="{6B52BAE4-DB37-414D-A1AC-5A3CCAED97CB}" name="Spalte102"/>
    <tableColumn id="120" xr3:uid="{21BE76A7-C59F-4FE5-8EBA-010479E1F0BA}" name="Spalte103"/>
    <tableColumn id="121" xr3:uid="{34AAEFCB-771F-41B1-B22B-3DB121859A02}" name="Spalte104"/>
    <tableColumn id="122" xr3:uid="{FA2F7D3B-B40E-4DB5-A96A-03077B255451}" name="Spalte105"/>
    <tableColumn id="123" xr3:uid="{94557D52-0B04-40D8-98FF-7FA30E3FC5F0}" name="Spalte106"/>
    <tableColumn id="124" xr3:uid="{B9B91E0F-7833-47AB-AA89-EE7E5B7C2ABA}" name="Spalte107"/>
    <tableColumn id="125" xr3:uid="{15ACDEFC-711D-4503-85E2-CE6AC1143512}" name="Spalte108"/>
    <tableColumn id="126" xr3:uid="{EA094756-C641-4F00-9F87-97C9BF4AA432}" name="Spalte109"/>
    <tableColumn id="127" xr3:uid="{764F6594-AD64-4F9A-8AD9-349026EDB184}" name="Spalte110"/>
    <tableColumn id="128" xr3:uid="{A5793602-B2C4-49FF-BE46-22487F316A02}" name="Spalte111"/>
    <tableColumn id="129" xr3:uid="{109C2181-1650-4D72-A07E-E8375CFD5C7A}" name="Spalte112"/>
    <tableColumn id="130" xr3:uid="{1C47E24F-F5D0-420D-B0CB-9BDADB9DF858}" name="Spalte113"/>
    <tableColumn id="131" xr3:uid="{0E9BED3A-8C39-4861-9368-B4E6B0AD0D96}" name="Spalte114"/>
    <tableColumn id="132" xr3:uid="{210B446D-703E-4706-A26C-9EA075A01C91}" name="Spalte115"/>
    <tableColumn id="133" xr3:uid="{1A0E6C19-D447-4C96-9E28-11E59EBC2121}" name="Spalte116"/>
    <tableColumn id="134" xr3:uid="{4B125136-6C90-43D0-9B36-1849D7FE4E90}" name="Spalte117"/>
    <tableColumn id="135" xr3:uid="{58F64418-745C-458B-B741-A39395963146}" name="Spalte118"/>
    <tableColumn id="136" xr3:uid="{EB8AFB36-20BE-41CB-8437-382C770B95CD}" name="Spalte119"/>
    <tableColumn id="137" xr3:uid="{99E3E964-3DAB-4CD0-9B24-64F0E1255BEC}" name="Spalte120"/>
    <tableColumn id="138" xr3:uid="{D1D6FAF2-CD11-4A11-807E-CC3F1EDFD887}" name="Spalte121"/>
    <tableColumn id="139" xr3:uid="{7B49D1B0-1996-4A9E-B0A4-F55572B2B0A4}" name="Spalte122"/>
    <tableColumn id="140" xr3:uid="{873C611A-8E8B-41B9-A33B-EBAB04C63604}" name="Spalte123"/>
    <tableColumn id="141" xr3:uid="{0BF72FB4-FD55-47BF-B9A5-FF2A107DC47B}" name="Spalte124"/>
    <tableColumn id="142" xr3:uid="{B5E701E9-5AD2-4B0B-81A9-2D3600CB3824}" name="Spalte125"/>
    <tableColumn id="143" xr3:uid="{BB37E848-8FB3-44D5-AB8A-B5878E495B85}" name="Spalte126"/>
    <tableColumn id="144" xr3:uid="{AC025F1A-7635-4783-8C95-6AC797D839E7}" name="Spalte127"/>
    <tableColumn id="145" xr3:uid="{522DF390-BBFA-470B-930C-85D9648363DC}" name="Spalte128"/>
    <tableColumn id="146" xr3:uid="{4E4C5D17-580F-4068-9EB0-0915EA42FD6B}" name="Spalte129"/>
    <tableColumn id="147" xr3:uid="{9054CBA9-0ADD-48E9-9D85-D65D364A0BEA}" name="Spalte130"/>
    <tableColumn id="148" xr3:uid="{27F807B7-7645-4AF6-AECF-109355918B08}" name="Spalte131"/>
    <tableColumn id="149" xr3:uid="{8D4C580F-CB6F-456E-BD00-651425342094}" name="Spalte132"/>
    <tableColumn id="150" xr3:uid="{910C8893-B45A-4753-B380-0930AA1608FF}" name="Spalte133"/>
    <tableColumn id="151" xr3:uid="{14FAEF0C-297E-45C4-B98A-65F5D659C7DD}" name="Spalte134"/>
    <tableColumn id="152" xr3:uid="{EF109CEB-FC2E-4DF9-8BF1-4233A0B57D7E}" name="Spalte135"/>
    <tableColumn id="153" xr3:uid="{98E2413D-50E1-4147-AEDE-EB7C2FB977A8}" name="Spalte136"/>
    <tableColumn id="154" xr3:uid="{CC58DBE7-50A8-4553-88A7-EB100B35B97E}" name="Spalte137"/>
    <tableColumn id="155" xr3:uid="{A07A3B8E-20F6-40A9-83AB-791716982569}" name="Spalte138"/>
    <tableColumn id="156" xr3:uid="{A94745B9-3A0C-4F5F-8D39-B9DC1B77169E}" name="Spalte139"/>
    <tableColumn id="157" xr3:uid="{6AF2470C-3DCA-4429-B34D-8D607DC8E54F}" name="Spalte140"/>
    <tableColumn id="158" xr3:uid="{E388FFAE-D249-45F7-88E6-85B394836A62}" name="Spalte141"/>
    <tableColumn id="159" xr3:uid="{AA08FEB9-A8A6-4F98-BEF6-751C04325165}" name="Spalte142"/>
    <tableColumn id="160" xr3:uid="{6DD93F96-AD77-423C-9B0E-A58BF36DA1E8}" name="Spalte143"/>
    <tableColumn id="161" xr3:uid="{0620D8C6-5689-4B35-968E-533089C71D8B}" name="Spalte144"/>
    <tableColumn id="162" xr3:uid="{AACCF329-80C0-4967-98BF-29C5FF9764B4}" name="Spalte145"/>
    <tableColumn id="163" xr3:uid="{C8D87A83-AFE2-4B38-BCC5-0769E5818EB4}" name="Spalte146"/>
    <tableColumn id="164" xr3:uid="{511E0CB0-22D8-4E59-A34B-465B68FA6059}" name="Spalte147"/>
    <tableColumn id="165" xr3:uid="{8190F59E-36AE-4A9C-8377-79C803A8B177}" name="Spalte148"/>
    <tableColumn id="166" xr3:uid="{AAD25618-F5E4-4498-A333-52A6E46129FE}" name="Spalte149"/>
    <tableColumn id="167" xr3:uid="{99D975C0-120E-49FD-8276-F48B10870858}" name="Spalte150"/>
    <tableColumn id="168" xr3:uid="{14EDF1AE-8F88-4CEB-B000-5CB30657DD7A}" name="Spalte151"/>
    <tableColumn id="169" xr3:uid="{CA3014A2-4556-4CAD-801F-0CBF2332C3D6}" name="Spalte152"/>
    <tableColumn id="170" xr3:uid="{F2769695-C110-4257-A035-73197CC877B7}" name="Spalte153"/>
    <tableColumn id="171" xr3:uid="{E6F6100F-FBC2-4FE9-8C46-27A7D0135226}" name="Spalte154"/>
    <tableColumn id="172" xr3:uid="{25C5CE57-2457-4E1B-8156-19680C62323D}" name="Spalte155"/>
    <tableColumn id="173" xr3:uid="{52AB41A3-271A-43B4-AB05-96D1D9E80D11}" name="Spalte156"/>
    <tableColumn id="174" xr3:uid="{2C505381-A36E-4A44-B351-ECB8CCD0C440}" name="Spalte157"/>
    <tableColumn id="175" xr3:uid="{B19927E2-491A-4DE2-86B7-FAFCED0B7801}" name="Spalte158"/>
    <tableColumn id="176" xr3:uid="{C8DFB5B6-46A4-41C0-B568-7C9616B4E8E4}" name="Spalte159"/>
    <tableColumn id="177" xr3:uid="{740981F8-CB33-40B8-9E52-8722F387267B}" name="Spalte160"/>
    <tableColumn id="178" xr3:uid="{EB9D10D5-3290-4CF8-90ED-A1F821252ADD}" name="Spalte161"/>
    <tableColumn id="179" xr3:uid="{B4A2E883-C153-46E9-BB7F-C51EE0F2A030}" name="Spalte162"/>
    <tableColumn id="180" xr3:uid="{68E1AADF-E771-4EDF-AE05-FD383ACF9CC3}" name="Spalte163"/>
    <tableColumn id="181" xr3:uid="{CA23DE67-FBAD-4659-B14A-1CD63C581122}" name="Spalte164"/>
    <tableColumn id="182" xr3:uid="{742BFDE5-60E3-4B4A-9F52-5059D4CEC227}" name="Spalte165"/>
    <tableColumn id="183" xr3:uid="{BB73EE7F-C22E-4268-A195-930845405DE4}" name="Spalte166"/>
    <tableColumn id="184" xr3:uid="{F6A5078D-3CBB-4641-ABC8-E362F886A4F1}" name="Spalte167"/>
    <tableColumn id="185" xr3:uid="{8F81DB63-7402-4E4C-9351-113970BCCEBE}" name="Spalte168"/>
    <tableColumn id="186" xr3:uid="{70E33633-F743-4257-BEA0-013804FCF137}" name="Spalte169"/>
    <tableColumn id="187" xr3:uid="{6950D4EF-319E-4D87-A27A-D4686738CAE7}" name="Spalte170"/>
    <tableColumn id="188" xr3:uid="{ECCDDC89-7A76-47D7-9245-C36F276CAE73}" name="Spalte171"/>
    <tableColumn id="189" xr3:uid="{EC4E60DD-C482-4BDC-A488-17D9DC23F8DB}" name="Spalte172"/>
    <tableColumn id="190" xr3:uid="{51BCEB5E-9578-4239-B15A-D8B0329E8E33}" name="Spalte173"/>
    <tableColumn id="191" xr3:uid="{2099CEDF-8DE4-44C7-BDB8-FBD62182FF01}" name="Spalte174"/>
    <tableColumn id="192" xr3:uid="{06917B54-7160-44CE-9A93-271A8B42A262}" name="Spalte175"/>
    <tableColumn id="193" xr3:uid="{E20D8953-F4BE-48D2-9C16-AB3C1E561FC2}" name="Spalte176"/>
    <tableColumn id="194" xr3:uid="{04956245-B544-45F8-98B2-9DC6A8D41F5E}" name="Spalte177"/>
    <tableColumn id="195" xr3:uid="{582087A0-4555-4773-9F78-07B09B28B2EC}" name="Spalte178"/>
    <tableColumn id="196" xr3:uid="{661B8CA2-05F5-4A71-B999-0525B170F060}" name="Spalte179"/>
    <tableColumn id="197" xr3:uid="{E3ADEAB1-70EB-4CA3-8F53-8DDBF9D16835}" name="Spalte180"/>
    <tableColumn id="198" xr3:uid="{FE6019D4-73CC-46D4-892A-8CE1E75BDE1F}" name="Spalte181"/>
    <tableColumn id="199" xr3:uid="{C8A93622-5C17-4C98-AAD1-5F41F9A4C629}" name="Spalte182"/>
    <tableColumn id="200" xr3:uid="{831103A3-89AC-460A-93F4-2AA95EA72A9E}" name="Spalte183"/>
    <tableColumn id="201" xr3:uid="{504AD465-9701-400D-BE67-DD8D7E5BB932}" name="Spalte184"/>
    <tableColumn id="202" xr3:uid="{2F716E73-6B59-4D37-ABD1-53878F980490}" name="Spalte185"/>
    <tableColumn id="203" xr3:uid="{D04583CF-E3AC-432D-9005-60EBCB58D767}" name="Spalte186"/>
    <tableColumn id="204" xr3:uid="{82EBCC84-5D0C-4BB3-8B21-64D41624A0F9}" name="Spalte187"/>
    <tableColumn id="205" xr3:uid="{6F89DC31-D5F6-46DD-A4ED-91B7E4908122}" name="Spalte188"/>
    <tableColumn id="206" xr3:uid="{1116F515-3FAB-4AF2-BB73-4E845616B877}" name="Spalte189"/>
    <tableColumn id="207" xr3:uid="{F3B6C723-A0AE-4698-913A-052E7D6D3006}" name="Spalte190"/>
    <tableColumn id="208" xr3:uid="{D8471AEE-A918-45E7-85C8-7A8911997AD6}" name="Spalte191"/>
    <tableColumn id="209" xr3:uid="{01BF12F2-B722-4920-93C9-9F29A5D24259}" name="Spalte192"/>
    <tableColumn id="210" xr3:uid="{8BCCDC71-55C7-47F5-906D-CC95145A64B3}" name="Spalte193"/>
    <tableColumn id="211" xr3:uid="{EBAC485D-AA6E-4473-A2CA-71A70C6B9863}" name="Spalte194"/>
    <tableColumn id="212" xr3:uid="{53CB7867-7712-4435-B663-66E7AAF61EC3}" name="Spalte195"/>
    <tableColumn id="213" xr3:uid="{A416326A-8FB0-454D-8C2C-EC97D8F6ECAD}" name="Spalte196"/>
    <tableColumn id="214" xr3:uid="{C42264F9-70C0-4987-8F09-BB7548CCC308}" name="Spalte197"/>
    <tableColumn id="215" xr3:uid="{3CB751A5-BB9F-41D6-9F6B-3CA42A535341}" name="Spalte198"/>
    <tableColumn id="216" xr3:uid="{249C3BEF-8BE5-4DB6-ACEB-C8B135A70FD6}" name="Spalte199"/>
    <tableColumn id="217" xr3:uid="{CD36340D-2177-4A83-A621-8D5E1A3AC211}" name="Spalte200"/>
    <tableColumn id="218" xr3:uid="{53B4548F-14D7-4A03-8D2C-12681A9E0213}" name="Spalte201"/>
    <tableColumn id="219" xr3:uid="{872AA15C-8630-4BB4-A4F0-C1ABF113EBE6}" name="Spalte202"/>
    <tableColumn id="220" xr3:uid="{67AE2C86-F320-41B8-A590-D879B8B02A1B}" name="Spalte203"/>
    <tableColumn id="221" xr3:uid="{913E49B0-721F-42D8-8CE8-6C2B7E93F453}" name="Spalte204"/>
    <tableColumn id="222" xr3:uid="{E0FBCD1B-C529-4A09-8469-92A494A2B81E}" name="Spalte205"/>
    <tableColumn id="223" xr3:uid="{EC038FCD-E777-4C0E-800B-B7A7169FE908}" name="Spalte206"/>
    <tableColumn id="224" xr3:uid="{8CDB2559-5529-45F5-886B-DCE746EB1DCE}" name="Spalte207"/>
    <tableColumn id="225" xr3:uid="{7C06255E-73B6-4EAB-85BA-C0C4ABA7A1A1}" name="Spalte208"/>
    <tableColumn id="226" xr3:uid="{1853DA39-4E4D-4A8D-9D0C-480BB2AC7CFF}" name="Spalte209"/>
    <tableColumn id="227" xr3:uid="{E93D1FF3-46C5-479D-8356-2790D8DC3A4D}" name="Spalte210"/>
    <tableColumn id="228" xr3:uid="{4340E461-6EB5-43B0-8E24-0F361FC3C4E8}" name="Spalte211"/>
    <tableColumn id="229" xr3:uid="{54802EB5-E127-4A69-B8E7-02E90FDE778E}" name="Spalte212"/>
    <tableColumn id="230" xr3:uid="{33A2E059-E8A8-425E-AD64-13A46B8F8D69}" name="Spalte213"/>
    <tableColumn id="231" xr3:uid="{68C5DA9E-470E-4D2F-ABC0-CC259FE3D1BA}" name="Spalte214"/>
    <tableColumn id="232" xr3:uid="{A0FF77C0-0BFF-4587-B9F0-9A63D8C103F9}" name="Spalte215"/>
    <tableColumn id="233" xr3:uid="{EC8588D1-FA3C-4B7F-B1C4-DD36BC423005}" name="Spalte216"/>
    <tableColumn id="234" xr3:uid="{BF0A7707-A89F-493C-894B-CBA613A2DCCD}" name="Spalte217"/>
    <tableColumn id="235" xr3:uid="{A56C9835-6755-4B2B-9426-7D32E3D2FC6E}" name="Spalte218"/>
    <tableColumn id="236" xr3:uid="{D152CDB0-B492-42FD-90C4-2C9E48A07276}" name="Spalte219"/>
    <tableColumn id="237" xr3:uid="{B15CB4D3-B0C5-4ACD-AFAD-EE37D6FC6836}" name="Spalte220"/>
    <tableColumn id="238" xr3:uid="{4905A16F-F244-4C06-A9AA-48C19B1779C3}" name="Spalte221"/>
    <tableColumn id="239" xr3:uid="{64A017DB-B6BE-4FFB-9547-9683E431B788}" name="Spalte222"/>
    <tableColumn id="240" xr3:uid="{6488A592-CB51-43A5-AC77-E668941D1F43}" name="Spalte223"/>
    <tableColumn id="241" xr3:uid="{9FE00343-4708-4B5A-B3B8-F742854C123E}" name="Spalte224"/>
    <tableColumn id="242" xr3:uid="{262FC215-5DD3-45A2-98DE-A64AFA6AC842}" name="Spalte225"/>
    <tableColumn id="243" xr3:uid="{247B33FE-08F9-4F75-96BA-EA028437F2ED}" name="Spalte226"/>
    <tableColumn id="244" xr3:uid="{4DB1E870-DFB1-4237-AC3F-EC8BCB8FDC19}" name="Spalte227"/>
    <tableColumn id="245" xr3:uid="{983B9BA0-0217-4AD5-A521-2E9382665CFC}" name="Spalte228"/>
    <tableColumn id="246" xr3:uid="{DDB29840-8E8A-447F-9B41-C6B84D60CA3A}" name="Spalte229"/>
    <tableColumn id="247" xr3:uid="{49CF6CE4-7089-49DA-971D-CAC8B5AD0FB6}" name="Spalte230"/>
    <tableColumn id="248" xr3:uid="{C5C37E6E-75A5-4C19-8ADA-27FB38AE31E0}" name="Spalte231"/>
    <tableColumn id="249" xr3:uid="{0EBCB802-70B2-40B9-9A97-F90A31E03BE3}" name="Spalte232"/>
    <tableColumn id="250" xr3:uid="{C551F676-3E57-45BA-AECF-7CE98949ABBD}" name="Spalte233"/>
    <tableColumn id="251" xr3:uid="{78782EA2-BE6F-4166-9609-7150C7D3C093}" name="Spalte234"/>
    <tableColumn id="252" xr3:uid="{782EA239-72A8-4441-9778-2502810712D4}" name="Spalte235"/>
    <tableColumn id="253" xr3:uid="{11648903-8CD4-400A-87DE-DD7B7425012F}" name="Spalte236"/>
    <tableColumn id="254" xr3:uid="{6926D05E-A2AD-4594-9A52-079EDEA97347}" name="Spalte237"/>
    <tableColumn id="255" xr3:uid="{2683656F-1BD7-489B-8774-E0DE1E28B6AA}" name="Spalte238"/>
    <tableColumn id="256" xr3:uid="{E2D70759-ACD6-47B6-AE4C-5DC274401590}" name="Spalte239"/>
    <tableColumn id="257" xr3:uid="{7B62AA4E-6FDF-48F2-B6BD-CA9B4344EBE2}" name="Spalte240"/>
    <tableColumn id="258" xr3:uid="{39731439-1570-4E57-B2CE-E1C056FE2290}" name="Spalte241"/>
    <tableColumn id="259" xr3:uid="{BA20CFBB-E3AF-4B45-980F-72F0EE3B07F9}" name="Spalte242"/>
    <tableColumn id="260" xr3:uid="{3B000202-19BC-4168-A3D4-AD2F127DD0F9}" name="Spalte243"/>
    <tableColumn id="261" xr3:uid="{2AD3A095-E38F-4ED5-B4CB-1B9160B4F19F}" name="Spalte244"/>
    <tableColumn id="262" xr3:uid="{92304600-03BE-4146-BDB7-81B69CC87D6D}" name="Spalte245"/>
    <tableColumn id="263" xr3:uid="{FF209B0E-460F-4438-8ECC-DEF497DBAC6B}" name="Spalte246"/>
    <tableColumn id="264" xr3:uid="{AA48D960-B5F4-4186-9919-EDDAE234776B}" name="Spalte247"/>
    <tableColumn id="265" xr3:uid="{F92AB0E7-02BB-4010-92DD-AA2C1C1CA8B0}" name="Spalte248"/>
    <tableColumn id="266" xr3:uid="{E61B5896-02E7-454B-8A0B-FF183E90F4ED}" name="Spalte249"/>
    <tableColumn id="267" xr3:uid="{F20883C0-8C81-4112-BFA5-0098A021446C}" name="Spalte250"/>
    <tableColumn id="268" xr3:uid="{7E1A46C7-2FCE-4AD1-85C4-DE3F7F9ABA90}" name="Spalte251"/>
    <tableColumn id="269" xr3:uid="{4A929FD2-AB8A-4E49-839F-701B99A240E7}" name="Spalte252"/>
    <tableColumn id="270" xr3:uid="{B3B64E56-59C6-4E1D-839A-C0AB6082CD13}" name="Spalte253"/>
    <tableColumn id="271" xr3:uid="{35BE4879-56DB-4E30-90FF-7E2DF11C8C5C}" name="Spalte254"/>
    <tableColumn id="272" xr3:uid="{C000851A-EE00-4D84-930B-8EA9B4028467}" name="Spalte255"/>
    <tableColumn id="273" xr3:uid="{5196E92D-E841-4251-A57B-5F118BCCE99C}" name="Spalte256"/>
    <tableColumn id="274" xr3:uid="{BA66DDB6-42CA-42C9-9B1F-143619268213}" name="Spalte257"/>
    <tableColumn id="275" xr3:uid="{2EAAF75E-A38E-4CBA-AA01-15025E323286}" name="Spalte258"/>
    <tableColumn id="276" xr3:uid="{CF328A59-EE8B-4033-8576-074E419AF98F}" name="Spalte259"/>
    <tableColumn id="277" xr3:uid="{8F2531A3-BF01-40C2-8EF2-0C195B77D5A9}" name="Spalte260"/>
    <tableColumn id="278" xr3:uid="{2284A0CA-7CF5-4C53-94C6-9DAA325BF564}" name="Spalte261"/>
    <tableColumn id="279" xr3:uid="{11AE4BE2-C786-4C24-8177-9F33F14BDF45}" name="Spalte262"/>
    <tableColumn id="280" xr3:uid="{EAC48613-354B-4F73-9779-667C34E8124A}" name="Spalte263"/>
    <tableColumn id="281" xr3:uid="{DF560CBC-7B7B-4DB7-A90F-0A8AB48E874D}" name="Spalte264"/>
    <tableColumn id="282" xr3:uid="{2C606388-4FDE-4E2E-9C0E-98DE73210D2D}" name="Spalte265"/>
    <tableColumn id="283" xr3:uid="{164E2DCB-DBA2-4358-A8C3-102043005AEB}" name="Spalte266"/>
    <tableColumn id="284" xr3:uid="{E8DE8349-5610-4A3B-81AA-010FA5C3918C}" name="Spalte267"/>
    <tableColumn id="285" xr3:uid="{49E5ACA0-3228-47A5-A817-C311CDE39E9D}" name="Spalte268"/>
    <tableColumn id="286" xr3:uid="{C94585EC-7799-4E2A-AECB-875879E2C1B8}" name="Spalte269"/>
    <tableColumn id="287" xr3:uid="{921B253B-0B3B-4636-971F-248272F2F012}" name="Spalte270"/>
    <tableColumn id="288" xr3:uid="{811D132E-7F0F-4503-8ACA-2DC55069AE91}" name="Spalte271"/>
    <tableColumn id="289" xr3:uid="{6FFA736C-AF53-4D19-88C6-4CC5FFBE04D0}" name="Spalte272"/>
    <tableColumn id="290" xr3:uid="{474A82CB-3D23-4387-BF6E-117366F814B2}" name="Spalte273"/>
    <tableColumn id="291" xr3:uid="{1AE04130-C09F-4A72-9782-511C6EA788AE}" name="Spalte274"/>
    <tableColumn id="292" xr3:uid="{A2D09D63-2106-404A-A9A8-CF53E563AAC8}" name="Spalte275"/>
    <tableColumn id="293" xr3:uid="{4583E2CB-9F9A-41EC-BB2A-057573C73BD2}" name="Spalte276"/>
    <tableColumn id="294" xr3:uid="{64489B8F-CD1A-43A3-9768-40C369A8D950}" name="Spalte277"/>
    <tableColumn id="295" xr3:uid="{C6DD1DCD-C7EC-4194-9EE6-D806043F71A6}" name="Spalte278"/>
    <tableColumn id="296" xr3:uid="{48EEE8BD-53EC-4F3C-9E50-5BA30FE4FB8B}" name="Spalte279"/>
    <tableColumn id="297" xr3:uid="{FA20A4F7-CD26-4315-B243-6DB52557FFE7}" name="Spalte280"/>
    <tableColumn id="298" xr3:uid="{A125C7A6-DF67-4163-9CFA-2B1CEA248F2C}" name="Spalte281"/>
    <tableColumn id="299" xr3:uid="{366885DB-B33C-4AF4-99D1-73276AB9B971}" name="Spalte282"/>
    <tableColumn id="300" xr3:uid="{DB1B074E-0442-4644-8DAE-619B63133405}" name="Spalte283"/>
    <tableColumn id="301" xr3:uid="{3B7B6394-FA15-4475-85D3-779A5694A66F}" name="Spalte284"/>
    <tableColumn id="302" xr3:uid="{15D63F1C-25FB-4AAE-B8EB-AD4DAC21E19B}" name="Spalte285"/>
    <tableColumn id="303" xr3:uid="{049B1DFD-D30C-4E37-A5FF-E9307250DACA}" name="Spalte286"/>
    <tableColumn id="304" xr3:uid="{E1DCE235-D2A9-454E-B357-B64868627F02}" name="Spalte287"/>
    <tableColumn id="305" xr3:uid="{3D978275-78F0-4277-907A-FA3DD63C7D50}" name="Spalte288"/>
    <tableColumn id="306" xr3:uid="{E3115EC5-3C99-4DBA-B443-F64A13472F14}" name="Spalte289"/>
    <tableColumn id="307" xr3:uid="{8746ED13-9C27-434D-9211-5A2A42D88907}" name="Spalte290"/>
    <tableColumn id="308" xr3:uid="{D357207F-6F18-4495-9FE7-41F34FBA8AE5}" name="Spalte291"/>
    <tableColumn id="309" xr3:uid="{2F7CAA24-8EF8-42CE-A982-32306ACC9C11}" name="Spalte292"/>
    <tableColumn id="310" xr3:uid="{3D673A2F-526A-47E0-B12A-FE90BFDB400D}" name="Spalte293"/>
    <tableColumn id="311" xr3:uid="{477E1BCB-27DD-41D0-8C62-147B1FA8CB68}" name="Spalte294"/>
    <tableColumn id="312" xr3:uid="{9A291CF5-1878-4887-A3BB-06984707213C}" name="Spalte295"/>
    <tableColumn id="313" xr3:uid="{E353310D-51F2-44B5-BB2D-548D242B2046}" name="Spalte296"/>
    <tableColumn id="314" xr3:uid="{126514D8-5392-409B-AF6A-59CDFB192732}" name="Spalte297"/>
    <tableColumn id="315" xr3:uid="{52F01F45-54F3-4BB2-9F09-F4F6E6570C65}" name="Spalte298"/>
    <tableColumn id="316" xr3:uid="{C588BF01-783B-4CE3-A788-F59E8E1731F8}" name="Spalte299"/>
    <tableColumn id="317" xr3:uid="{5CC18D43-6593-4C55-B5D5-B02059B23583}" name="Spalte300"/>
    <tableColumn id="318" xr3:uid="{244D7902-438F-46A1-ADE4-65AEA3704EE5}" name="Spalte301"/>
    <tableColumn id="319" xr3:uid="{37781E42-4D9C-472C-B548-943CEEB5B1AE}" name="Spalte302"/>
    <tableColumn id="320" xr3:uid="{B22B3075-DF46-466A-9C23-4A5E059C4CD1}" name="Spalte303"/>
    <tableColumn id="321" xr3:uid="{D31FC701-C6F1-4C10-BD34-3D13822B216B}" name="Spalte304"/>
    <tableColumn id="322" xr3:uid="{638F1281-C012-4E87-917E-229A0235BFF4}" name="Spalte305"/>
    <tableColumn id="323" xr3:uid="{0A4F4349-5863-425E-B892-0E8E18FFFF1A}" name="Spalte306"/>
    <tableColumn id="324" xr3:uid="{B49E2DA5-BAD6-46A3-9970-218F173F9569}" name="Spalte307"/>
    <tableColumn id="325" xr3:uid="{5E780E0C-EABF-45E3-9F4D-A3FB0910C4E4}" name="Spalte308"/>
    <tableColumn id="326" xr3:uid="{82DA797B-EFA3-4449-B083-927E27ECC277}" name="Spalte309"/>
    <tableColumn id="327" xr3:uid="{C338B24B-AB08-4630-97E5-611CC99CEF86}" name="Spalte310"/>
    <tableColumn id="328" xr3:uid="{B295F14E-4BDD-4A2F-95C0-3620D8B4BA07}" name="Spalte311"/>
    <tableColumn id="329" xr3:uid="{D701C80A-FAC0-4E29-A171-8F602B8F2E46}" name="Spalte312"/>
    <tableColumn id="330" xr3:uid="{8A8221FF-4EB9-4657-A2DA-CBE52E12BB15}" name="Spalte313"/>
    <tableColumn id="331" xr3:uid="{F5D33297-E798-4A18-8A2C-75A1F74C8FB0}" name="Spalte314"/>
    <tableColumn id="332" xr3:uid="{7DDB2247-4C95-44F4-A929-9E4CB4D076A1}" name="Spalte315"/>
    <tableColumn id="333" xr3:uid="{BB030F02-D005-42EF-A821-49A2B088E205}" name="Spalte316"/>
    <tableColumn id="334" xr3:uid="{F3584ED8-B0C8-4B0B-87FB-83A7BABB3F69}" name="Spalte317"/>
    <tableColumn id="335" xr3:uid="{23E093F4-10B7-4DC7-AA04-05FF35D8EBA6}" name="Spalte318"/>
    <tableColumn id="336" xr3:uid="{E17EF299-6F3D-41BB-BD0C-23D3898305A3}" name="Spalte319"/>
    <tableColumn id="337" xr3:uid="{AF797CFD-5F6C-424C-A100-76296B866BA8}" name="Spalte320"/>
    <tableColumn id="338" xr3:uid="{A6D8EED5-43F3-49B7-A170-5A163A3527F5}" name="Spalte321"/>
    <tableColumn id="339" xr3:uid="{88391918-CC25-471F-97CD-6C233D0C1C7D}" name="Spalte322"/>
    <tableColumn id="340" xr3:uid="{EC91A884-32C9-4B62-AA33-8636276FFE3F}" name="Spalte323"/>
    <tableColumn id="341" xr3:uid="{758403AE-8E9C-4524-A547-5D5E3D9C8AB1}" name="Spalte324"/>
    <tableColumn id="342" xr3:uid="{33F735E5-C641-4181-8E44-BB243EE53BF8}" name="Spalte325"/>
    <tableColumn id="343" xr3:uid="{FD13E965-D762-4E63-9356-44865AFEE536}" name="Spalte326"/>
    <tableColumn id="344" xr3:uid="{909F1930-65D5-4E21-9A09-E11F0A8AFECE}" name="Spalte327"/>
    <tableColumn id="345" xr3:uid="{5E893400-F176-44AD-939E-AB7624FD0F25}" name="Spalte328"/>
    <tableColumn id="346" xr3:uid="{F1E4A93C-2BF2-463A-9B4E-1DE9B1FC0539}" name="Spalte329"/>
    <tableColumn id="347" xr3:uid="{89749107-D5DB-48C4-A9B0-56B522890B35}" name="Spalte330"/>
    <tableColumn id="348" xr3:uid="{1DFD5D51-E9FA-4B5E-822A-43F026EA6727}" name="Spalte331"/>
    <tableColumn id="349" xr3:uid="{737D43A9-CC4F-49A4-B9E1-06DA6C329B4C}" name="Spalte332"/>
    <tableColumn id="350" xr3:uid="{533F3CFE-25D5-4E46-ADCD-60A1A8ED22A4}" name="Spalte333"/>
    <tableColumn id="351" xr3:uid="{E042F1A9-0F84-4054-90B7-E3E8B24BEE6F}" name="Spalte334"/>
    <tableColumn id="352" xr3:uid="{3E0354DA-3454-4A71-9502-87C5D4E7FE86}" name="Spalte335"/>
    <tableColumn id="353" xr3:uid="{A00C8935-B7A2-4689-B0F9-195007E0BC9A}" name="Spalte336"/>
    <tableColumn id="354" xr3:uid="{342753DB-2779-4A3B-ABF1-118AF3E5A976}" name="Spalte337"/>
    <tableColumn id="355" xr3:uid="{160FCB2E-53FC-48C4-BAFE-FDF4FE25ACED}" name="Spalte338"/>
    <tableColumn id="356" xr3:uid="{D759228C-5361-414B-BD37-CE807DD1939F}" name="Spalte339"/>
    <tableColumn id="357" xr3:uid="{22066DC0-C242-454B-B934-F0B8883C8A22}" name="Spalte340"/>
    <tableColumn id="358" xr3:uid="{DA86DCFB-A384-40AB-BD59-184439EBB974}" name="Spalte341"/>
    <tableColumn id="359" xr3:uid="{586FE877-CF90-42FF-8BDF-F0B66EEA975A}" name="Spalte342"/>
    <tableColumn id="360" xr3:uid="{3572FEE0-EA9D-48CC-A2DE-A0594A88B439}" name="Spalte343"/>
    <tableColumn id="361" xr3:uid="{988F2B11-3F92-4E2E-8853-9B95EF2AAFDA}" name="Spalte344"/>
    <tableColumn id="362" xr3:uid="{FA7F3705-2115-4B48-A381-1D8598DF8ACD}" name="Spalte345"/>
    <tableColumn id="363" xr3:uid="{A56C8785-B3EE-44F1-95C3-5F5D3993F5E6}" name="Spalte346"/>
    <tableColumn id="364" xr3:uid="{09702D47-5C22-4308-B538-130DC5C3016C}" name="Spalte347"/>
    <tableColumn id="365" xr3:uid="{F0AABE0E-678C-423D-AB09-CA2264C70ED1}" name="Spalte348"/>
    <tableColumn id="366" xr3:uid="{2268A01C-37BD-4B38-B72B-457D798B7985}" name="Spalte349"/>
    <tableColumn id="367" xr3:uid="{F7190F62-F4AF-4C01-910B-3BCAD3458E0D}" name="Spalte350"/>
    <tableColumn id="368" xr3:uid="{03713EB2-B463-41B8-A1A2-08B262B7C23C}" name="Spalte351"/>
    <tableColumn id="369" xr3:uid="{40F3610C-B004-445F-8B1C-A381C914D561}" name="Spalte352"/>
    <tableColumn id="370" xr3:uid="{81CA8733-4FAC-4E59-A79D-44A68D14ACDD}" name="Spalte353"/>
    <tableColumn id="371" xr3:uid="{CA375E7A-8655-4ABA-9E10-D116A03EDE57}" name="Spalte354"/>
    <tableColumn id="372" xr3:uid="{48A7C759-BA95-480A-9544-9B59B17FFAA1}" name="Spalte355"/>
    <tableColumn id="373" xr3:uid="{FC4DCA60-D57D-4D92-ADCA-B1664E07BD11}" name="Spalte356"/>
    <tableColumn id="374" xr3:uid="{446F2573-C7F4-45FE-A2B0-E33272A5428C}" name="Spalte357"/>
    <tableColumn id="375" xr3:uid="{7F56414C-B32D-42FA-9E61-8078EC1C455A}" name="Spalte358"/>
    <tableColumn id="376" xr3:uid="{4CA2CA0D-F4C7-41C8-8E5A-101E237AA869}" name="Spalte359"/>
    <tableColumn id="377" xr3:uid="{2970B843-914A-4248-BCB2-1177DCA00305}" name="Spalte360"/>
    <tableColumn id="378" xr3:uid="{25DCE302-076B-4046-95BE-AEC060CB1A89}" name="Spalte361"/>
    <tableColumn id="379" xr3:uid="{7DB7F370-B20C-475A-9726-6F149A19B126}" name="Spalte362"/>
    <tableColumn id="380" xr3:uid="{EFB8B4E9-CE08-47E3-9A6F-E01B37680A5C}" name="Spalte363"/>
    <tableColumn id="381" xr3:uid="{A7E861DE-9C54-4AA3-BF5B-4C3E28CCA473}" name="Spalte364"/>
    <tableColumn id="382" xr3:uid="{D07D8101-0D72-44B9-A72E-BBCCA4328661}" name="Spalte365"/>
    <tableColumn id="383" xr3:uid="{035405F7-3364-4C18-9FEA-5923308508CA}" name="Spalte366"/>
    <tableColumn id="384" xr3:uid="{965C3BEC-3424-4F50-B630-BE5D43F74223}" name="Spalte367"/>
    <tableColumn id="385" xr3:uid="{1E34868D-9EF5-451D-BB8A-4F926480F1F5}" name="Spalte368"/>
    <tableColumn id="386" xr3:uid="{D684C512-6C9C-42B3-81FD-27F4B8852D33}" name="Spalte369"/>
    <tableColumn id="387" xr3:uid="{BD58FC09-62AC-48F1-8641-8FA1BD3B1112}" name="Spalte370"/>
    <tableColumn id="388" xr3:uid="{D534E672-6376-4D45-A974-74EFBB9562F0}" name="Spalte371"/>
    <tableColumn id="389" xr3:uid="{57CF9496-29CC-48DA-967E-861B92DC2679}" name="Spalte372"/>
    <tableColumn id="390" xr3:uid="{82A9BA6F-543E-48D8-BA0D-7B0815C5198B}" name="Spalte373"/>
    <tableColumn id="391" xr3:uid="{06382026-5487-49DF-8CDF-E9F5DDB16C9A}" name="Spalte374"/>
    <tableColumn id="392" xr3:uid="{4994511A-3243-48E3-A817-C67A80DEF82F}" name="Spalte375"/>
    <tableColumn id="393" xr3:uid="{D73C7516-5510-4E39-AC98-5A8DF3F1C5FE}" name="Spalte376"/>
    <tableColumn id="394" xr3:uid="{DB3BD93B-6DCD-4CCF-A1A8-B808E668A565}" name="Spalte377"/>
    <tableColumn id="395" xr3:uid="{53759C17-8817-4E2C-A50A-5EA90A58EC7E}" name="Spalte378"/>
    <tableColumn id="396" xr3:uid="{8CA8AA99-20B5-4193-BF4E-B95F5F1DA5D4}" name="Spalte379"/>
    <tableColumn id="397" xr3:uid="{A7CF7FF0-2F74-4385-983A-3AFB9C4E392E}" name="Spalte380"/>
    <tableColumn id="398" xr3:uid="{FB5A566F-AD85-40DC-959C-B2169533A673}" name="Spalte381"/>
    <tableColumn id="399" xr3:uid="{F88560A1-9AAE-490E-B2D5-28F6768978F1}" name="Spalte382"/>
    <tableColumn id="400" xr3:uid="{04403828-EF8B-418A-AA42-7B0CC080C977}" name="Spalte383"/>
    <tableColumn id="401" xr3:uid="{3F40C058-7F6C-48B7-8E50-5C4AFEBE476B}" name="Spalte384"/>
    <tableColumn id="402" xr3:uid="{B52E174B-AAB4-4FB2-A3E2-F830E727F28C}" name="Spalte385"/>
    <tableColumn id="403" xr3:uid="{8C2BE866-A016-462A-9049-60345B28D42F}" name="Spalte386"/>
    <tableColumn id="404" xr3:uid="{315AB91D-F366-44E3-B137-71E0E63B8092}" name="Spalte387"/>
    <tableColumn id="405" xr3:uid="{ED28687F-3C5B-4C6D-8A22-A24308CF9B07}" name="Spalte388"/>
    <tableColumn id="406" xr3:uid="{FF745DCD-8834-4F3E-8C77-DA5C54348586}" name="Spalte389"/>
    <tableColumn id="407" xr3:uid="{942A4E00-01B8-4E87-8A92-11B36CB2B99F}" name="Spalte390"/>
    <tableColumn id="408" xr3:uid="{871DA91D-469D-4577-BF16-7F395CAA3C87}" name="Spalte391"/>
    <tableColumn id="409" xr3:uid="{3D052623-2779-4F65-90C9-87303C7C0B83}" name="Spalte392"/>
    <tableColumn id="410" xr3:uid="{85B405BA-1FC9-4ECB-9B5E-E4AB0FEE57BE}" name="Spalte393"/>
    <tableColumn id="411" xr3:uid="{24177E40-85F9-46B2-98E7-43D32E1626DC}" name="Spalte394"/>
    <tableColumn id="412" xr3:uid="{07817331-5AFF-44C1-8EAC-570C6A7262E2}" name="Spalte395"/>
    <tableColumn id="413" xr3:uid="{C05836D5-491D-4F91-8394-33A407EFCE13}" name="Spalte396"/>
    <tableColumn id="414" xr3:uid="{274A78CC-0945-49C2-B726-6B6BB7FCBF60}" name="Spalte397"/>
    <tableColumn id="415" xr3:uid="{1BF30AF4-DF6B-4D50-BCDB-357AC82F0E78}" name="Spalte398"/>
    <tableColumn id="416" xr3:uid="{A673DA5F-560C-4064-B81B-0200BE1EDCDB}" name="Spalte399"/>
    <tableColumn id="417" xr3:uid="{DE403E6C-5456-4B9A-BAFE-151764773A35}" name="Spalte400"/>
    <tableColumn id="418" xr3:uid="{3C75BAF8-4B20-4561-A7EA-D0BFCCA10C33}" name="Spalte401"/>
    <tableColumn id="419" xr3:uid="{2AEC243A-6A36-4BC0-B549-A4B306D836D9}" name="Spalte402"/>
    <tableColumn id="420" xr3:uid="{A01E5A56-F020-41F1-BC73-662088E3F988}" name="Spalte403"/>
    <tableColumn id="421" xr3:uid="{E1452106-3A7B-4347-8440-C828162E5467}" name="Spalte404"/>
    <tableColumn id="422" xr3:uid="{8B9842F8-A490-4B4A-8F15-9906C38EFC99}" name="Spalte405"/>
    <tableColumn id="423" xr3:uid="{B7019D58-DB90-4952-B881-75E8F14603EF}" name="Spalte406"/>
    <tableColumn id="424" xr3:uid="{9BF32BB7-60B7-4ABD-A92F-25FE5A732DB2}" name="Spalte407"/>
    <tableColumn id="425" xr3:uid="{398E1F99-1311-4B11-B9CA-378D11675667}" name="Spalte408"/>
    <tableColumn id="426" xr3:uid="{B0E1CB33-43C5-4906-AD8A-4F079C7383B8}" name="Spalte409"/>
    <tableColumn id="427" xr3:uid="{030ADC9A-EB9C-469E-BCA4-BF8C5E86C7C6}" name="Spalte410"/>
    <tableColumn id="428" xr3:uid="{19E7B237-3682-4AFC-B2B5-AA66242654FC}" name="Spalte411"/>
    <tableColumn id="429" xr3:uid="{04B2F5D8-F91A-49C4-A0E8-5446B125DDFB}" name="Spalte412"/>
    <tableColumn id="430" xr3:uid="{26BAFF5A-0F5C-43B5-95BF-A46A717C1F6C}" name="Spalte413"/>
    <tableColumn id="431" xr3:uid="{3A46CF08-019E-4218-BDD5-C770D2C4C078}" name="Spalte414"/>
    <tableColumn id="432" xr3:uid="{5F45B2DF-1560-4CAD-8871-6F4D330FAAAB}" name="Spalte415"/>
    <tableColumn id="433" xr3:uid="{9A9BE528-8FCC-44CC-B931-DE9204940C29}" name="Spalte416"/>
    <tableColumn id="434" xr3:uid="{1382DE53-691A-45C7-B917-44CF011C7D7F}" name="Spalte417"/>
    <tableColumn id="435" xr3:uid="{811B684A-46B9-4425-8B02-BA62F8DE47BD}" name="Spalte418"/>
    <tableColumn id="436" xr3:uid="{5012627C-B40F-4159-9592-2A5C0026EE45}" name="Spalte419"/>
    <tableColumn id="437" xr3:uid="{0B65A92A-78CC-47E0-9883-D07F1270BD4C}" name="Spalte420"/>
    <tableColumn id="438" xr3:uid="{97DCD7BB-EE54-40CD-8B6B-5F020E67CEFB}" name="Spalte421"/>
    <tableColumn id="439" xr3:uid="{7D7BC583-77B8-4B31-8F0E-1EF85D99C803}" name="Spalte422"/>
    <tableColumn id="440" xr3:uid="{B6A1D8C0-1AB5-42CC-A852-DA623E19AE9C}" name="Spalte423"/>
    <tableColumn id="441" xr3:uid="{362388C7-802C-429E-B683-476137A831C2}" name="Spalte424"/>
    <tableColumn id="442" xr3:uid="{22457FF0-02A6-4798-8547-C592A12932D3}" name="Spalte425"/>
    <tableColumn id="443" xr3:uid="{D3D57944-65CE-47E2-8CA6-D4EFC370D7B7}" name="Spalte426"/>
    <tableColumn id="444" xr3:uid="{23EA3534-3FFE-4EA1-B8C0-213C33DA4A12}" name="Spalte427"/>
    <tableColumn id="445" xr3:uid="{8DA6F46C-315D-41C8-99E3-3D8F96D0F073}" name="Spalte428"/>
    <tableColumn id="446" xr3:uid="{30A3DEA2-A0D7-4DF4-818B-36F31540FB3B}" name="Spalte429"/>
    <tableColumn id="447" xr3:uid="{C1D38683-F426-45BF-B1A9-6F4CF4C7CDF0}" name="Spalte430"/>
    <tableColumn id="448" xr3:uid="{5C7FDB24-6417-4E90-948A-D005505DE454}" name="Spalte431"/>
    <tableColumn id="449" xr3:uid="{CF255930-BED9-4C78-82E9-AE121FB38013}" name="Spalte432"/>
    <tableColumn id="450" xr3:uid="{162138D6-099F-4EE0-B3D2-F36149914EF3}" name="Spalte433"/>
    <tableColumn id="451" xr3:uid="{46FAC3D3-1F64-47A2-ADD6-601610A7AC24}" name="Spalte434"/>
    <tableColumn id="452" xr3:uid="{AF08E6DB-AC19-41AF-AC8C-8617A5C4EFAD}" name="Spalte435"/>
    <tableColumn id="453" xr3:uid="{9753786E-B50D-42F4-95BB-79BE92B17318}" name="Spalte436"/>
    <tableColumn id="454" xr3:uid="{04C3AAA0-E76E-40AA-9CC0-3542E9EC249B}" name="Spalte437"/>
    <tableColumn id="455" xr3:uid="{536C45B2-D4B9-4635-8076-6D18EBCF7B85}" name="Spalte438"/>
    <tableColumn id="456" xr3:uid="{FE8B4EE2-1E95-4B58-A9E9-CAFC815C6578}" name="Spalte439"/>
    <tableColumn id="457" xr3:uid="{A5A86378-9A6E-44CA-908D-6F1A92EF7378}" name="Spalte440"/>
    <tableColumn id="458" xr3:uid="{4D9EC73A-6F78-4169-AEF0-6FCFD5C39AAD}" name="Spalte441"/>
    <tableColumn id="459" xr3:uid="{64A24F15-9337-4405-ABD1-AAC7D6DC8CED}" name="Spalte442"/>
    <tableColumn id="460" xr3:uid="{34CB974D-67FC-4C84-90B7-1E1E4D95E657}" name="Spalte443"/>
    <tableColumn id="461" xr3:uid="{3A30D049-5335-4BA0-AF07-1EF60FEBFB54}" name="Spalte444"/>
    <tableColumn id="462" xr3:uid="{5F16E07B-B50D-4A70-83B6-363732D6BE5C}" name="Spalte445"/>
    <tableColumn id="463" xr3:uid="{14D2AF68-A840-4EDE-887A-61B685B796FF}" name="Spalte446"/>
    <tableColumn id="464" xr3:uid="{3E68285D-936B-4951-9058-C36C0E756A0A}" name="Spalte447"/>
    <tableColumn id="465" xr3:uid="{62B18F75-FBE0-4DA2-9F99-8FB7F4CD50FB}" name="Spalte448"/>
    <tableColumn id="466" xr3:uid="{376AEA3F-2AFB-4650-8703-792874ABC17E}" name="Spalte449"/>
    <tableColumn id="467" xr3:uid="{E1A168F0-253E-4971-8734-BE7F62A22BC4}" name="Spalte450"/>
    <tableColumn id="468" xr3:uid="{B147BD29-A371-4DF1-8C3B-0A894354190F}" name="Spalte451"/>
    <tableColumn id="469" xr3:uid="{1773608F-884B-492A-A0CA-E3ADEFA8C018}" name="Spalte452"/>
    <tableColumn id="470" xr3:uid="{8A61C028-3925-43F4-830B-E914679579EB}" name="Spalte453"/>
    <tableColumn id="471" xr3:uid="{C5D7645F-2137-4AF4-B94B-F75899DC6522}" name="Spalte454"/>
    <tableColumn id="472" xr3:uid="{7E9FFFC7-F08A-4544-8E74-78C638C85880}" name="Spalte455"/>
    <tableColumn id="473" xr3:uid="{30484D55-557E-44ED-A6FE-8405951E0215}" name="Spalte456"/>
    <tableColumn id="474" xr3:uid="{2A0D7E29-BA21-4495-BCD5-A31111B14E3C}" name="Spalte457"/>
    <tableColumn id="475" xr3:uid="{669928E6-316C-4503-932A-480B8A621E22}" name="Spalte458"/>
    <tableColumn id="476" xr3:uid="{107EB280-A985-4837-819B-F1BA294AD241}" name="Spalte459"/>
    <tableColumn id="477" xr3:uid="{53816C0D-C47D-4720-96D7-D3AAC1A12A17}" name="Spalte460"/>
    <tableColumn id="478" xr3:uid="{8C879F3B-A6F1-4EC0-B383-9417D00E1604}" name="Spalte461"/>
    <tableColumn id="479" xr3:uid="{D14C8E4E-07CD-4E35-AADB-A492E82B06EF}" name="Spalte462"/>
    <tableColumn id="480" xr3:uid="{62F4F5E3-BED9-4D58-8046-34FD6F4F8E47}" name="Spalte463"/>
    <tableColumn id="481" xr3:uid="{8D45898C-B333-412B-A2DB-0FD1BBEC463E}" name="Spalte464"/>
    <tableColumn id="482" xr3:uid="{9E2EC929-4C9A-4DAF-A2EC-A7376C43C219}" name="Spalte465"/>
    <tableColumn id="483" xr3:uid="{D11F0724-F831-4E40-BE85-153A9A268721}" name="Spalte466"/>
    <tableColumn id="484" xr3:uid="{BAE53D38-7027-40C3-8295-583CDC392B65}" name="Spalte467"/>
    <tableColumn id="485" xr3:uid="{652B1854-0D51-45C4-9A0B-E3B3D2ACB65C}" name="Spalte468"/>
    <tableColumn id="486" xr3:uid="{BDF6F2F3-93CE-40FA-BE82-CF32050FC7ED}" name="Spalte469"/>
    <tableColumn id="487" xr3:uid="{0F2BC6A3-731A-4045-825F-BAFD4D1D097A}" name="Spalte470"/>
    <tableColumn id="488" xr3:uid="{5DFED16A-688B-461B-960B-7DF8C53DFFC7}" name="Spalte471"/>
    <tableColumn id="489" xr3:uid="{9FC2B340-212F-4068-AF58-A40C3FD23A8D}" name="Spalte472"/>
    <tableColumn id="490" xr3:uid="{828DE041-5673-48CC-9DFD-ED8FBB332696}" name="Spalte473"/>
    <tableColumn id="491" xr3:uid="{84A46CEA-F039-4A53-8D2B-C313FB4010B0}" name="Spalte474"/>
    <tableColumn id="492" xr3:uid="{97BCF789-A8C2-47BB-9DB3-9A15CF0FFDD8}" name="Spalte475"/>
    <tableColumn id="493" xr3:uid="{64E725C9-95F6-44A9-86BA-99D9C6F3FD70}" name="Spalte476"/>
    <tableColumn id="494" xr3:uid="{F85F0106-51EC-4D48-80F4-5FA6AB1EE86E}" name="Spalte477"/>
    <tableColumn id="495" xr3:uid="{E285649F-5421-4A01-96D4-BD0A7AB9D915}" name="Spalte478"/>
    <tableColumn id="496" xr3:uid="{21022287-944E-4031-9EEC-42D3FEBF3901}" name="Spalte479"/>
    <tableColumn id="497" xr3:uid="{C14DC2FF-5292-4BC6-A63B-AEE74FFC301C}" name="Spalte480"/>
    <tableColumn id="498" xr3:uid="{2C7715CE-B92D-4039-B11D-4FDA93041424}" name="Spalte481"/>
    <tableColumn id="499" xr3:uid="{9CC4AFE2-6CF3-4F2B-9F30-FE8D1DC2E29B}" name="Spalte482"/>
    <tableColumn id="500" xr3:uid="{6A3C830A-669C-4FF6-BE76-AFCF715FB0A8}" name="Spalte483"/>
    <tableColumn id="501" xr3:uid="{3C29AF72-8921-44CD-AA84-F927AD8D51FD}" name="Spalte484"/>
    <tableColumn id="502" xr3:uid="{2C8C026C-E35F-4BDC-8E76-E1E06800CB14}" name="Spalte485"/>
    <tableColumn id="503" xr3:uid="{C7A79A4A-4E2D-4586-AEDF-CA16A79E1F71}" name="Spalte486"/>
    <tableColumn id="504" xr3:uid="{B6A5A454-DE13-480A-ADA4-3C55D85CD73B}" name="Spalte487"/>
    <tableColumn id="505" xr3:uid="{0BBD72CA-38C7-4E91-B173-7BB0C836335B}" name="Spalte488"/>
    <tableColumn id="506" xr3:uid="{5859949C-CCB6-4502-B4E1-5E6E72C11D7A}" name="Spalte489"/>
    <tableColumn id="507" xr3:uid="{7E0DA364-036C-40E2-9406-9732C6657B03}" name="Spalte490"/>
    <tableColumn id="508" xr3:uid="{1BC0D571-62E4-426F-87BF-D36EB59CB7D3}" name="Spalte491"/>
    <tableColumn id="509" xr3:uid="{1E47EEB4-AB9E-45DE-B6F2-3980BB2E0F89}" name="Spalte492"/>
    <tableColumn id="510" xr3:uid="{8F900A6E-7252-4E69-B609-9A0F9238BE16}" name="Spalte493"/>
    <tableColumn id="511" xr3:uid="{4036031B-A439-4632-AE1D-B663B46D930E}" name="Spalte494"/>
    <tableColumn id="512" xr3:uid="{C794498D-058E-4273-A740-32DC6D84E62D}" name="Spalte495"/>
    <tableColumn id="513" xr3:uid="{AD74E343-D199-46B0-9273-61B10F6FD736}" name="Spalte496"/>
    <tableColumn id="514" xr3:uid="{5B7C1207-552E-4D30-9034-2BCA5AEF9097}" name="Spalte497"/>
    <tableColumn id="515" xr3:uid="{7A4B7DBF-0E53-4EF2-A8DE-039F5C45868B}" name="Spalte498"/>
    <tableColumn id="516" xr3:uid="{7D8AE4AF-3692-4E64-9508-CBB3048BC434}" name="Spalte499"/>
    <tableColumn id="517" xr3:uid="{7B993A2F-F437-4B89-A812-636750695788}" name="Spalte500"/>
    <tableColumn id="518" xr3:uid="{18BBE23E-DAD8-47C9-A1E4-FC150D08CFC3}" name="Spalte501"/>
    <tableColumn id="519" xr3:uid="{BF3C25F6-D455-4102-A94B-8456F20A2E64}" name="Spalte502"/>
    <tableColumn id="520" xr3:uid="{9C0C47DA-2A2E-4D78-9319-F032998AC1AB}" name="Spalte503"/>
    <tableColumn id="521" xr3:uid="{3C4D9F68-C133-4E37-BF47-2544196C984C}" name="Spalte504"/>
    <tableColumn id="522" xr3:uid="{AF93813A-B021-4C36-98C1-6204F0D5AE7B}" name="Spalte505"/>
    <tableColumn id="523" xr3:uid="{151AF47E-DBF7-444D-B638-47D9DE376B0E}" name="Spalte506"/>
    <tableColumn id="524" xr3:uid="{F15CF5D0-4F8E-4037-89A9-798014178B53}" name="Spalte507"/>
    <tableColumn id="525" xr3:uid="{5D7AD43D-76F5-4DFC-A990-2D9D734B6A63}" name="Spalte508"/>
    <tableColumn id="526" xr3:uid="{9EBB3CA6-DBA1-42D1-8D68-CB82117D12DF}" name="Spalte509"/>
    <tableColumn id="527" xr3:uid="{2E49D8C7-134C-4F27-8A47-F28E9A6EDC50}" name="Spalte510"/>
    <tableColumn id="528" xr3:uid="{6422D271-886E-4799-A45B-65CED5D2BFA1}" name="Spalte511"/>
    <tableColumn id="529" xr3:uid="{D50EAFDB-E1D8-4BE1-BCD6-8D541181983A}" name="Spalte512"/>
    <tableColumn id="530" xr3:uid="{07FF1144-ECE6-450E-84D6-BDB28E919B1B}" name="Spalte513"/>
    <tableColumn id="531" xr3:uid="{B9907472-C7D0-4EBD-B7EA-08671337EE8E}" name="Spalte514"/>
    <tableColumn id="532" xr3:uid="{F0C7302D-7564-49CD-A246-53CBEC4A3E65}" name="Spalte515"/>
    <tableColumn id="533" xr3:uid="{9D29DC27-39B8-4677-B4CD-680E220399C9}" name="Spalte516"/>
    <tableColumn id="534" xr3:uid="{3AE09033-48C0-4229-ABEC-5F624EDE853B}" name="Spalte517"/>
    <tableColumn id="535" xr3:uid="{D375A27F-1221-4CF7-8F19-41478CBA7DD4}" name="Spalte518"/>
    <tableColumn id="536" xr3:uid="{7020AB9E-E3D5-41D8-B639-23F0F35F8D87}" name="Spalte519"/>
    <tableColumn id="537" xr3:uid="{1056640B-0A7C-4C88-868E-66A14349D9FB}" name="Spalte520"/>
    <tableColumn id="538" xr3:uid="{40A5FA43-F365-462E-8232-20225317C6A3}" name="Spalte521"/>
    <tableColumn id="539" xr3:uid="{BCC44309-75B4-4C34-920F-D591324C0DC4}" name="Spalte522"/>
    <tableColumn id="540" xr3:uid="{269AA880-7FF7-49DC-AA1B-5BC54914E418}" name="Spalte523"/>
    <tableColumn id="541" xr3:uid="{4FD87952-6513-4514-9021-F8118D173861}" name="Spalte524"/>
    <tableColumn id="542" xr3:uid="{BF69C0A2-33BF-4ABB-816D-A8F7AAE6D0A5}" name="Spalte525"/>
    <tableColumn id="543" xr3:uid="{341CCF89-0C31-4164-9F26-9BC23339B476}" name="Spalte526"/>
    <tableColumn id="544" xr3:uid="{4B5A832B-1057-47F8-92CB-7B8DFFDBE850}" name="Spalte527"/>
    <tableColumn id="545" xr3:uid="{8248B9F9-425A-4AB0-A2A1-BC959BA0900B}" name="Spalte528"/>
    <tableColumn id="546" xr3:uid="{F79F2E42-BBEE-4154-8A83-4BA817B3C167}" name="Spalte529"/>
    <tableColumn id="547" xr3:uid="{E7F9088E-2F64-4AB8-AA5E-B484FC203180}" name="Spalte530"/>
    <tableColumn id="548" xr3:uid="{7D5F8AD9-F244-435C-A7C1-23C18744F07B}" name="Spalte531"/>
    <tableColumn id="549" xr3:uid="{B7C626E6-654B-4302-A4AA-9B9A8CF89685}" name="Spalte532"/>
    <tableColumn id="550" xr3:uid="{0ED2397A-4019-48C8-808E-0421998E79AC}" name="Spalte533"/>
    <tableColumn id="551" xr3:uid="{630919AD-3918-4435-8CB4-649106252B1A}" name="Spalte534"/>
    <tableColumn id="552" xr3:uid="{45F9639C-0E1F-4D02-80E5-A12EC1185B56}" name="Spalte535"/>
    <tableColumn id="553" xr3:uid="{5C37AF72-B7DC-425A-A352-138309008941}" name="Spalte536"/>
    <tableColumn id="554" xr3:uid="{89EFDA09-F33A-4D68-B178-C0EDDFA07D88}" name="Spalte537"/>
    <tableColumn id="555" xr3:uid="{E63DBD2E-2A38-40B1-8AFB-3C6DE6C8B597}" name="Spalte538"/>
    <tableColumn id="556" xr3:uid="{7EE830B8-FFDC-4183-981A-3339F907C6D7}" name="Spalte539"/>
    <tableColumn id="557" xr3:uid="{E86D5D31-D342-4397-9CA8-3E2EC35DD3EF}" name="Spalte540"/>
    <tableColumn id="558" xr3:uid="{680913BA-D255-40D5-A6DF-CA4BA7C1AF08}" name="Spalte541"/>
    <tableColumn id="559" xr3:uid="{599B86AC-2221-45C7-B4D8-D66655890A47}" name="Spalte542"/>
    <tableColumn id="560" xr3:uid="{3160E57C-D282-409B-BE7C-ACE097CF4FD1}" name="Spalte543"/>
    <tableColumn id="561" xr3:uid="{63BB03AE-441D-4EE4-918C-BB3CAA27561A}" name="Spalte544"/>
    <tableColumn id="562" xr3:uid="{1BAD97FA-43F8-4D82-8783-3B200406080E}" name="Spalte545"/>
    <tableColumn id="563" xr3:uid="{156E09A5-2827-4F73-8175-45255ED3F3DA}" name="Spalte546"/>
    <tableColumn id="564" xr3:uid="{CA39C43E-ECF9-4D49-B913-18FA795F44AB}" name="Spalte547"/>
    <tableColumn id="565" xr3:uid="{05A8637B-BBE6-45B7-B63E-1D6CBD33B17F}" name="Spalte548"/>
    <tableColumn id="566" xr3:uid="{C7550FF9-9DE5-4078-8EF3-E72C5C825E08}" name="Spalte549"/>
    <tableColumn id="567" xr3:uid="{B9065E78-2B49-4EAE-AEE2-B790E1FCA165}" name="Spalte550"/>
    <tableColumn id="568" xr3:uid="{6921E759-FDC2-4AD5-8B64-F4A7FA8DF6E4}" name="Spalte551"/>
    <tableColumn id="569" xr3:uid="{2B1F3674-10EF-4F49-AC04-EC66866A8E86}" name="Spalte552"/>
    <tableColumn id="570" xr3:uid="{AE291EE3-6A57-4833-B4FE-518B5C2FB900}" name="Spalte553"/>
    <tableColumn id="571" xr3:uid="{77749742-C6D6-4B6F-A4AD-6F4C2DFB618E}" name="Spalte554"/>
    <tableColumn id="572" xr3:uid="{AA5B086B-C068-4543-9C27-98AC2A7977EA}" name="Spalte555"/>
    <tableColumn id="573" xr3:uid="{CF0DD054-6E2E-4B6E-9347-A6A2859EC1A3}" name="Spalte556"/>
    <tableColumn id="574" xr3:uid="{25B9D1DF-FB69-40D6-8189-466D6859AD62}" name="Spalte557"/>
    <tableColumn id="575" xr3:uid="{09FA0D6F-56F4-4E57-A2B7-BDF65FC86A56}" name="Spalte558"/>
    <tableColumn id="576" xr3:uid="{5F8D00F9-5F49-45AB-A659-EE7577C6421B}" name="Spalte559"/>
    <tableColumn id="577" xr3:uid="{CB04DD8B-E12B-4928-8F97-10271EA7CA60}" name="Spalte560"/>
    <tableColumn id="578" xr3:uid="{D198F083-99CA-43BE-809E-0C9FD74AF71E}" name="Spalte561"/>
    <tableColumn id="579" xr3:uid="{9967E28A-F41F-48D1-9B4F-92A65315A728}" name="Spalte562"/>
    <tableColumn id="580" xr3:uid="{86ACA433-65FA-4498-9555-E90506E6EE28}" name="Spalte563"/>
    <tableColumn id="581" xr3:uid="{54290E2F-8F86-412A-B9C1-75F641095045}" name="Spalte564"/>
    <tableColumn id="582" xr3:uid="{1C070C79-617F-4B1D-A925-0C88954522E4}" name="Spalte565"/>
    <tableColumn id="583" xr3:uid="{F9056071-9E7D-4EF4-9C7A-0FE7B0253576}" name="Spalte566"/>
    <tableColumn id="584" xr3:uid="{10E975B0-5F1E-47F4-AE76-B977E6D3CAF4}" name="Spalte567"/>
    <tableColumn id="585" xr3:uid="{5CD46D5C-C2D9-4F8E-BA6F-34509AD491D5}" name="Spalte568"/>
    <tableColumn id="586" xr3:uid="{4B285F13-4047-4F58-8C31-0F616BE9F7D1}" name="Spalte569"/>
    <tableColumn id="587" xr3:uid="{27B86535-57C4-4EA4-8235-EC5293883FA8}" name="Spalte570"/>
    <tableColumn id="588" xr3:uid="{C5E4B5D4-DC9E-4356-94DE-197CE1E75144}" name="Spalte571"/>
    <tableColumn id="589" xr3:uid="{C1E39E7F-F6E4-4015-9521-05A03A0F6D97}" name="Spalte572"/>
    <tableColumn id="590" xr3:uid="{638E41C7-CE8F-4212-9069-3A75D6E8A875}" name="Spalte573"/>
    <tableColumn id="591" xr3:uid="{E427AFBA-F66A-415C-83BD-3A64B096D050}" name="Spalte574"/>
    <tableColumn id="592" xr3:uid="{24918D99-CF67-4CC9-9419-3001E3DEAE2F}" name="Spalte575"/>
    <tableColumn id="593" xr3:uid="{0BABA3F0-25B7-493C-8204-1B1A8A9FFE4B}" name="Spalte576"/>
    <tableColumn id="594" xr3:uid="{E97272A3-C660-4BAE-ADC3-2DE268DCF139}" name="Spalte577"/>
    <tableColumn id="595" xr3:uid="{C5240A44-74EC-4681-A14D-3F23A05E0D66}" name="Spalte578"/>
    <tableColumn id="596" xr3:uid="{89579E6A-8B00-4E4A-804B-30E64073B73E}" name="Spalte579"/>
    <tableColumn id="597" xr3:uid="{AA217907-5B96-4AD9-9E50-0F1C220482A4}" name="Spalte580"/>
    <tableColumn id="598" xr3:uid="{0E0567CD-E4A9-454C-8FDC-ACFD7B35044D}" name="Spalte581"/>
    <tableColumn id="599" xr3:uid="{1A74882F-1597-4BF0-BE01-94F06809988F}" name="Spalte582"/>
    <tableColumn id="600" xr3:uid="{B9B4B849-595C-4A05-9B9C-C646D896064B}" name="Spalte583"/>
    <tableColumn id="601" xr3:uid="{E76B4762-47EF-4DEE-8A4B-24085E05B7D2}" name="Spalte584"/>
    <tableColumn id="602" xr3:uid="{CFD15675-5FA1-4356-862C-C78831AF55FF}" name="Spalte585"/>
    <tableColumn id="603" xr3:uid="{18F1CB09-A048-4BFE-8D3D-0CFE9902C964}" name="Spalte586"/>
    <tableColumn id="604" xr3:uid="{20C96D4D-9F4E-4239-965A-996E265F5A5F}" name="Spalte587"/>
    <tableColumn id="605" xr3:uid="{26C17AA6-4762-4185-8AC7-9B2C9BC84B3A}" name="Spalte588"/>
    <tableColumn id="606" xr3:uid="{83A6FE90-AC22-47E7-A69F-EBC4F09CADC2}" name="Spalte589"/>
    <tableColumn id="607" xr3:uid="{62375937-1330-48FA-8FE7-0C409BF7ED14}" name="Spalte590"/>
    <tableColumn id="608" xr3:uid="{A15E74F9-15C4-45BD-B4EF-106F26724433}" name="Spalte591"/>
    <tableColumn id="609" xr3:uid="{3CE48E51-DF84-4BEC-8E28-CD4616141218}" name="Spalte592"/>
    <tableColumn id="610" xr3:uid="{D6CCBDF6-CF60-44C8-836B-2A4C86CFDD9E}" name="Spalte593"/>
    <tableColumn id="611" xr3:uid="{E8323B3E-1D48-4DBC-8F5D-F2B66BA40B87}" name="Spalte594"/>
    <tableColumn id="612" xr3:uid="{E7485401-F360-46CA-A82A-80BE559810B6}" name="Spalte595"/>
    <tableColumn id="613" xr3:uid="{AD4D1B30-B9A2-46D6-98D1-DB75531FB33A}" name="Spalte596"/>
    <tableColumn id="614" xr3:uid="{91E2B4FC-DEF5-4F20-9683-5BFCCD1F6E60}" name="Spalte597"/>
    <tableColumn id="615" xr3:uid="{C95D58C5-B3B4-4DC2-B9D5-8E6A6D747A42}" name="Spalte598"/>
    <tableColumn id="616" xr3:uid="{F9BD2018-97F2-4AD0-9C81-91694721AB27}" name="Spalte599"/>
    <tableColumn id="617" xr3:uid="{D40CA444-861C-4E56-8C9E-84DF3491F6FF}" name="Spalte600"/>
    <tableColumn id="618" xr3:uid="{9664ED09-C3B6-4F21-A314-5D30B3886207}" name="Spalte601"/>
    <tableColumn id="619" xr3:uid="{37B70735-EE80-4F3B-8E03-98D68C83A835}" name="Spalte602"/>
    <tableColumn id="620" xr3:uid="{92997833-FD48-4E30-8A7D-4AC4F7769534}" name="Spalte603"/>
    <tableColumn id="621" xr3:uid="{BAEF4878-B1A9-491C-B3B4-F7CA7CA80A72}" name="Spalte604"/>
    <tableColumn id="622" xr3:uid="{1EC12182-8C49-4068-B169-B7F0E85F1CC6}" name="Spalte605"/>
    <tableColumn id="623" xr3:uid="{47187EC9-F3B6-4914-BE4E-812524FDB687}" name="Spalte606"/>
    <tableColumn id="624" xr3:uid="{C3B1F4CD-6AF0-417A-BB82-3E6130A9272F}" name="Spalte607"/>
    <tableColumn id="625" xr3:uid="{5287D577-647B-4922-A02C-B48D7B0B0D7E}" name="Spalte608"/>
    <tableColumn id="626" xr3:uid="{6AB0D3C3-17FA-420E-9D20-076D765C9983}" name="Spalte609"/>
    <tableColumn id="627" xr3:uid="{EF51E6F8-9CB2-4191-8004-29F9097EE5F6}" name="Spalte610"/>
    <tableColumn id="628" xr3:uid="{5A5A3905-A9F1-441A-AFCD-ADDCE9D717A9}" name="Spalte611"/>
    <tableColumn id="629" xr3:uid="{46C9CBDD-9F98-4590-A0C2-C453F27F1E5A}" name="Spalte612"/>
    <tableColumn id="630" xr3:uid="{648CEAAF-0526-4E1E-8145-0A7E593EB857}" name="Spalte613"/>
    <tableColumn id="631" xr3:uid="{4E80002F-B2C1-4B62-8619-37DF2E83FD92}" name="Spalte614"/>
    <tableColumn id="632" xr3:uid="{7084EB26-6E25-4180-8529-CE7FB38FC339}" name="Spalte615"/>
    <tableColumn id="633" xr3:uid="{6AB36AFE-022E-43C8-8A4F-3247A0A4171F}" name="Spalte616"/>
    <tableColumn id="634" xr3:uid="{DCA2963C-C81B-48EC-A3F4-498C8222B2BA}" name="Spalte617"/>
    <tableColumn id="635" xr3:uid="{9C3DCD17-0B84-4BC6-BAF5-27E8A5F1DFD5}" name="Spalte618"/>
    <tableColumn id="636" xr3:uid="{2BF661E3-7E28-4B72-954E-9EC4C0FC7BA0}" name="Spalte619"/>
    <tableColumn id="637" xr3:uid="{D64D3AE4-E273-45D3-A58D-BD17AF98C54B}" name="Spalte620"/>
    <tableColumn id="638" xr3:uid="{C2CD6AED-7F24-4A8A-B3C7-BF2E11CAADBF}" name="Spalte621"/>
    <tableColumn id="639" xr3:uid="{DC32BAB9-B925-45F1-A115-C419F80A3036}" name="Spalte622"/>
    <tableColumn id="640" xr3:uid="{9EA0549C-3CAF-4748-8A48-A80CE26837D9}" name="Spalte623"/>
    <tableColumn id="641" xr3:uid="{AA2D1116-C569-48AF-9206-526A031F4DCE}" name="Spalte624"/>
    <tableColumn id="642" xr3:uid="{1756EF5D-E08E-4C77-B316-9D71A26C6BD3}" name="Spalte625"/>
    <tableColumn id="643" xr3:uid="{4982DEE7-9E54-4D74-9663-DB10CE87A05F}" name="Spalte626"/>
    <tableColumn id="644" xr3:uid="{A848500D-DC3F-41C7-BB7C-F8B6E3026C26}" name="Spalte627"/>
    <tableColumn id="645" xr3:uid="{70C683A8-0E45-431B-BF91-F2BF2DC36368}" name="Spalte628"/>
    <tableColumn id="646" xr3:uid="{CDD21251-51D5-4054-898F-C809F3E74B9F}" name="Spalte629"/>
    <tableColumn id="647" xr3:uid="{23212E2B-A304-4B70-938A-7DBB94A106B4}" name="Spalte630"/>
    <tableColumn id="648" xr3:uid="{9FB4803A-E6D2-44CF-9332-B7344AAFC278}" name="Spalte631"/>
    <tableColumn id="649" xr3:uid="{78EBF4CF-F09E-4FBD-B9E6-04E03BC9C765}" name="Spalte632"/>
    <tableColumn id="650" xr3:uid="{4107083C-87F6-4903-B98E-A3B7F5C4929C}" name="Spalte633"/>
    <tableColumn id="651" xr3:uid="{E2EE0D10-FC9F-41F2-935C-53790B77FFDE}" name="Spalte634"/>
    <tableColumn id="652" xr3:uid="{C7CD11C4-F444-422C-A293-97548EC7994C}" name="Spalte635"/>
    <tableColumn id="653" xr3:uid="{98E30EF4-6F2B-47C6-A7A3-142343C7CDB6}" name="Spalte636"/>
    <tableColumn id="654" xr3:uid="{3D125897-799D-44F5-AD67-326BA963757F}" name="Spalte637"/>
    <tableColumn id="655" xr3:uid="{D7BD1FCD-0F08-4AC6-B4FD-257FAD6F8F5A}" name="Spalte638"/>
    <tableColumn id="656" xr3:uid="{F5F38F68-F520-4FEE-BB1C-0AC96CB3C1CD}" name="Spalte639"/>
    <tableColumn id="657" xr3:uid="{30404216-3915-4529-954D-FEBA81051591}" name="Spalte640"/>
    <tableColumn id="658" xr3:uid="{D40E7C18-9280-442E-A797-7D3CF470AD4F}" name="Spalte641"/>
    <tableColumn id="659" xr3:uid="{0B68CB38-4183-4829-823F-E9E17B69180D}" name="Spalte642"/>
    <tableColumn id="660" xr3:uid="{0A6A6A86-886E-4037-9E83-EA39C874DE09}" name="Spalte643"/>
    <tableColumn id="661" xr3:uid="{EBC58770-D748-4989-B57F-BE1BE7C475A0}" name="Spalte644"/>
    <tableColumn id="662" xr3:uid="{D04E7B6C-0023-4330-A0DF-7B1530973885}" name="Spalte645"/>
    <tableColumn id="663" xr3:uid="{7408D5FA-3D40-415F-9638-8A430DA64DE0}" name="Spalte646"/>
    <tableColumn id="664" xr3:uid="{6ECB5DCE-FB64-463C-ABBC-FADEAC1ABC1C}" name="Spalte647"/>
    <tableColumn id="665" xr3:uid="{103958FC-BBE4-45E1-BD6B-8A57E246650B}" name="Spalte648"/>
    <tableColumn id="666" xr3:uid="{A22E55A9-3B12-4B04-8001-2C3E11CB5CE9}" name="Spalte649"/>
    <tableColumn id="667" xr3:uid="{61D9EFC9-045F-4295-A30A-22D947846F0C}" name="Spalte650"/>
    <tableColumn id="668" xr3:uid="{1F5E6224-A3FC-4427-B969-AA5D1A9F9FFA}" name="Spalte651"/>
    <tableColumn id="669" xr3:uid="{DC1E9353-E150-46FF-B9B8-80241765CBFB}" name="Spalte652"/>
    <tableColumn id="670" xr3:uid="{2BD81CC3-532E-4228-8434-3B0B37C946EC}" name="Spalte653"/>
    <tableColumn id="671" xr3:uid="{57F56A89-F9D7-4537-80D7-9F3A51332644}" name="Spalte654"/>
    <tableColumn id="672" xr3:uid="{05CDBEDF-B28C-4946-863E-78C6F6F4BCD5}" name="Spalte655"/>
    <tableColumn id="673" xr3:uid="{BBD0434C-1DF1-49B0-BE7F-42AAA83333EC}" name="Spalte656"/>
    <tableColumn id="674" xr3:uid="{B4DC38E6-64A1-44C3-9F41-B1D1F0BB8C2F}" name="Spalte657"/>
    <tableColumn id="675" xr3:uid="{EC70080C-85E3-4078-892B-7D0DD26F9AB6}" name="Spalte658"/>
    <tableColumn id="676" xr3:uid="{1FC92D7F-309B-4915-B419-4FFB017B3366}" name="Spalte659"/>
    <tableColumn id="677" xr3:uid="{EA1C2A21-9571-4942-A934-8B0CF8016694}" name="Spalte660"/>
    <tableColumn id="678" xr3:uid="{4C138433-9249-4E47-861E-7F2E867A1996}" name="Spalte661"/>
    <tableColumn id="679" xr3:uid="{7515C8C3-BDDD-4D42-9DEB-378A8D3CC2C4}" name="Spalte662"/>
    <tableColumn id="680" xr3:uid="{E1BE61C4-D4D8-407D-99B8-853FF9FB6369}" name="Spalte663"/>
    <tableColumn id="681" xr3:uid="{754EFF8E-DD25-4D30-9C9C-5BA94787CB7B}" name="Spalte664"/>
    <tableColumn id="682" xr3:uid="{B86D7DFD-6FCC-451C-B258-82E548F1C421}" name="Spalte665"/>
    <tableColumn id="683" xr3:uid="{3152C51C-5CDC-4395-94A9-C5F25A2FB073}" name="Spalte666"/>
    <tableColumn id="684" xr3:uid="{F1CCD7E4-2199-4102-B76E-AA38EE9A6BA7}" name="Spalte667"/>
    <tableColumn id="685" xr3:uid="{D92E7CB0-0D65-494F-81DC-05BDC5BC219D}" name="Spalte668"/>
    <tableColumn id="686" xr3:uid="{C060C689-A206-450D-8E5F-45A952326892}" name="Spalte669"/>
    <tableColumn id="687" xr3:uid="{6778A08E-E53C-4EDB-B58F-9FAA8498F0DD}" name="Spalte670"/>
    <tableColumn id="688" xr3:uid="{1B03C173-6FEF-424C-96AC-F1AFEB23E82C}" name="Spalte671"/>
    <tableColumn id="689" xr3:uid="{AD430F8E-ECDB-496E-9A60-F51416BD9EBC}" name="Spalte672"/>
    <tableColumn id="690" xr3:uid="{B225E47A-3040-42C7-9025-71345DA095DC}" name="Spalte673"/>
    <tableColumn id="691" xr3:uid="{966ADABF-17E3-4AE8-873A-B61759AA972E}" name="Spalte674"/>
    <tableColumn id="692" xr3:uid="{8257D597-B4A3-4BD7-BB66-0E08B2DF4FDB}" name="Spalte675"/>
    <tableColumn id="693" xr3:uid="{62AA5E53-65B4-4260-8738-2EEA5EFD5238}" name="Spalte676"/>
    <tableColumn id="694" xr3:uid="{4D39D7EE-8F8D-4E72-A0AB-805DC601BAA2}" name="Spalte677"/>
    <tableColumn id="695" xr3:uid="{78D4B06C-DD8F-4244-8053-EA6DB1AA888D}" name="Spalte678"/>
    <tableColumn id="696" xr3:uid="{C028988D-F895-4512-8BBD-566C124D9ED7}" name="Spalte679"/>
    <tableColumn id="697" xr3:uid="{75C5DC2E-2121-4B89-9C60-38754554083A}" name="Spalte680"/>
    <tableColumn id="698" xr3:uid="{65D5513A-6EBC-4797-8432-C5644F010543}" name="Spalte681"/>
    <tableColumn id="699" xr3:uid="{0655A021-66EA-43E6-8FEC-A2C6D1244B12}" name="Spalte682"/>
    <tableColumn id="700" xr3:uid="{3F590475-ACB8-48ED-A886-5A4E7D0EB3ED}" name="Spalte683"/>
    <tableColumn id="701" xr3:uid="{1589E2CA-C061-4155-812E-1D1CB8899B22}" name="Spalte684"/>
    <tableColumn id="702" xr3:uid="{59F0D503-98F5-4C6C-B70F-83E7D57B9172}" name="Spalte685"/>
    <tableColumn id="703" xr3:uid="{1E2008AF-486B-45C5-A7E8-42271F05D100}" name="Spalte686"/>
    <tableColumn id="704" xr3:uid="{F5403DF7-15EB-40E4-929B-4E7A653FD573}" name="Spalte687"/>
    <tableColumn id="705" xr3:uid="{392317C5-85C8-4DFF-904D-A54911250042}" name="Spalte688"/>
    <tableColumn id="706" xr3:uid="{82738BE4-7E67-4D22-A96B-4D70EAD39714}" name="Spalte689"/>
    <tableColumn id="707" xr3:uid="{60CA1A5F-4535-4DD0-AAB5-C9EF0781A0ED}" name="Spalte690"/>
    <tableColumn id="708" xr3:uid="{DB984CD3-31D8-4792-96D0-B2292B55393A}" name="Spalte691"/>
    <tableColumn id="709" xr3:uid="{F0924889-D59F-4044-B84F-9E782D0A4BAE}" name="Spalte692"/>
    <tableColumn id="710" xr3:uid="{7E370B2B-3D0A-40DC-BAA4-B3D8ED248DD9}" name="Spalte693"/>
    <tableColumn id="711" xr3:uid="{1DDB5CBB-DED8-43E4-95D5-45571D106351}" name="Spalte694"/>
    <tableColumn id="712" xr3:uid="{40140FBC-02B7-4E4A-9A81-8D27DBFB9A3B}" name="Spalte695"/>
    <tableColumn id="713" xr3:uid="{3DD96F86-7537-438C-8A93-64450FD8990E}" name="Spalte696"/>
    <tableColumn id="714" xr3:uid="{81BEA9C8-FE11-47A6-A1C7-48F6DBBE043C}" name="Spalte697"/>
    <tableColumn id="715" xr3:uid="{22E39132-264B-43C5-AD59-8C62D653E5D3}" name="Spalte698"/>
    <tableColumn id="716" xr3:uid="{3F384C0B-D6A6-4B19-8FEF-A7D66DD5CEBD}" name="Spalte699"/>
    <tableColumn id="717" xr3:uid="{0FC4A42C-543E-47A0-9064-D06BCF4C492F}" name="Spalte700"/>
    <tableColumn id="718" xr3:uid="{907521FE-EBDA-4123-859D-A332ACE4AA1D}" name="Spalte701"/>
    <tableColumn id="719" xr3:uid="{4F4AF2A4-9BBE-4846-8E4F-18C066CB8333}" name="Spalte702"/>
    <tableColumn id="720" xr3:uid="{D58FB62F-AAFF-4494-9854-8CED69BD2D48}" name="Spalte703"/>
    <tableColumn id="721" xr3:uid="{0EC813D8-ABB8-4E4D-8993-69495EB8E2CE}" name="Spalte704"/>
    <tableColumn id="722" xr3:uid="{DA6BAA1A-E93E-4001-91DA-7D75FBA276FD}" name="Spalte705"/>
    <tableColumn id="723" xr3:uid="{F4DDCB78-6295-4E43-B605-36DA34AF3188}" name="Spalte706"/>
    <tableColumn id="724" xr3:uid="{153D2816-02E8-499A-B40F-FB0F4BC73178}" name="Spalte707"/>
    <tableColumn id="725" xr3:uid="{CD4DD4C1-CA18-4743-A06E-3959F871DB22}" name="Spalte708"/>
    <tableColumn id="726" xr3:uid="{26817F37-58C4-477C-AD24-17B8C85ADA1B}" name="Spalte709"/>
    <tableColumn id="727" xr3:uid="{3DCA2828-C681-41DB-8B85-368995A766DD}" name="Spalte710"/>
    <tableColumn id="728" xr3:uid="{1C8B8E06-1EB5-4C92-88BF-DD776AE070E8}" name="Spalte711"/>
    <tableColumn id="729" xr3:uid="{364F058A-2A4B-4685-9487-535D43BE3766}" name="Spalte712"/>
    <tableColumn id="730" xr3:uid="{7A3BE1CF-8CBD-46B0-8F4E-5AE1DE890A33}" name="Spalte713"/>
    <tableColumn id="731" xr3:uid="{E100DF05-089E-453E-9E01-18339F5ECE0C}" name="Spalte714"/>
    <tableColumn id="732" xr3:uid="{E3AC3EBD-CFA9-4195-B094-23C1B4AEDF01}" name="Spalte715"/>
    <tableColumn id="733" xr3:uid="{3042AD1B-DFE7-497F-A436-DD6C80F0ABB5}" name="Spalte716"/>
    <tableColumn id="734" xr3:uid="{68774E86-71FB-447D-B294-6FA7B6D048EF}" name="Spalte717"/>
    <tableColumn id="735" xr3:uid="{AEF8DD03-9026-4009-BE07-B7DBAA2919A8}" name="Spalte718"/>
    <tableColumn id="736" xr3:uid="{E36F13E6-4F8A-4464-8021-64EF7ED92B1A}" name="Spalte719"/>
    <tableColumn id="737" xr3:uid="{79F6DD21-37D3-4D45-B716-883188AD5FF0}" name="Spalte720"/>
    <tableColumn id="738" xr3:uid="{396C9842-9CEE-4BAA-86A9-9670A7A418F3}" name="Spalte721"/>
    <tableColumn id="739" xr3:uid="{0B63E7B6-9F1A-477E-B5E1-13147F3A7D0A}" name="Spalte722"/>
    <tableColumn id="740" xr3:uid="{E4F3D08C-8931-4E7E-8E21-F5CA2A5BD6C2}" name="Spalte723"/>
    <tableColumn id="741" xr3:uid="{8363762A-9CCA-49BC-B3C2-F1B6A0474F18}" name="Spalte724"/>
    <tableColumn id="742" xr3:uid="{2855780E-A8AF-4B45-BFE7-D250524CB512}" name="Spalte725"/>
    <tableColumn id="743" xr3:uid="{5DEAA4DC-C336-4DDE-BE64-5E26E4C50C81}" name="Spalte726"/>
    <tableColumn id="744" xr3:uid="{31C9379E-D9D9-43C0-A80C-440B52C0EE44}" name="Spalte727"/>
    <tableColumn id="745" xr3:uid="{D0328B07-818B-4E9F-A411-CECAAE3B5055}" name="Spalte728"/>
    <tableColumn id="746" xr3:uid="{0817D837-8B32-477E-ADC6-65BB2E298935}" name="Spalte729"/>
    <tableColumn id="747" xr3:uid="{34C6FE4D-0477-4DEF-8449-05D2150521FF}" name="Spalte730"/>
    <tableColumn id="748" xr3:uid="{E2789687-8126-4498-8D62-A1BD4D044F58}" name="Spalte731"/>
    <tableColumn id="749" xr3:uid="{24C4941F-1E5B-4CCE-8733-83619D5AFFB1}" name="Spalte732"/>
    <tableColumn id="750" xr3:uid="{9BFABE2C-E344-4BFA-8D06-EE6F4117450B}" name="Spalte733"/>
    <tableColumn id="751" xr3:uid="{0DF8292E-4287-4B2A-B8C2-5202336E5625}" name="Spalte734"/>
    <tableColumn id="752" xr3:uid="{6417F4C4-38DE-401C-A3DF-78562BD47E57}" name="Spalte735"/>
    <tableColumn id="753" xr3:uid="{BC0743A6-7C64-4AEA-B6B7-6478C4A0F1D8}" name="Spalte736"/>
    <tableColumn id="754" xr3:uid="{07A5B1B2-F65C-4593-9F5C-F4F18475C2F4}" name="Spalte737"/>
    <tableColumn id="755" xr3:uid="{3328E77C-E141-4079-8FB8-CB3B6BFF6224}" name="Spalte738"/>
    <tableColumn id="756" xr3:uid="{783FB9BA-B44C-4935-8022-E53734B2FA6D}" name="Spalte739"/>
    <tableColumn id="757" xr3:uid="{C70D6603-222C-4C4F-93E8-565571DB345C}" name="Spalte740"/>
    <tableColumn id="758" xr3:uid="{B2D19DF0-D34A-4E5D-BE2E-0638C7108150}" name="Spalte741"/>
    <tableColumn id="759" xr3:uid="{9C5E3118-FBD8-44C0-82F6-0F3C3D7E35BB}" name="Spalte742"/>
    <tableColumn id="760" xr3:uid="{1A07A4AA-7190-41E9-95DC-8F267CB1E12A}" name="Spalte743"/>
    <tableColumn id="761" xr3:uid="{58D7FA6B-81DC-42D9-926E-62464CABE860}" name="Spalte744"/>
    <tableColumn id="762" xr3:uid="{E0D1C787-95C1-4ED5-807B-F3C1B2259592}" name="Spalte745"/>
    <tableColumn id="763" xr3:uid="{8F2FD895-B920-42D1-A888-36A3C82C5061}" name="Spalte746"/>
    <tableColumn id="764" xr3:uid="{ABEB8D2C-A363-4AE7-A6A1-EFFF50A259BF}" name="Spalte747"/>
    <tableColumn id="765" xr3:uid="{5D2ED5DE-6F99-4FC2-AE27-4F78BC249D88}" name="Spalte748"/>
    <tableColumn id="766" xr3:uid="{CECED874-640D-4383-BA5A-10DC841E1B1D}" name="Spalte749"/>
    <tableColumn id="767" xr3:uid="{48B70498-9F06-43F2-9D7B-AC73DAE7B7EC}" name="Spalte750"/>
    <tableColumn id="768" xr3:uid="{8D7AC4F0-3E56-4859-ACF4-8F4C7E578A86}" name="Spalte751"/>
    <tableColumn id="769" xr3:uid="{7E1A7978-59A1-49DB-AFB1-4D5CD7406476}" name="Spalte752"/>
    <tableColumn id="770" xr3:uid="{48FCC42F-FBD8-41D6-83E6-7F595C3FA0EB}" name="Spalte753"/>
    <tableColumn id="771" xr3:uid="{A6C9F564-B194-4934-A2D3-287EAC150E60}" name="Spalte754"/>
    <tableColumn id="772" xr3:uid="{0EAB20EC-00C2-408F-908F-593E27E3AC17}" name="Spalte755"/>
    <tableColumn id="773" xr3:uid="{72B63662-9C85-461E-89E6-B5B57953B2C9}" name="Spalte756"/>
    <tableColumn id="774" xr3:uid="{D8F2D9F8-6D79-4AD7-B3AF-1AC906431B41}" name="Spalte757"/>
    <tableColumn id="775" xr3:uid="{87976283-6073-49E2-9B99-81465902F521}" name="Spalte758"/>
    <tableColumn id="776" xr3:uid="{61A77EA2-EE0E-46B7-BB4D-201F2C1E1E60}" name="Spalte759"/>
    <tableColumn id="777" xr3:uid="{7ADE721C-70AB-4E65-9889-2FFCF48D41FA}" name="Spalte760"/>
    <tableColumn id="778" xr3:uid="{05163859-D3FD-4996-BF4E-57BE227BE1B2}" name="Spalte761"/>
    <tableColumn id="779" xr3:uid="{F503174B-0890-4FDF-A3F3-D596871457C8}" name="Spalte762"/>
    <tableColumn id="780" xr3:uid="{1ED69A0B-4947-443D-B4D9-A062E8E187B0}" name="Spalte763"/>
    <tableColumn id="781" xr3:uid="{3C096A6D-9C32-41CC-88E6-FEFBF79D9B32}" name="Spalte764"/>
    <tableColumn id="782" xr3:uid="{CCBE6043-D727-4C24-99DB-FBFBDFD07FDC}" name="Spalte765"/>
    <tableColumn id="783" xr3:uid="{308A6AD7-4D22-4798-AD0E-A0ECB73EC10C}" name="Spalte766"/>
    <tableColumn id="784" xr3:uid="{78319688-EFE1-4C85-9C21-590A9AD0E823}" name="Spalte767"/>
    <tableColumn id="785" xr3:uid="{4A6FFDE6-71F8-48A2-B66E-975276C9448C}" name="Spalte768"/>
    <tableColumn id="786" xr3:uid="{98206C8E-94D4-4BD2-B00B-70140B5A3629}" name="Spalte769"/>
    <tableColumn id="787" xr3:uid="{C24652EA-6D79-4E61-AD76-CB34FCA92CAF}" name="Spalte770"/>
    <tableColumn id="788" xr3:uid="{2A10F51B-4340-4253-AAEF-C4689FF23912}" name="Spalte771"/>
    <tableColumn id="789" xr3:uid="{49D937B6-B468-4E3D-A418-5C7A67ECEB4B}" name="Spalte772"/>
    <tableColumn id="790" xr3:uid="{A7BE4BDB-9D9C-4930-B8A2-B3A8082C62E0}" name="Spalte773"/>
    <tableColumn id="791" xr3:uid="{F9A87DF8-684D-4977-AE19-9D73FFDE8C67}" name="Spalte774"/>
    <tableColumn id="792" xr3:uid="{10A68ED6-3D6B-438D-827E-FCEACF1AA628}" name="Spalte775"/>
    <tableColumn id="793" xr3:uid="{2E3C8DBA-A5E1-4DA2-98A4-4940F68F935D}" name="Spalte776"/>
    <tableColumn id="794" xr3:uid="{5F464532-5A8D-4F2B-9694-147121EFDF41}" name="Spalte777"/>
    <tableColumn id="795" xr3:uid="{D2104C9C-D8A7-46BE-A14F-22A032C3C360}" name="Spalte778"/>
    <tableColumn id="796" xr3:uid="{1A87D3C3-527E-4DCC-8C9B-2145A5890BDF}" name="Spalte779"/>
    <tableColumn id="797" xr3:uid="{A095DE7F-8E91-4A9B-B4B8-EDDADE5716C9}" name="Spalte780"/>
    <tableColumn id="798" xr3:uid="{2D49BDBB-6EF1-4743-AB88-007C248493B2}" name="Spalte781"/>
    <tableColumn id="799" xr3:uid="{BC4E0A18-B597-424D-B295-BF8A002AD58C}" name="Spalte782"/>
    <tableColumn id="800" xr3:uid="{A43D01C7-B7A5-43BF-B493-2EA4EDD84040}" name="Spalte783"/>
    <tableColumn id="801" xr3:uid="{1641E8FE-F052-46BC-BBC8-608464F63AA5}" name="Spalte784"/>
    <tableColumn id="802" xr3:uid="{5EDC5354-2AB5-4748-9BE2-CC499E652F37}" name="Spalte785"/>
    <tableColumn id="803" xr3:uid="{5C4DBD75-3350-4E2D-B65D-DB0F73667788}" name="Spalte786"/>
    <tableColumn id="804" xr3:uid="{A26A14CD-D881-4707-A8EA-8417C418839E}" name="Spalte787"/>
    <tableColumn id="805" xr3:uid="{E90A0780-BD76-4D9D-A88C-B09E7A2856FC}" name="Spalte788"/>
    <tableColumn id="806" xr3:uid="{3FB6B652-780F-4FD5-815E-C8E5540A71B9}" name="Spalte789"/>
    <tableColumn id="807" xr3:uid="{C0E48EDC-F8D3-4412-9980-606867067E50}" name="Spalte790"/>
    <tableColumn id="808" xr3:uid="{4598F384-F222-49B4-8B7D-DC3083335BC2}" name="Spalte791"/>
    <tableColumn id="809" xr3:uid="{D0433CCE-3E7D-4690-A8B9-8E3C9949BFC2}" name="Spalte792"/>
    <tableColumn id="810" xr3:uid="{B3DCFEED-E931-43B7-A878-264E8431246B}" name="Spalte793"/>
    <tableColumn id="811" xr3:uid="{7088C62F-83F9-49C1-B401-6355DE80FE76}" name="Spalte794"/>
    <tableColumn id="812" xr3:uid="{42F421B6-5E5D-46DD-9418-2311691DC913}" name="Spalte795"/>
    <tableColumn id="813" xr3:uid="{5F046B22-DC2C-481B-B0E2-99456C52F0AD}" name="Spalte796"/>
    <tableColumn id="814" xr3:uid="{C0924DE7-0300-498F-9FB9-C4F4A0CFBBDA}" name="Spalte797"/>
    <tableColumn id="815" xr3:uid="{0FB1BBBE-F0EF-4A5F-9F75-21D57B0D348D}" name="Spalte798"/>
    <tableColumn id="816" xr3:uid="{A73DDC12-7332-4B05-9A36-87550FECD602}" name="Spalte799"/>
    <tableColumn id="817" xr3:uid="{E2F8E0D5-09F8-4E68-8684-AF956756FC2E}" name="Spalte800"/>
    <tableColumn id="818" xr3:uid="{E43C4F80-6CC8-43FB-B32B-85D933591892}" name="Spalte801"/>
    <tableColumn id="819" xr3:uid="{74323D69-53D8-4DB2-9206-5283164AC72C}" name="Spalte802"/>
    <tableColumn id="820" xr3:uid="{AB67A908-100C-49FF-8D48-3B13D42AE994}" name="Spalte803"/>
    <tableColumn id="821" xr3:uid="{56C424BC-413C-44F8-B24B-F6DE6C0DB6B0}" name="Spalte804"/>
    <tableColumn id="822" xr3:uid="{94D1E9B1-D01E-4B3F-AB0D-CF4AEA36A2D0}" name="Spalte805"/>
    <tableColumn id="823" xr3:uid="{060C5DC3-0FAF-43E7-AEF5-EEE508EB4505}" name="Spalte806"/>
    <tableColumn id="824" xr3:uid="{0C9C6251-D2CB-4AB6-854D-02869852BBC3}" name="Spalte807"/>
    <tableColumn id="825" xr3:uid="{14194521-1EAA-4460-9433-2694A472E97A}" name="Spalte808"/>
    <tableColumn id="826" xr3:uid="{0294B4A6-8BFE-45D5-B0AA-1D43B7755977}" name="Spalte809"/>
    <tableColumn id="827" xr3:uid="{4E073EE3-D26D-4483-9C34-D62504131A47}" name="Spalte810"/>
    <tableColumn id="828" xr3:uid="{8F014E1B-20BD-46C6-A559-299E9C3C4E37}" name="Spalte811"/>
    <tableColumn id="829" xr3:uid="{0443D45B-6C6C-4B96-B3B8-E5512D1D8622}" name="Spalte812"/>
    <tableColumn id="830" xr3:uid="{E16B7AEC-495D-4978-8006-CDF82012FC4A}" name="Spalte813"/>
    <tableColumn id="831" xr3:uid="{04D9D62D-2D67-4192-AC63-ED24A1F3ACB7}" name="Spalte814"/>
    <tableColumn id="832" xr3:uid="{59E824B6-7F48-4FED-A891-302E36A61CE2}" name="Spalte815"/>
    <tableColumn id="833" xr3:uid="{B20268B9-BE16-44C2-9747-5F4C742523D4}" name="Spalte816"/>
    <tableColumn id="834" xr3:uid="{7F83FC59-AB13-4DD7-AF36-A73E52588F76}" name="Spalte817"/>
    <tableColumn id="835" xr3:uid="{85E15719-0B79-4931-ADF0-6763D06402EF}" name="Spalte818"/>
    <tableColumn id="836" xr3:uid="{2E1D6348-174B-415A-AD2F-D16AA032A7F5}" name="Spalte819"/>
    <tableColumn id="837" xr3:uid="{4E717E85-007F-45F0-9408-7ABB85D80C22}" name="Spalte820"/>
    <tableColumn id="838" xr3:uid="{663BBFB1-B0BD-4D48-9EC3-43379FC53ED7}" name="Spalte821"/>
    <tableColumn id="839" xr3:uid="{9B753940-9250-466A-97D4-D57DD6A1BC05}" name="Spalte822"/>
    <tableColumn id="840" xr3:uid="{3C0B4FD3-BE63-43CB-AF9D-0CA4845C7931}" name="Spalte823"/>
    <tableColumn id="841" xr3:uid="{238DF86E-36B0-4FBE-94F1-F3BC3B2DFC49}" name="Spalte824"/>
    <tableColumn id="842" xr3:uid="{2966F45E-8C7A-4F60-B234-E23F1E08702D}" name="Spalte825"/>
    <tableColumn id="843" xr3:uid="{64B9CE94-7496-4726-96F6-CF9AD3D215AD}" name="Spalte826"/>
    <tableColumn id="844" xr3:uid="{66609EED-0CAA-4720-88DF-3AAB65C353CC}" name="Spalte827"/>
    <tableColumn id="845" xr3:uid="{7AA48CA6-02A3-438F-A968-E4D8DEEFF47C}" name="Spalte828"/>
    <tableColumn id="846" xr3:uid="{06891C28-5497-420C-8A31-326A2FB9E575}" name="Spalte829"/>
    <tableColumn id="847" xr3:uid="{C272ED40-C29C-4CBB-9BF3-B804ADD3827C}" name="Spalte830"/>
    <tableColumn id="848" xr3:uid="{9E7DAE36-200B-4378-958C-F75E86B1B4C4}" name="Spalte831"/>
    <tableColumn id="849" xr3:uid="{566BD7B9-A1A8-484A-813B-69A139DC9017}" name="Spalte832"/>
    <tableColumn id="850" xr3:uid="{43E497A9-A452-4646-8EDA-74CEFABA5B54}" name="Spalte833"/>
    <tableColumn id="851" xr3:uid="{7B2A9CB3-3309-42E7-95A3-317265DFD547}" name="Spalte834"/>
    <tableColumn id="852" xr3:uid="{70E4C6EB-8C6D-4387-B485-9BADBBC16A39}" name="Spalte835"/>
    <tableColumn id="853" xr3:uid="{FEAEDA4B-DD5B-4C23-A7B4-BB44F11578B3}" name="Spalte836"/>
    <tableColumn id="854" xr3:uid="{08105558-B5A8-4414-8171-321AD601BB0E}" name="Spalte837"/>
    <tableColumn id="855" xr3:uid="{AEBCAFA9-A8DC-4A57-AF90-0EFD874FBFB6}" name="Spalte838"/>
    <tableColumn id="856" xr3:uid="{6EE98486-A669-4DEF-94C4-0630BCE8926A}" name="Spalte839"/>
    <tableColumn id="857" xr3:uid="{A23A638D-E83B-4251-A253-79A0BABDA540}" name="Spalte840"/>
    <tableColumn id="858" xr3:uid="{3111C694-9EA3-47DA-9C59-F37569F91634}" name="Spalte841"/>
    <tableColumn id="859" xr3:uid="{E0C20AF0-2DE4-4F1E-ADF8-B4AC9D5DB97D}" name="Spalte842"/>
    <tableColumn id="860" xr3:uid="{910DDAD0-166A-4CE8-BFB4-906053B71907}" name="Spalte843"/>
    <tableColumn id="861" xr3:uid="{3C4C5391-182C-42D8-AE15-9063D94B0114}" name="Spalte844"/>
    <tableColumn id="862" xr3:uid="{B3B93501-6B0C-49CB-8C97-CDCACE5F9196}" name="Spalte845"/>
    <tableColumn id="863" xr3:uid="{D13EBD80-9BDC-46E0-B8BD-DF8CECF7354A}" name="Spalte846"/>
    <tableColumn id="864" xr3:uid="{81E3FF0D-682B-4C05-AE51-889ED5F86B23}" name="Spalte847"/>
    <tableColumn id="865" xr3:uid="{331B0E84-9CDE-483E-8D3E-62A96A8BBA3F}" name="Spalte848"/>
    <tableColumn id="866" xr3:uid="{C69BCBDF-9BEE-4B21-BC1D-7B51E887EA4A}" name="Spalte849"/>
    <tableColumn id="867" xr3:uid="{6822D748-C158-4564-AB00-735134D574F6}" name="Spalte850"/>
    <tableColumn id="868" xr3:uid="{7EEB111A-8D9F-4EEE-BC5F-949B58E247D7}" name="Spalte851"/>
    <tableColumn id="869" xr3:uid="{DFA98CB6-167A-4801-8EF7-65E14155D3BC}" name="Spalte852"/>
    <tableColumn id="870" xr3:uid="{15A4AB0B-F1E0-4036-8FDA-F10B4FF765E4}" name="Spalte853"/>
    <tableColumn id="871" xr3:uid="{BEDB15E4-1B71-4E4C-A9FF-31C56E351908}" name="Spalte854"/>
    <tableColumn id="872" xr3:uid="{0112C6D4-CECB-45FA-A21B-3F9CAC3F85A8}" name="Spalte855"/>
    <tableColumn id="873" xr3:uid="{67DF4A41-A32D-4A1A-8255-770D61B2112C}" name="Spalte856"/>
    <tableColumn id="874" xr3:uid="{545DDD4E-85D6-45D8-8942-AD2F789BF61E}" name="Spalte857"/>
    <tableColumn id="875" xr3:uid="{30876293-E8EA-4CEB-BA42-76E805A4B779}" name="Spalte858"/>
    <tableColumn id="876" xr3:uid="{19D68EE7-1CAC-4F48-B2C0-47D711377ED1}" name="Spalte859"/>
    <tableColumn id="877" xr3:uid="{87BD5C3B-45E8-44B7-BEE3-49DAB50149FB}" name="Spalte860"/>
    <tableColumn id="878" xr3:uid="{D61522A6-9393-48FA-9CCE-F482C5778160}" name="Spalte861"/>
    <tableColumn id="879" xr3:uid="{CBEADA8F-9B15-4171-B3E0-5F9242B3151E}" name="Spalte862"/>
    <tableColumn id="880" xr3:uid="{5DDD600E-B31C-4115-9C37-1C1124F7FB4B}" name="Spalte863"/>
    <tableColumn id="881" xr3:uid="{94B74794-F6DC-4A57-95D1-B225DD369A46}" name="Spalte864"/>
    <tableColumn id="882" xr3:uid="{BC65BD28-C8EF-44DA-B22C-0B5037060F1A}" name="Spalte865"/>
    <tableColumn id="883" xr3:uid="{07574468-996B-4E36-98F1-9B1EB57997AD}" name="Spalte866"/>
    <tableColumn id="884" xr3:uid="{1B38B680-719F-477A-A8A6-3DC89BA16101}" name="Spalte867"/>
    <tableColumn id="885" xr3:uid="{F029F843-EEA5-431B-9F20-156684D2F6F8}" name="Spalte868"/>
    <tableColumn id="886" xr3:uid="{BC738908-6CC6-4586-882E-98E7A599E310}" name="Spalte869"/>
    <tableColumn id="887" xr3:uid="{32986E82-B0C2-40D4-A615-128BE8405799}" name="Spalte870"/>
    <tableColumn id="888" xr3:uid="{FF5EFB9C-A85A-493B-BFD0-A13D9D3A1D7E}" name="Spalte871"/>
    <tableColumn id="889" xr3:uid="{396807DD-8B27-47D1-A886-6CB9A455F0FC}" name="Spalte872"/>
    <tableColumn id="890" xr3:uid="{FE5C84A2-6D09-4B7F-A8C0-CF08DCC144FB}" name="Spalte873"/>
    <tableColumn id="891" xr3:uid="{CA7B6397-F45D-4167-8871-14A83CB737F5}" name="Spalte874"/>
    <tableColumn id="892" xr3:uid="{E0E4EE11-62DB-4EC7-A3D7-246D945ABB6C}" name="Spalte875"/>
    <tableColumn id="893" xr3:uid="{BFB8922E-CF14-4FA4-A72F-E9AC9D037004}" name="Spalte876"/>
    <tableColumn id="894" xr3:uid="{A44482BB-0D6E-4C65-8C51-128D7E9B6598}" name="Spalte877"/>
    <tableColumn id="895" xr3:uid="{C973B1A0-BF38-4C4D-AF21-D3B476E7C85B}" name="Spalte878"/>
    <tableColumn id="896" xr3:uid="{AB3DFD84-2A69-44BA-8E44-16D2B272385A}" name="Spalte879"/>
    <tableColumn id="897" xr3:uid="{C3689D43-3D5A-4F9A-BDD5-35DFED01BF07}" name="Spalte880"/>
    <tableColumn id="898" xr3:uid="{F1A4502F-7A0C-44B4-A333-4ABB323BBA08}" name="Spalte881"/>
    <tableColumn id="899" xr3:uid="{7F4CA9E1-B46C-4EB2-AECF-2152337A8BCD}" name="Spalte882"/>
    <tableColumn id="900" xr3:uid="{CC0B4809-328F-4C5D-B99D-481DEC93A772}" name="Spalte883"/>
    <tableColumn id="901" xr3:uid="{88BD0295-F5EF-45EB-A8EF-28A87E6383B8}" name="Spalte884"/>
    <tableColumn id="902" xr3:uid="{0F54B377-9AF1-48FD-A4EE-43898A7C03C3}" name="Spalte885"/>
    <tableColumn id="903" xr3:uid="{21A67C0A-0669-482B-BCEB-3DE3CB59F5A2}" name="Spalte886"/>
    <tableColumn id="904" xr3:uid="{F1409427-6139-4B85-BC8E-7522FCC1C01F}" name="Spalte887"/>
    <tableColumn id="905" xr3:uid="{243C101D-9D64-4B5E-8E6B-98ABA52A10CA}" name="Spalte888"/>
    <tableColumn id="906" xr3:uid="{AE7392BA-F09C-4193-911E-2F71E5DADD40}" name="Spalte889"/>
    <tableColumn id="907" xr3:uid="{8B4709B9-6AAD-47E0-8A55-CD5C6FD39731}" name="Spalte890"/>
    <tableColumn id="908" xr3:uid="{25CCAABB-9514-48B2-A93E-1AAFBF6FDC74}" name="Spalte891"/>
    <tableColumn id="909" xr3:uid="{575A4C95-64E4-42BB-BE8A-A279FA460B3B}" name="Spalte892"/>
    <tableColumn id="910" xr3:uid="{99011658-7E41-475F-A286-A70A97C3193F}" name="Spalte893"/>
    <tableColumn id="911" xr3:uid="{E4E42025-A714-4DAF-B487-89EC4E0A492F}" name="Spalte894"/>
    <tableColumn id="912" xr3:uid="{B300A865-229A-4534-B8F3-670D4AE5C8D7}" name="Spalte895"/>
    <tableColumn id="913" xr3:uid="{C84E779A-750F-4705-A942-2E754AF88D11}" name="Spalte896"/>
    <tableColumn id="914" xr3:uid="{C1519BBF-D78D-4438-91F4-3A546482BFCB}" name="Spalte897"/>
    <tableColumn id="915" xr3:uid="{5ED2EBD0-B5FB-46CD-9BF5-7E3359039826}" name="Spalte898"/>
    <tableColumn id="916" xr3:uid="{49D55B41-CE4E-4C8B-A00C-33D42E42B7C5}" name="Spalte899"/>
    <tableColumn id="917" xr3:uid="{FF5714D9-31A7-478A-9B02-98092366926A}" name="Spalte900"/>
    <tableColumn id="918" xr3:uid="{93FFFD30-CCB7-4125-9D0A-23C82AAB5F47}" name="Spalte901"/>
    <tableColumn id="919" xr3:uid="{C3FC3E28-A419-4B4B-91AE-16BA973640C0}" name="Spalte902"/>
    <tableColumn id="920" xr3:uid="{B36FFCB8-9E6D-4451-BE76-00CB00DFDE87}" name="Spalte903"/>
    <tableColumn id="921" xr3:uid="{533327D0-AB04-4B0D-A2CA-B062543BCC14}" name="Spalte904"/>
    <tableColumn id="922" xr3:uid="{94CAF365-014B-4F84-9927-665E5BCE5A04}" name="Spalte905"/>
    <tableColumn id="923" xr3:uid="{D7BE56E3-E3B6-4293-BD89-99FC7544BE52}" name="Spalte906"/>
    <tableColumn id="924" xr3:uid="{77E5B0EB-F715-44D5-9B40-9FE75A7D0127}" name="Spalte907"/>
    <tableColumn id="925" xr3:uid="{E42B5F36-37B0-4067-9D26-A71FB79D27C9}" name="Spalte908"/>
    <tableColumn id="926" xr3:uid="{67388BF5-CAE2-491A-A0A4-6646AFF37F84}" name="Spalte909"/>
    <tableColumn id="927" xr3:uid="{A821A40C-CFCB-4946-B44A-8FE47EC93282}" name="Spalte910"/>
    <tableColumn id="928" xr3:uid="{DB49B2A3-B5D3-4CCE-A6FC-BB8B22A78552}" name="Spalte911"/>
    <tableColumn id="929" xr3:uid="{88F42FB5-9E1A-4F26-AACB-D8A7B1BA6C52}" name="Spalte912"/>
    <tableColumn id="930" xr3:uid="{DE4A06A1-61EE-4DFB-95CD-03CA037D3482}" name="Spalte913"/>
    <tableColumn id="931" xr3:uid="{66C529C6-C20E-4454-AA7A-3E2359DEF827}" name="Spalte914"/>
    <tableColumn id="932" xr3:uid="{422CD19A-A691-487A-BD9F-36602CCDB660}" name="Spalte915"/>
    <tableColumn id="933" xr3:uid="{9C239D4A-EDFE-4FD3-AD8E-B94848E57016}" name="Spalte916"/>
    <tableColumn id="934" xr3:uid="{1C1D635B-AA82-4E52-B7CB-4031B937845E}" name="Spalte917"/>
    <tableColumn id="935" xr3:uid="{6CFC2362-21C8-472B-9490-2F64287F900D}" name="Spalte918"/>
    <tableColumn id="936" xr3:uid="{F684FA41-5DEA-4838-9AD3-F0FF7EC66BB8}" name="Spalte919"/>
    <tableColumn id="937" xr3:uid="{C5DDE6CB-DB29-4432-BFEE-7C97E1A8B012}" name="Spalte920"/>
    <tableColumn id="938" xr3:uid="{745F28B6-0662-4196-A799-E743642B2839}" name="Spalte921"/>
    <tableColumn id="939" xr3:uid="{E476ABB4-FF42-4C62-BB6E-9A08A334BAB0}" name="Spalte922"/>
    <tableColumn id="940" xr3:uid="{FE58F8CD-D164-47F9-8A22-EDECBA5B28F7}" name="Spalte923"/>
    <tableColumn id="941" xr3:uid="{A0871FD4-8F6C-4CDA-B596-56894A1FAFBC}" name="Spalte924"/>
    <tableColumn id="942" xr3:uid="{91737E5E-8575-4AF3-A852-8F729C52D546}" name="Spalte925"/>
    <tableColumn id="943" xr3:uid="{16B46347-876A-4F09-8421-8D111532C527}" name="Spalte926"/>
    <tableColumn id="944" xr3:uid="{88247D99-22CA-4DDB-AAF3-A5871DE7F86E}" name="Spalte927"/>
    <tableColumn id="945" xr3:uid="{770EBEF5-DE45-4614-819A-50918F5267AB}" name="Spalte928"/>
    <tableColumn id="946" xr3:uid="{044775B0-57F3-48FE-BA10-2CC4FBF6D525}" name="Spalte929"/>
    <tableColumn id="947" xr3:uid="{2DE8AB86-080A-4A60-9AFC-17FA70F05951}" name="Spalte930"/>
    <tableColumn id="948" xr3:uid="{F6D66E46-94D5-4B59-AAD4-CF9E4359B760}" name="Spalte931"/>
    <tableColumn id="949" xr3:uid="{2C67BE7C-59EF-42E5-B660-05F6D8EF5545}" name="Spalte932"/>
    <tableColumn id="950" xr3:uid="{9536104E-2548-4C8F-9B62-0294CF55A640}" name="Spalte933"/>
    <tableColumn id="951" xr3:uid="{216A51D3-EAA4-42F9-8EDB-EC28A393F6FE}" name="Spalte934"/>
    <tableColumn id="952" xr3:uid="{C7B993CA-1B9C-490F-B067-8AA6755CF0A2}" name="Spalte935"/>
    <tableColumn id="953" xr3:uid="{7CF1A7C6-B9E3-4EEF-8EB5-48054AEA4FCA}" name="Spalte936"/>
    <tableColumn id="954" xr3:uid="{FA4F7041-2783-4700-9289-E758336D3E2A}" name="Spalte937"/>
    <tableColumn id="955" xr3:uid="{5359C05C-DA2B-4C45-A034-00978C918F8A}" name="Spalte938"/>
    <tableColumn id="956" xr3:uid="{6130980F-089B-437F-B1F2-DE2420981305}" name="Spalte939"/>
    <tableColumn id="957" xr3:uid="{BA98CD71-B4CD-494C-AF09-C5B3B4226412}" name="Spalte940"/>
    <tableColumn id="958" xr3:uid="{F7B2EA7D-60B5-444D-8A45-DDBCDCD34B84}" name="Spalte941"/>
    <tableColumn id="959" xr3:uid="{37EF554B-2316-426E-86D4-6450BF115C0D}" name="Spalte942"/>
    <tableColumn id="960" xr3:uid="{5B2F5164-6288-404A-AB8F-6CA2821E6148}" name="Spalte943"/>
    <tableColumn id="961" xr3:uid="{6EC91B13-40D0-4685-8B41-6E3BEB4827B4}" name="Spalte944"/>
    <tableColumn id="962" xr3:uid="{41BD6272-076C-4A8C-A148-9076F331CDA2}" name="Spalte945"/>
    <tableColumn id="963" xr3:uid="{C5D433C7-0B1B-471E-94FC-07836DA525E1}" name="Spalte946"/>
    <tableColumn id="964" xr3:uid="{36760BF8-E31A-425F-A0A9-39A26946702F}" name="Spalte947"/>
    <tableColumn id="965" xr3:uid="{2BFF6A8D-9773-4DCE-B59E-07F33660CEFA}" name="Spalte948"/>
    <tableColumn id="966" xr3:uid="{41273F7F-AD06-4789-A5EC-E8147AACA18F}" name="Spalte949"/>
    <tableColumn id="967" xr3:uid="{404565A6-4ABD-4FEC-8E93-AB85672912FD}" name="Spalte950"/>
    <tableColumn id="968" xr3:uid="{6A53521D-35D3-4CF3-9F50-C68B50B9B404}" name="Spalte951"/>
    <tableColumn id="969" xr3:uid="{5989444E-76D9-486F-8A7B-BDDFAA529FF9}" name="Spalte952"/>
    <tableColumn id="970" xr3:uid="{F1939E2C-F51D-42BC-B816-27DBC12D3ACF}" name="Spalte953"/>
    <tableColumn id="971" xr3:uid="{471EDA54-50BA-4CAA-A11C-451474B99440}" name="Spalte954"/>
    <tableColumn id="972" xr3:uid="{7E75D1D0-39BA-4168-AA19-5405A2D7FEBB}" name="Spalte955"/>
    <tableColumn id="973" xr3:uid="{650AF16F-1012-4086-8734-F388CB29A785}" name="Spalte956"/>
    <tableColumn id="974" xr3:uid="{786BE73B-EF57-4C51-95A1-E7CFBBA14DDB}" name="Spalte957"/>
    <tableColumn id="975" xr3:uid="{52862BEB-1980-4DC8-ACC6-691DD019D477}" name="Spalte958"/>
    <tableColumn id="976" xr3:uid="{0389FFA3-38B0-49DC-9D8F-16135D5FBFD3}" name="Spalte959"/>
    <tableColumn id="977" xr3:uid="{745A962A-3E1A-457E-A49B-686004D2642A}" name="Spalte960"/>
    <tableColumn id="978" xr3:uid="{B5D0D527-2845-4351-84FA-97F1FBA2BACB}" name="Spalte961"/>
    <tableColumn id="979" xr3:uid="{4C5CD89F-EDF3-453A-8456-609C9319DAAC}" name="Spalte962"/>
    <tableColumn id="980" xr3:uid="{94BF5F63-BD0C-411C-8493-CCB20A13C748}" name="Spalte963"/>
    <tableColumn id="981" xr3:uid="{CA7AAB47-62F3-46F5-A4DB-520628CC46C0}" name="Spalte964"/>
    <tableColumn id="982" xr3:uid="{EC6DB3FE-58B5-4547-BB99-EA81991AB2D5}" name="Spalte965"/>
    <tableColumn id="983" xr3:uid="{7177C274-73DD-4F38-A25E-54808D9C3609}" name="Spalte966"/>
    <tableColumn id="984" xr3:uid="{B4C32AB4-76E8-42A2-B6CD-26806C11CC1A}" name="Spalte967"/>
    <tableColumn id="985" xr3:uid="{10A7ED1F-1E13-4ACF-A1E5-9C93A509D0B0}" name="Spalte968"/>
    <tableColumn id="986" xr3:uid="{C34F7E12-7F8E-415C-971D-543EFE70514F}" name="Spalte969"/>
    <tableColumn id="987" xr3:uid="{5EA76762-01C8-49F3-BEF3-DACEC486095D}" name="Spalte970"/>
    <tableColumn id="988" xr3:uid="{562C13C4-8595-4D44-A84B-8861ACC67274}" name="Spalte971"/>
    <tableColumn id="989" xr3:uid="{1F46D7A8-91F1-427D-9897-459C1B7484CD}" name="Spalte972"/>
    <tableColumn id="990" xr3:uid="{C636A3A7-DEEB-4083-92C0-A79B8CC565C6}" name="Spalte973"/>
    <tableColumn id="991" xr3:uid="{7195D104-5A37-438E-897F-810D92C64828}" name="Spalte974"/>
    <tableColumn id="992" xr3:uid="{BC01F87B-B582-49AA-A4C4-FB81D4CAA22D}" name="Spalte975"/>
    <tableColumn id="993" xr3:uid="{7B0E755B-D89B-4DEB-BF06-CD3DEB00189D}" name="Spalte976"/>
    <tableColumn id="994" xr3:uid="{4C5D7A2B-6CE0-4095-989C-775328B73A2A}" name="Spalte977"/>
    <tableColumn id="995" xr3:uid="{A85755A5-2B01-43A6-91E0-2B4F78727382}" name="Spalte978"/>
    <tableColumn id="996" xr3:uid="{58E177F9-9721-4E57-9109-706D88B72FF2}" name="Spalte979"/>
    <tableColumn id="997" xr3:uid="{988FA7AE-8A4A-4E3D-B583-E2F88F29DFCC}" name="Spalte980"/>
    <tableColumn id="998" xr3:uid="{DE4F94BC-A976-471B-90B7-6C953E701114}" name="Spalte981"/>
    <tableColumn id="999" xr3:uid="{80A1ADEF-F633-4B49-8C63-1610C7E1DA67}" name="Spalte982"/>
    <tableColumn id="1000" xr3:uid="{231CE21F-986D-49C6-9D05-423234B1D2B2}" name="Spalte983"/>
    <tableColumn id="1001" xr3:uid="{7F68593C-23F5-40BD-BBFA-8DA46EBDD729}" name="Spalte984"/>
    <tableColumn id="1002" xr3:uid="{4604DC64-F61E-459F-9B6F-33F36668BBA6}" name="Spalte985"/>
    <tableColumn id="1003" xr3:uid="{94AF1CD2-7014-4C0F-A4E1-629E632BC0CA}" name="Spalte986"/>
    <tableColumn id="1004" xr3:uid="{9B1DB936-45FE-4079-86F6-2CEEA71D3209}" name="Spalte987"/>
    <tableColumn id="1005" xr3:uid="{65ADF3AB-5346-46E5-84A4-479E8B2FC0C0}" name="Spalte988"/>
    <tableColumn id="1006" xr3:uid="{6B5BB592-952C-40FC-848E-ED9815217D25}" name="Spalte989"/>
    <tableColumn id="1007" xr3:uid="{A2F729AA-8178-4F33-96A1-4D7B63C2DC06}" name="Spalte990"/>
    <tableColumn id="1008" xr3:uid="{D7EFF044-6693-4880-B1AC-91AC18D66905}" name="Spalte991"/>
    <tableColumn id="1009" xr3:uid="{ED33376E-05C7-4618-B550-9575BDB7255A}" name="Spalte992"/>
    <tableColumn id="1010" xr3:uid="{B69F060B-1577-404A-89D6-FBD66CE627AD}" name="Spalte993"/>
    <tableColumn id="1011" xr3:uid="{C26D401C-06F7-4A1A-A1FE-60F8870321BE}" name="Spalte994"/>
    <tableColumn id="1012" xr3:uid="{3DF136CB-AF21-4922-A2EC-006BC976AEE8}" name="Spalte995"/>
    <tableColumn id="1013" xr3:uid="{0486F1A5-D674-4C14-BF22-9A851B213AD0}" name="Spalte996"/>
    <tableColumn id="1014" xr3:uid="{E4364680-56E9-4C33-AF33-5B6766BA5F86}" name="Spalte997"/>
    <tableColumn id="1015" xr3:uid="{2ED99307-D4E8-4BFF-B710-9C4A6BE8E48F}" name="Spalte998"/>
    <tableColumn id="1016" xr3:uid="{C93B3BC8-D0C3-49FD-90E5-2E8BA4EDC2ED}" name="Spalte999"/>
    <tableColumn id="1017" xr3:uid="{B740FC9C-CA26-4D28-A3C3-905F684628BA}" name="Spalte1000"/>
    <tableColumn id="1018" xr3:uid="{2D7BD9CE-EC74-4E64-886E-26D4886FDB34}" name="Spalte1001"/>
    <tableColumn id="1019" xr3:uid="{37DFDF73-BAB5-441C-99E5-A3D2F7515748}" name="Spalte1002"/>
    <tableColumn id="1020" xr3:uid="{7E7BB995-03A8-46E5-8834-54EC68A2A443}" name="Spalte1003"/>
    <tableColumn id="1021" xr3:uid="{57B986C9-8A27-459B-BBF9-189AD7819A1D}" name="Spalte1004"/>
    <tableColumn id="1022" xr3:uid="{24A008ED-8270-4189-946E-7A9C9C0FAD7E}" name="Spalte1005"/>
    <tableColumn id="1023" xr3:uid="{27C9BD8F-7FEF-42C6-B984-3B8BAFBB31C3}" name="Spalte1006"/>
    <tableColumn id="1024" xr3:uid="{05BEAD7E-5B08-41F4-8815-AAD70709BEF7}" name="Spalte1007"/>
    <tableColumn id="1025" xr3:uid="{B9052E60-8D41-4FF2-8E7B-3DBD871EE5AC}" name="Spalte1008"/>
    <tableColumn id="1026" xr3:uid="{BF258238-7E52-4680-B050-3ECDC0271EE6}" name="Spalte1009"/>
    <tableColumn id="1027" xr3:uid="{43EDF122-2A3F-43AE-B7AF-849926DF59E6}" name="Spalte1010"/>
    <tableColumn id="1028" xr3:uid="{A142501A-9A88-495E-B05A-E3B741940475}" name="Spalte1011"/>
    <tableColumn id="1029" xr3:uid="{8DB60475-74F1-4758-B03B-E8741B75E8D9}" name="Spalte1012"/>
    <tableColumn id="1030" xr3:uid="{A6686D6E-2D9D-44C8-8D43-570ADDE46CCC}" name="Spalte1013"/>
    <tableColumn id="1031" xr3:uid="{766D81CB-1488-483B-82FF-D11D09578080}" name="Spalte1014"/>
    <tableColumn id="1032" xr3:uid="{DD728C67-EA29-403A-B6B5-4ADF0F06CB20}" name="Spalte1015"/>
    <tableColumn id="1033" xr3:uid="{6BA34D88-5596-453A-99AC-1D975C4A99CB}" name="Spalte1016"/>
    <tableColumn id="1034" xr3:uid="{F838BB4A-5F05-4FBF-B88B-96B5BC24C99E}" name="Spalte1017"/>
    <tableColumn id="1035" xr3:uid="{8CD5C1FD-AC36-4610-9EF8-4DCBD4CC50A6}" name="Spalte1018"/>
    <tableColumn id="1036" xr3:uid="{1F5B8C3A-658F-4C1F-9689-D420FFE8583A}" name="Spalte1019"/>
    <tableColumn id="1037" xr3:uid="{C5274247-7F66-495D-B7B8-49779F3A06F9}" name="Spalte1020"/>
    <tableColumn id="1038" xr3:uid="{659F0C7B-DA22-4569-B362-3E6B2B385D47}" name="Spalte1021"/>
    <tableColumn id="1039" xr3:uid="{1408D3A5-A2C6-4B72-91A8-B323F708AA75}" name="Spalte1022"/>
    <tableColumn id="1040" xr3:uid="{EFAEA9F4-8098-4EA0-84F1-2553A30B0C10}" name="Spalte1023"/>
    <tableColumn id="1041" xr3:uid="{B65AC711-9218-4E80-84A7-6726328FCACB}" name="Spalte1024"/>
    <tableColumn id="1042" xr3:uid="{A56175AF-D42E-4A1E-807E-078DE0EF1208}" name="Spalte1025"/>
    <tableColumn id="1043" xr3:uid="{14299D3D-0249-46DA-869A-BDEDAC0C49DC}" name="Spalte1026"/>
    <tableColumn id="1044" xr3:uid="{A9F8B4DF-96CE-44A6-BF8C-8D4E19569162}" name="Spalte1027"/>
    <tableColumn id="1045" xr3:uid="{005D62C2-65B3-4CFE-A7A9-EDD6C1094134}" name="Spalte1028"/>
    <tableColumn id="1046" xr3:uid="{9C040FF8-5CB4-4B22-90AA-A955FC36E4BD}" name="Spalte1029"/>
    <tableColumn id="1047" xr3:uid="{7F5BD501-8F28-447A-A041-AD49DC3E3C06}" name="Spalte1030"/>
    <tableColumn id="1048" xr3:uid="{7A8A37EF-F031-4283-99E9-25D01CF482AD}" name="Spalte1031"/>
    <tableColumn id="1049" xr3:uid="{A7563A4C-D602-4601-A6FA-EFACC967D3F7}" name="Spalte1032"/>
    <tableColumn id="1050" xr3:uid="{8D63EBFD-B69B-4CE2-BF2C-278971773A61}" name="Spalte1033"/>
    <tableColumn id="1051" xr3:uid="{C7AF87BB-23AE-4276-898D-29174208FD9A}" name="Spalte1034"/>
    <tableColumn id="1052" xr3:uid="{ADA84666-F8C2-4232-8E92-E0F50908FECC}" name="Spalte1035"/>
    <tableColumn id="1053" xr3:uid="{93ACD020-BBFB-4B5B-879D-62F885F10A93}" name="Spalte1036"/>
    <tableColumn id="1054" xr3:uid="{53F6BCE0-931A-40CE-96A5-31A254515EFD}" name="Spalte1037"/>
    <tableColumn id="1055" xr3:uid="{AAB5CD3A-1FF8-4BAD-ADB3-FAB4F4CEDDD5}" name="Spalte1038"/>
    <tableColumn id="1056" xr3:uid="{A7F071ED-445F-4110-AB00-62A924FE3C42}" name="Spalte1039"/>
    <tableColumn id="1057" xr3:uid="{8B36CC21-C39F-4612-9667-D5145A6CAF2A}" name="Spalte1040"/>
    <tableColumn id="1058" xr3:uid="{F409BBBA-C1BB-40BD-B2F0-EFEB4F6CF1B7}" name="Spalte1041"/>
    <tableColumn id="1059" xr3:uid="{B4B9D6C1-0796-4157-9BFE-23966D10DC9A}" name="Spalte1042"/>
    <tableColumn id="1060" xr3:uid="{35215938-EB73-43C4-AFEC-F90F058BEF86}" name="Spalte1043"/>
    <tableColumn id="1061" xr3:uid="{15BB31F6-37BC-4D67-9FDB-BD76B5B1CF9E}" name="Spalte1044"/>
    <tableColumn id="1062" xr3:uid="{14C48B6A-F56A-4B5B-87DC-06894ACF29B5}" name="Spalte1045"/>
    <tableColumn id="1063" xr3:uid="{0F6D3302-8FE4-4801-B33F-252ACF7A46EB}" name="Spalte1046"/>
    <tableColumn id="1064" xr3:uid="{43CB1F1F-3A1D-476D-9350-A900A866A1FC}" name="Spalte1047"/>
    <tableColumn id="1065" xr3:uid="{771ED8A7-31D7-4CD6-8F25-4D461BFB5DBA}" name="Spalte1048"/>
    <tableColumn id="1066" xr3:uid="{8BB33B62-7B53-4FDB-AB3B-FA129A148F24}" name="Spalte1049"/>
    <tableColumn id="1067" xr3:uid="{3C8610D9-5A99-486C-AF29-F48536AA682B}" name="Spalte1050"/>
    <tableColumn id="1068" xr3:uid="{E13F097D-31B5-43F8-AB33-0EF2BEEF38F8}" name="Spalte1051"/>
    <tableColumn id="1069" xr3:uid="{3B0ABE17-B508-4AB3-80A7-3C36E3A9A8F5}" name="Spalte1052"/>
    <tableColumn id="1070" xr3:uid="{8D9169BB-4137-400F-A89A-3ED68F4D0E4D}" name="Spalte1053"/>
    <tableColumn id="1071" xr3:uid="{95009EE5-FEB1-4CF8-8643-80D9FDB9098F}" name="Spalte1054"/>
    <tableColumn id="1072" xr3:uid="{1EB6E03A-3509-4AAB-9671-BDA013028EDD}" name="Spalte1055"/>
    <tableColumn id="1073" xr3:uid="{08157D98-F80B-4722-8C47-27404071E9AE}" name="Spalte1056"/>
    <tableColumn id="1074" xr3:uid="{3498CAD6-2F11-4EBF-B7E8-C564C486AC01}" name="Spalte1057"/>
    <tableColumn id="1075" xr3:uid="{D39D0BDE-30DE-4525-978F-DFF7C4C07E1A}" name="Spalte1058"/>
    <tableColumn id="1076" xr3:uid="{32A6EFA8-B2A6-4DE1-AAAC-4662BA736F1C}" name="Spalte1059"/>
    <tableColumn id="1077" xr3:uid="{E559A916-2E64-40D7-930B-82AE69B683CD}" name="Spalte1060"/>
    <tableColumn id="1078" xr3:uid="{63B2D8C2-8F3E-4B00-95E0-2D99FEC68075}" name="Spalte1061"/>
    <tableColumn id="1079" xr3:uid="{C489EFEA-B832-409B-ADC7-6A1BEEEF0D65}" name="Spalte1062"/>
    <tableColumn id="1080" xr3:uid="{1EF126CA-6221-4673-AA59-86CB70BF7CA7}" name="Spalte1063"/>
    <tableColumn id="1081" xr3:uid="{6554C52A-8BFF-4488-86AB-932F915DADA4}" name="Spalte1064"/>
    <tableColumn id="1082" xr3:uid="{682D2056-A7B4-466B-AC7A-62FBC0C850F4}" name="Spalte1065"/>
    <tableColumn id="1083" xr3:uid="{79FC9EA5-48F9-432E-9DD3-3E67AC90EE44}" name="Spalte1066"/>
    <tableColumn id="1084" xr3:uid="{23FBA79D-78D7-41DE-B9D3-9ED8A0A233A1}" name="Spalte1067"/>
    <tableColumn id="1085" xr3:uid="{A8E59370-E966-4965-9406-E94AF0024FCC}" name="Spalte1068"/>
    <tableColumn id="1086" xr3:uid="{5AD11533-E823-436A-ADD1-B530588F7746}" name="Spalte1069"/>
    <tableColumn id="1087" xr3:uid="{8ECD201F-CF8F-44A0-A4E9-BAB139595FFC}" name="Spalte1070"/>
    <tableColumn id="1088" xr3:uid="{386417F9-364A-456E-BF8A-4BDE2582A135}" name="Spalte1071"/>
    <tableColumn id="1089" xr3:uid="{0F55D4C4-5C84-4877-AE12-F3FA85585A12}" name="Spalte1072"/>
    <tableColumn id="1090" xr3:uid="{3AB02222-C9ED-410C-88C5-01625325E44B}" name="Spalte1073"/>
    <tableColumn id="1091" xr3:uid="{6169E7E3-2453-496C-B41A-FD8E37579EEE}" name="Spalte1074"/>
    <tableColumn id="1092" xr3:uid="{0C0B300E-51DE-41D5-A35D-78B1BF22798C}" name="Spalte1075"/>
    <tableColumn id="1093" xr3:uid="{046B8262-6BBA-4FE4-93C9-505D77565F72}" name="Spalte1076"/>
    <tableColumn id="1094" xr3:uid="{42171FEF-5EF0-4606-8BEB-2B84984F59E0}" name="Spalte1077"/>
    <tableColumn id="1095" xr3:uid="{5D9B9C27-04C2-488E-B7EB-549A79F05DA8}" name="Spalte1078"/>
    <tableColumn id="1096" xr3:uid="{5AE66B5A-DB4D-4AC7-AFC2-C149A61BAD41}" name="Spalte1079"/>
    <tableColumn id="1097" xr3:uid="{D46F1D38-0CD4-49EB-B3D4-1A2115FEECA2}" name="Spalte1080"/>
    <tableColumn id="1098" xr3:uid="{3564AC58-355D-44B2-AD09-3B60A5F81B43}" name="Spalte1081"/>
    <tableColumn id="1099" xr3:uid="{BA40C565-AB14-458A-9AC6-AAFD55CB1458}" name="Spalte1082"/>
    <tableColumn id="1100" xr3:uid="{6B73D380-FDB8-43AE-A03D-01BE9C163C13}" name="Spalte1083"/>
    <tableColumn id="1101" xr3:uid="{426145BD-8B84-47F6-A7E9-E373CDC3DE33}" name="Spalte1084"/>
    <tableColumn id="1102" xr3:uid="{860113B9-337D-428F-80E7-C7E1CCA07A87}" name="Spalte1085"/>
    <tableColumn id="1103" xr3:uid="{658C1C89-01BE-4C67-BA01-79C83E8786D4}" name="Spalte1086"/>
    <tableColumn id="1104" xr3:uid="{404F3582-68C9-4F8C-BF8E-6FC220576CB8}" name="Spalte1087"/>
    <tableColumn id="1105" xr3:uid="{5F660E62-A12F-4480-82E1-92938A645E0D}" name="Spalte1088"/>
    <tableColumn id="1106" xr3:uid="{76D92295-319C-4FA7-AC14-2743743159AA}" name="Spalte1089"/>
    <tableColumn id="1107" xr3:uid="{8A4BAD45-910E-407F-8E59-1822793A091D}" name="Spalte1090"/>
    <tableColumn id="1108" xr3:uid="{48CF3EE6-BC56-434A-877C-327A4951F434}" name="Spalte1091"/>
    <tableColumn id="1109" xr3:uid="{DB68AAB1-531B-4B02-8F21-B90AAB547A98}" name="Spalte1092"/>
    <tableColumn id="1110" xr3:uid="{F4F0948B-8E0C-45D3-9FBF-F2FA8AE2AA62}" name="Spalte1093"/>
    <tableColumn id="1111" xr3:uid="{2AE726A6-C078-4B15-A150-28452A8332BF}" name="Spalte1094"/>
    <tableColumn id="1112" xr3:uid="{B999DD6D-42B2-40DC-ACAB-0B10D9E5F143}" name="Spalte1095"/>
    <tableColumn id="1113" xr3:uid="{6D0E9040-1110-4762-93DD-712BFF84C7DC}" name="Spalte1096"/>
    <tableColumn id="1114" xr3:uid="{B7DAC163-BB0F-436C-BAD9-0F7099E6486C}" name="Spalte1097"/>
    <tableColumn id="1115" xr3:uid="{524E63A2-961A-465A-A5E5-0B6E7805E777}" name="Spalte1098"/>
    <tableColumn id="1116" xr3:uid="{9FAFFA04-C60B-419A-86AB-B914D6C7F101}" name="Spalte1099"/>
    <tableColumn id="1117" xr3:uid="{899BD9BF-E2ED-4208-AF6D-90F24A4A339D}" name="Spalte1100"/>
    <tableColumn id="1118" xr3:uid="{D5BF98FB-A724-442B-9D9B-B5519E13B80D}" name="Spalte1101"/>
    <tableColumn id="1119" xr3:uid="{379319F2-BDEB-4AB9-8C7A-151E2ABF510D}" name="Spalte1102"/>
    <tableColumn id="1120" xr3:uid="{3B1EB133-F9EA-4F06-9492-B7F7D1BF21D7}" name="Spalte1103"/>
    <tableColumn id="1121" xr3:uid="{5229AB32-9069-44B0-9011-9DA70240F4D2}" name="Spalte1104"/>
    <tableColumn id="1122" xr3:uid="{0C69D096-C47B-4745-B28C-94691474569F}" name="Spalte1105"/>
    <tableColumn id="1123" xr3:uid="{BC4CF0E0-D3FD-433E-BF5B-31F75C66ACEC}" name="Spalte1106"/>
    <tableColumn id="1124" xr3:uid="{BEE2058E-B591-40BC-A688-4FD1CD91C695}" name="Spalte1107"/>
    <tableColumn id="1125" xr3:uid="{8645B057-3C91-4A91-8060-B0B0FDCD68F6}" name="Spalte1108"/>
    <tableColumn id="1126" xr3:uid="{596F9FAA-65CA-43E6-824C-27D4A48C576D}" name="Spalte1109"/>
    <tableColumn id="1127" xr3:uid="{84E7393A-FC63-4316-9B49-EDE9CC656D01}" name="Spalte1110"/>
    <tableColumn id="1128" xr3:uid="{9771C7A4-8D29-492B-96A5-D218A7D59A38}" name="Spalte1111"/>
    <tableColumn id="1129" xr3:uid="{9C0D75B8-5D11-4F4E-B495-7B1CE6727457}" name="Spalte1112"/>
    <tableColumn id="1130" xr3:uid="{F2EFDCE2-9A0B-46D8-BC7C-F932B6AD8B4E}" name="Spalte1113"/>
    <tableColumn id="1131" xr3:uid="{D40C5ED7-B73E-4CC4-A2C5-797CF6E54124}" name="Spalte1114"/>
    <tableColumn id="1132" xr3:uid="{258B43C4-FF1F-4306-803F-B8E707D4F0C6}" name="Spalte1115"/>
    <tableColumn id="1133" xr3:uid="{AF7C99B3-0035-43AE-8C7D-A67F1FC6EB27}" name="Spalte1116"/>
    <tableColumn id="1134" xr3:uid="{A7007F35-5654-4884-A896-6737622E0424}" name="Spalte1117"/>
    <tableColumn id="1135" xr3:uid="{8DCADB06-DC57-4B16-9B9E-EA9201236B09}" name="Spalte1118"/>
    <tableColumn id="1136" xr3:uid="{E8881EAF-04D7-4A37-89F8-368D172CFF71}" name="Spalte1119"/>
    <tableColumn id="1137" xr3:uid="{F43E81FE-18CB-49C3-B4CC-862BB9AEFD97}" name="Spalte1120"/>
    <tableColumn id="1138" xr3:uid="{46CE39C0-140E-4C4B-A954-66FF866EFF4D}" name="Spalte1121"/>
    <tableColumn id="1139" xr3:uid="{1F7639F6-83AA-4DA2-B1E8-968CE6B3AF37}" name="Spalte1122"/>
    <tableColumn id="1140" xr3:uid="{0499789D-23A6-4AAD-8083-BA0061CF967F}" name="Spalte1123"/>
    <tableColumn id="1141" xr3:uid="{B48202A8-D48C-4A28-80DD-2D5532C03989}" name="Spalte1124"/>
    <tableColumn id="1142" xr3:uid="{93200E0C-316F-4C2E-A9D7-7A4007629B3C}" name="Spalte1125"/>
    <tableColumn id="1143" xr3:uid="{F91B51CC-C008-4C71-9106-F9EFDCD5B3AB}" name="Spalte1126"/>
    <tableColumn id="1144" xr3:uid="{62027E8A-9336-480B-AD1D-0A7DC47F760E}" name="Spalte1127"/>
    <tableColumn id="1145" xr3:uid="{DD3D0740-4C7F-4A28-931B-DBA0F8BFB74D}" name="Spalte1128"/>
    <tableColumn id="1146" xr3:uid="{4BCED5EC-DB8C-4439-B43F-9EE9A6B39BEB}" name="Spalte1129"/>
    <tableColumn id="1147" xr3:uid="{D7275ABA-16ED-49E5-A440-2B28E7583F4D}" name="Spalte1130"/>
    <tableColumn id="1148" xr3:uid="{EA731159-A465-43EA-91B8-08293F4EEBFE}" name="Spalte1131"/>
    <tableColumn id="1149" xr3:uid="{2B27C68F-604B-4375-B66B-6D41D1ECF1C7}" name="Spalte1132"/>
    <tableColumn id="1150" xr3:uid="{A286E253-0608-439E-A9BA-2A2C746A364F}" name="Spalte1133"/>
    <tableColumn id="1151" xr3:uid="{E27C2DFD-9FE4-495C-8FEA-AEAFC8BB6165}" name="Spalte1134"/>
    <tableColumn id="1152" xr3:uid="{DA0AB2B6-2CE5-4B57-9FB3-817D710CA3BA}" name="Spalte1135"/>
    <tableColumn id="1153" xr3:uid="{1770037D-1153-4FDA-8C54-058BDA97683D}" name="Spalte1136"/>
    <tableColumn id="1154" xr3:uid="{5B6215A0-4007-4E69-9721-138D0F552D70}" name="Spalte1137"/>
    <tableColumn id="1155" xr3:uid="{F270624E-2877-4229-88F0-ABC2B3DAA91D}" name="Spalte1138"/>
    <tableColumn id="1156" xr3:uid="{9DC19844-F149-4A35-A669-EF267101CD94}" name="Spalte1139"/>
    <tableColumn id="1157" xr3:uid="{130D0E4F-C591-401E-8FDF-F103DF71185E}" name="Spalte1140"/>
    <tableColumn id="1158" xr3:uid="{8BA04D84-3B6C-4D20-BFE4-1603035711E3}" name="Spalte1141"/>
    <tableColumn id="1159" xr3:uid="{86812A1C-2DC1-4676-AA93-315E5C026A97}" name="Spalte1142"/>
    <tableColumn id="1160" xr3:uid="{D3FA9CA2-916E-4AC9-B834-35917DF24999}" name="Spalte1143"/>
    <tableColumn id="1161" xr3:uid="{5E69A2FA-F849-4668-8770-5CF5725EBD86}" name="Spalte1144"/>
    <tableColumn id="1162" xr3:uid="{1FE8AE5B-B961-4BB9-94C5-44F5BBB7E749}" name="Spalte1145"/>
    <tableColumn id="1163" xr3:uid="{6E56A729-49D6-4C30-9854-15A4E75B8DB1}" name="Spalte1146"/>
    <tableColumn id="1164" xr3:uid="{55331888-FFCF-4B9C-9D2D-723F0D4663ED}" name="Spalte1147"/>
    <tableColumn id="1165" xr3:uid="{085FA3F4-548C-4598-842E-35ECA84DCDB5}" name="Spalte1148"/>
    <tableColumn id="1166" xr3:uid="{768175A1-A3E3-4FC1-827A-BB9159C24297}" name="Spalte1149"/>
    <tableColumn id="1167" xr3:uid="{C1B97F57-883A-490C-ACB5-BE4C1877E258}" name="Spalte1150"/>
    <tableColumn id="1168" xr3:uid="{3EAE7D10-8A10-4E78-A8C7-D1143A46C757}" name="Spalte1151"/>
    <tableColumn id="1169" xr3:uid="{06E9CCD7-856E-4C4C-836E-A6B481F1078E}" name="Spalte1152"/>
    <tableColumn id="1170" xr3:uid="{3DDD4E69-5381-41DD-934D-C8FEB74AD0E1}" name="Spalte1153"/>
    <tableColumn id="1171" xr3:uid="{A28F87CA-EDFF-4F8C-8F36-9DEEAEB5DEB7}" name="Spalte1154"/>
    <tableColumn id="1172" xr3:uid="{1AC33EEA-FA7C-47E9-9CA1-1EA564437406}" name="Spalte1155"/>
    <tableColumn id="1173" xr3:uid="{8C15A6A2-E2B2-453C-AD62-2A2A2482C37A}" name="Spalte1156"/>
    <tableColumn id="1174" xr3:uid="{7DFE3E32-9CBF-40AC-82A6-CBAC251265F8}" name="Spalte1157"/>
    <tableColumn id="1175" xr3:uid="{11B5FF64-9636-4485-8C81-8307F3C51EF0}" name="Spalte1158"/>
    <tableColumn id="1176" xr3:uid="{A21C3221-9CE7-4185-9F6D-AD8128BC0AFA}" name="Spalte1159"/>
    <tableColumn id="1177" xr3:uid="{992389A1-C7AD-4DEA-8614-C5B70C10C6C1}" name="Spalte1160"/>
    <tableColumn id="1178" xr3:uid="{E1A57241-5274-4538-A4B4-9F4CC6445178}" name="Spalte1161"/>
    <tableColumn id="1179" xr3:uid="{93F7DA8D-050C-4D8C-AF88-6EBADBFE89D8}" name="Spalte1162"/>
    <tableColumn id="1180" xr3:uid="{71FA4B33-A5C2-4F44-A1CE-9C0470CAD257}" name="Spalte1163"/>
    <tableColumn id="1181" xr3:uid="{6A364205-6F12-4830-B11E-06C9441619F6}" name="Spalte1164"/>
    <tableColumn id="1182" xr3:uid="{7466C6C1-7536-4A29-8061-216DA90CFAD6}" name="Spalte1165"/>
    <tableColumn id="1183" xr3:uid="{C2717B05-9EEE-409D-8471-583F201826DE}" name="Spalte1166"/>
    <tableColumn id="1184" xr3:uid="{D76C6B6F-9F8B-4F1E-BC6C-BFB5BC41A570}" name="Spalte1167"/>
    <tableColumn id="1185" xr3:uid="{9A4DF2E9-A19F-43F4-B873-BC5A6C12E57F}" name="Spalte1168"/>
    <tableColumn id="1186" xr3:uid="{03D5E43B-F1D9-4638-AE53-C59C93605FE2}" name="Spalte1169"/>
    <tableColumn id="1187" xr3:uid="{24202CD0-4E4F-40F4-94B2-2D05E428C27D}" name="Spalte1170"/>
    <tableColumn id="1188" xr3:uid="{EFE8FD18-7390-4753-BE57-11CC5032049A}" name="Spalte1171"/>
    <tableColumn id="1189" xr3:uid="{D2C42599-A05A-4927-AEBD-6E89F23CFA61}" name="Spalte1172"/>
    <tableColumn id="1190" xr3:uid="{F0D52661-1DA4-4504-AF2F-F53AD3F2931D}" name="Spalte1173"/>
    <tableColumn id="1191" xr3:uid="{E07D1CA5-EA12-46F6-938E-074A2CE0FB2E}" name="Spalte1174"/>
    <tableColumn id="1192" xr3:uid="{769EC3FC-7F90-4422-964F-9A908AC60864}" name="Spalte1175"/>
    <tableColumn id="1193" xr3:uid="{6E8CAE90-2BE0-45C5-B8D0-639DE1A112F1}" name="Spalte1176"/>
    <tableColumn id="1194" xr3:uid="{C787CFCD-5968-4A1D-A7DF-165F1167AEEA}" name="Spalte1177"/>
    <tableColumn id="1195" xr3:uid="{ED3D1301-7440-4699-B63A-71F217762DC9}" name="Spalte1178"/>
    <tableColumn id="1196" xr3:uid="{8D894DAA-DBA3-48E9-9A18-43F3B657401D}" name="Spalte1179"/>
    <tableColumn id="1197" xr3:uid="{026414AB-950B-462E-8DB7-7CB0AD3ED6B8}" name="Spalte1180"/>
    <tableColumn id="1198" xr3:uid="{6F0657C8-70F6-4145-9FCE-ACAA3E94070A}" name="Spalte1181"/>
    <tableColumn id="1199" xr3:uid="{C43FDED2-0C02-4492-A4A6-087E341F8341}" name="Spalte1182"/>
    <tableColumn id="1200" xr3:uid="{528AA6CD-79CE-4280-9F3D-0BDCBED36BA6}" name="Spalte1183"/>
    <tableColumn id="1201" xr3:uid="{C7288FA0-7966-46A2-9E12-558F861D5720}" name="Spalte1184"/>
    <tableColumn id="1202" xr3:uid="{D1CBFBE8-A7A4-40A3-AD9F-7B9DB102D602}" name="Spalte1185"/>
    <tableColumn id="1203" xr3:uid="{95423995-EA3C-4FAD-B53D-76D282629717}" name="Spalte1186"/>
    <tableColumn id="1204" xr3:uid="{F37AAE9F-9A30-4E2C-B2BE-7F0CA58B468A}" name="Spalte1187"/>
    <tableColumn id="1205" xr3:uid="{9A32DBD1-3E7D-4EAF-A8D9-216D75C87C1E}" name="Spalte1188"/>
    <tableColumn id="1206" xr3:uid="{7389ADFC-676D-4207-8D07-433084038430}" name="Spalte1189"/>
    <tableColumn id="1207" xr3:uid="{A3E9E99D-6224-4ABF-99EF-628AC454BAB6}" name="Spalte1190"/>
    <tableColumn id="1208" xr3:uid="{05992982-4AE9-45C9-94E3-F53A58C0E6AF}" name="Spalte1191"/>
    <tableColumn id="1209" xr3:uid="{32754EE9-33E5-4161-B705-CE123405B964}" name="Spalte1192"/>
    <tableColumn id="1210" xr3:uid="{1132BF9B-4249-4774-AFC6-9E20FC17A2F8}" name="Spalte1193"/>
    <tableColumn id="1211" xr3:uid="{68131570-6E42-48DB-BB17-3417B6FCA421}" name="Spalte1194"/>
    <tableColumn id="1212" xr3:uid="{3E2FBA60-1229-440C-B8E1-20DDA746C1D3}" name="Spalte1195"/>
    <tableColumn id="1213" xr3:uid="{48EBF662-E8EC-490C-8BEA-C8EDB1A06E1A}" name="Spalte1196"/>
    <tableColumn id="1214" xr3:uid="{9AA167D2-4770-4021-B5B2-386310F6925A}" name="Spalte1197"/>
    <tableColumn id="1215" xr3:uid="{D1B2A405-9E43-4410-8600-04BE7617F65B}" name="Spalte1198"/>
    <tableColumn id="1216" xr3:uid="{9D39F00C-7020-4A77-A7F1-90B9354FA35B}" name="Spalte1199"/>
    <tableColumn id="1217" xr3:uid="{3B903117-411A-4BDA-8214-25270F69FA14}" name="Spalte1200"/>
    <tableColumn id="1218" xr3:uid="{DB6320BF-3588-42F4-ADC8-B73CC8BD5F17}" name="Spalte1201"/>
    <tableColumn id="1219" xr3:uid="{F48E34FD-E595-4693-A88E-0E23763347C9}" name="Spalte1202"/>
    <tableColumn id="1220" xr3:uid="{8EF0D175-57ED-43F7-BFEC-598BF314E03C}" name="Spalte1203"/>
    <tableColumn id="1221" xr3:uid="{F016AFA0-3DCB-423A-A7A7-2ECC34B78226}" name="Spalte1204"/>
    <tableColumn id="1222" xr3:uid="{BB4BC42D-C394-4970-9EA0-1F4012F37501}" name="Spalte1205"/>
    <tableColumn id="1223" xr3:uid="{DAF68646-D1E5-46C1-9DE5-13C04BFD7DFE}" name="Spalte1206"/>
    <tableColumn id="1224" xr3:uid="{8CF232C4-605A-4859-A63E-28B74BC3A550}" name="Spalte1207"/>
    <tableColumn id="1225" xr3:uid="{F7A4718A-55EE-4440-8B4A-7CBE00778C28}" name="Spalte1208"/>
    <tableColumn id="1226" xr3:uid="{C712B2B9-7063-403B-88DF-F04A0C787EF7}" name="Spalte1209"/>
    <tableColumn id="1227" xr3:uid="{00967FEB-04C5-4B09-9928-FFC00831EECC}" name="Spalte1210"/>
    <tableColumn id="1228" xr3:uid="{897D00D4-66FC-4F31-AF03-6D42A60E5670}" name="Spalte1211"/>
    <tableColumn id="1229" xr3:uid="{395538F3-ABA3-47BB-8611-F7DC7B1C3431}" name="Spalte1212"/>
    <tableColumn id="1230" xr3:uid="{7EDB56DA-668C-472D-BBCF-CCC65BBD6EBC}" name="Spalte1213"/>
    <tableColumn id="1231" xr3:uid="{6F2A222F-5FC4-4733-9258-A2DE2372B0DE}" name="Spalte1214"/>
    <tableColumn id="1232" xr3:uid="{39904729-46A6-4B5F-83FE-6751DAAF6677}" name="Spalte1215"/>
    <tableColumn id="1233" xr3:uid="{4BD9A18F-2E3E-48BD-91AD-43FFF85857A3}" name="Spalte1216"/>
    <tableColumn id="1234" xr3:uid="{35AFE436-B23C-4A92-999B-1C38A63A780A}" name="Spalte1217"/>
    <tableColumn id="1235" xr3:uid="{93AF5EFA-89A5-4D73-B7CE-6C09014DB40E}" name="Spalte1218"/>
    <tableColumn id="1236" xr3:uid="{2D314F3D-CEB6-4D61-A3EC-1F8FE7B4731C}" name="Spalte1219"/>
    <tableColumn id="1237" xr3:uid="{DE37C385-234A-489D-8D4F-DC7C5FC8C4D5}" name="Spalte1220"/>
    <tableColumn id="1238" xr3:uid="{30516813-DC31-4203-B508-6C69B4A61FA7}" name="Spalte1221"/>
    <tableColumn id="1239" xr3:uid="{E9B3115C-0C71-4A4E-B827-77B535605D0C}" name="Spalte1222"/>
    <tableColumn id="1240" xr3:uid="{D7BAE084-BB38-403C-9556-1DDB967F3251}" name="Spalte1223"/>
    <tableColumn id="1241" xr3:uid="{C1564B03-647E-4400-A426-9F683D181716}" name="Spalte1224"/>
    <tableColumn id="1242" xr3:uid="{C193D32F-1AB6-4AA6-AC55-24063D1D9805}" name="Spalte1225"/>
    <tableColumn id="1243" xr3:uid="{92E8B99D-F78A-42FB-B403-CD095BFF1652}" name="Spalte1226"/>
    <tableColumn id="1244" xr3:uid="{895E46B9-7D77-4A6E-BB4F-804459C8EFBD}" name="Spalte1227"/>
    <tableColumn id="1245" xr3:uid="{CE7118D0-6FDA-4742-A401-52B1BBEC5D41}" name="Spalte1228"/>
    <tableColumn id="1246" xr3:uid="{6C502D62-36D5-4084-9CA6-31BF4BA24B43}" name="Spalte1229"/>
    <tableColumn id="1247" xr3:uid="{9A3C29BB-F7B6-42FD-B9EF-018351AA65D6}" name="Spalte1230"/>
    <tableColumn id="1248" xr3:uid="{22FCA408-82AD-4BFA-B25E-F8F5A33C282B}" name="Spalte1231"/>
    <tableColumn id="1249" xr3:uid="{22071044-80AC-4E56-AA76-E5204A8C55B3}" name="Spalte1232"/>
    <tableColumn id="1250" xr3:uid="{4E809F28-B2C6-4B19-A398-A3161DA9B046}" name="Spalte1233"/>
    <tableColumn id="1251" xr3:uid="{F3715545-8110-41CA-83CA-050C9376154F}" name="Spalte1234"/>
    <tableColumn id="1252" xr3:uid="{9F40563E-49FA-4250-B7DF-79DBD327D374}" name="Spalte1235"/>
    <tableColumn id="1253" xr3:uid="{CC7E4D98-08F5-4584-A06C-9AE58C6D5B29}" name="Spalte1236"/>
    <tableColumn id="1254" xr3:uid="{BF3485B0-8D6D-445E-837C-2813A5F99E7B}" name="Spalte1237"/>
    <tableColumn id="1255" xr3:uid="{EB686870-58CD-41B2-993F-98FAA26403A9}" name="Spalte1238"/>
    <tableColumn id="1256" xr3:uid="{682F7F0D-9876-4BD8-BB92-D870182D286E}" name="Spalte1239"/>
    <tableColumn id="1257" xr3:uid="{69F7B00D-130A-436F-9024-3BAE5050FC66}" name="Spalte1240"/>
    <tableColumn id="1258" xr3:uid="{48F4E048-DBBD-4623-8AD8-C1ABC2BD7115}" name="Spalte1241"/>
    <tableColumn id="1259" xr3:uid="{BCFF1353-E110-4080-8B91-E43093A7A4E3}" name="Spalte1242"/>
    <tableColumn id="1260" xr3:uid="{278BA132-0F5D-4A46-84D8-18D9F6F93F0D}" name="Spalte1243"/>
    <tableColumn id="1261" xr3:uid="{8435456E-E7CD-4423-8514-6C8986DF231F}" name="Spalte1244"/>
    <tableColumn id="1262" xr3:uid="{5635C447-5E76-42F9-8810-B45EA7D08058}" name="Spalte1245"/>
    <tableColumn id="1263" xr3:uid="{E6391F34-A668-4A7F-BF64-EDA8A531A559}" name="Spalte1246"/>
    <tableColumn id="1264" xr3:uid="{1AC4BEEA-443C-4177-B79A-1CDADF905707}" name="Spalte1247"/>
    <tableColumn id="1265" xr3:uid="{E6B50853-4A4F-463B-B747-3241277C8EDC}" name="Spalte1248"/>
    <tableColumn id="1266" xr3:uid="{23884F12-506B-4950-8431-E8A995949671}" name="Spalte1249"/>
    <tableColumn id="1267" xr3:uid="{A52D5AF8-9ECE-4667-817E-B4FC1BABEA6A}" name="Spalte1250"/>
    <tableColumn id="1268" xr3:uid="{A428A8FB-F8A6-4ACC-8D19-D4AAD0D27B7D}" name="Spalte1251"/>
    <tableColumn id="1269" xr3:uid="{773D1F90-DA52-41DC-9BBB-408C1DCD4EFD}" name="Spalte1252"/>
    <tableColumn id="1270" xr3:uid="{6818DD8B-AFB8-4A7A-A5DD-27EEE4A2E0B2}" name="Spalte1253"/>
    <tableColumn id="1271" xr3:uid="{CACD5FE7-4B59-426B-8266-DF4872B6D14F}" name="Spalte1254"/>
    <tableColumn id="1272" xr3:uid="{5F7F0DB0-02F0-41CB-90AA-82167754BE2D}" name="Spalte1255"/>
    <tableColumn id="1273" xr3:uid="{4E4350CA-0ADF-4F9E-9152-1D5B417CCB28}" name="Spalte1256"/>
    <tableColumn id="1274" xr3:uid="{6406FC81-8C92-459A-844D-91496560522A}" name="Spalte1257"/>
    <tableColumn id="1275" xr3:uid="{354428CA-47F6-4E17-8EAB-B3AF80AD1E15}" name="Spalte1258"/>
    <tableColumn id="1276" xr3:uid="{28B64836-0344-425E-A764-D6126BE4072C}" name="Spalte1259"/>
    <tableColumn id="1277" xr3:uid="{0C02DE10-8CDA-4FCF-80C1-8E2971AE341B}" name="Spalte1260"/>
    <tableColumn id="1278" xr3:uid="{5D89CC68-2153-4320-A3C9-E9CE33D0DBD0}" name="Spalte1261"/>
    <tableColumn id="1279" xr3:uid="{AD30CEFA-6D56-41CD-AAB9-BE4229E0E3F6}" name="Spalte1262"/>
    <tableColumn id="1280" xr3:uid="{D40A6BEA-ADE4-4415-BD25-D91510A4D7EC}" name="Spalte1263"/>
    <tableColumn id="1281" xr3:uid="{CA66A4D1-7B3E-4D17-8090-C70EACE32EE1}" name="Spalte1264"/>
    <tableColumn id="1282" xr3:uid="{069656F3-E3F2-4F78-9C9C-BFAFF921FD2D}" name="Spalte1265"/>
    <tableColumn id="1283" xr3:uid="{40A394C5-2A90-472F-9082-ACAE9F27CA10}" name="Spalte1266"/>
    <tableColumn id="1284" xr3:uid="{D6CF91FF-B53F-4B38-AC4F-6FCC81D1BF89}" name="Spalte1267"/>
    <tableColumn id="1285" xr3:uid="{66623607-74B6-4DC4-975A-B6421F92913E}" name="Spalte1268"/>
    <tableColumn id="1286" xr3:uid="{D08A9419-6FE4-439E-BB38-A377CF97EADE}" name="Spalte1269"/>
    <tableColumn id="1287" xr3:uid="{D8DC7DBC-97BB-48AB-AA88-D614DEE0C890}" name="Spalte1270"/>
    <tableColumn id="1288" xr3:uid="{84A9B43C-236F-4224-91DA-B5974153E3A8}" name="Spalte1271"/>
    <tableColumn id="1289" xr3:uid="{995E3982-4033-401E-97EF-6755099C00F1}" name="Spalte1272"/>
    <tableColumn id="1290" xr3:uid="{831EB4C1-4D44-42B3-8ECE-08A3E6D6E4D4}" name="Spalte1273"/>
    <tableColumn id="1291" xr3:uid="{8D9C514A-B425-4305-AE42-5D1E62359595}" name="Spalte1274"/>
    <tableColumn id="1292" xr3:uid="{36DDFF78-1EAA-4A9B-8B94-C44C821C94B0}" name="Spalte1275"/>
    <tableColumn id="1293" xr3:uid="{0499242E-42FF-40FE-B35C-58AFED9013AB}" name="Spalte1276"/>
    <tableColumn id="1294" xr3:uid="{69C34CF2-7400-4245-89FB-7A736A71CF0A}" name="Spalte1277"/>
    <tableColumn id="1295" xr3:uid="{4F234378-5CB8-4377-A55D-4822F9692B1E}" name="Spalte1278"/>
    <tableColumn id="1296" xr3:uid="{30A4282F-A4B6-4535-A764-135B308CD804}" name="Spalte1279"/>
    <tableColumn id="1297" xr3:uid="{37F8B5EB-8368-4C92-9D85-BCD70E3497CC}" name="Spalte1280"/>
    <tableColumn id="1298" xr3:uid="{C9825B45-03C5-4E09-A9C2-80DB672AA7DF}" name="Spalte1281"/>
    <tableColumn id="1299" xr3:uid="{8159C691-7A39-46A6-97C5-3DAEA78E707C}" name="Spalte1282"/>
    <tableColumn id="1300" xr3:uid="{8263B0FF-0070-4289-A053-9D7EBBE2B888}" name="Spalte1283"/>
    <tableColumn id="1301" xr3:uid="{8A4C5E95-92A4-4070-82F9-1F04FCA6D9AC}" name="Spalte1284"/>
    <tableColumn id="1302" xr3:uid="{023F1D16-DD8D-4CF5-ACCE-633AC8685A63}" name="Spalte1285"/>
    <tableColumn id="1303" xr3:uid="{E794E315-183C-445E-94E5-813CC4D340AE}" name="Spalte1286"/>
    <tableColumn id="1304" xr3:uid="{24D83A6D-5001-4EF3-A86A-CCEB2F91E7FA}" name="Spalte1287"/>
    <tableColumn id="1305" xr3:uid="{A9B99E55-6E64-48C0-A811-5AF14A0A09E8}" name="Spalte1288"/>
    <tableColumn id="1306" xr3:uid="{2BAEB1A9-2B3B-4C29-9E9A-0BBBF3D806BC}" name="Spalte1289"/>
    <tableColumn id="1307" xr3:uid="{0E13B29E-AC92-4F1A-A7A7-C18908A9BC02}" name="Spalte1290"/>
    <tableColumn id="1308" xr3:uid="{A57E8BA6-6932-4BEC-9029-E5DFA2FDEF60}" name="Spalte1291"/>
    <tableColumn id="1309" xr3:uid="{D09C75F2-888E-4C70-B832-5788C8C92F57}" name="Spalte1292"/>
    <tableColumn id="1310" xr3:uid="{C1523365-87A3-4140-AF07-C77A996F1D3F}" name="Spalte1293"/>
    <tableColumn id="1311" xr3:uid="{BC5F98C4-7FCB-40E7-8D70-D7F254BD4B0F}" name="Spalte1294"/>
    <tableColumn id="1312" xr3:uid="{BB299428-450C-4B84-9788-E20C166A0A4F}" name="Spalte1295"/>
    <tableColumn id="1313" xr3:uid="{301AD344-C8CA-4E72-AEDA-960516C9FCF0}" name="Spalte1296"/>
    <tableColumn id="1314" xr3:uid="{77D07E2E-4B69-4D74-8778-C0991972E6DA}" name="Spalte1297"/>
    <tableColumn id="1315" xr3:uid="{8641FB48-4840-4F66-8DAA-A9CD1FEB18F1}" name="Spalte1298"/>
    <tableColumn id="1316" xr3:uid="{180B6712-C186-42FF-9D51-D1FB77DDBB5A}" name="Spalte1299"/>
    <tableColumn id="1317" xr3:uid="{4248F040-E485-45AC-B375-6D367D651638}" name="Spalte1300"/>
    <tableColumn id="1318" xr3:uid="{1E76E19C-7B66-4D1B-80FC-7C4BB4630524}" name="Spalte1301"/>
    <tableColumn id="1319" xr3:uid="{D4C7DE62-CFC5-4928-990E-A466EDD640F0}" name="Spalte1302"/>
    <tableColumn id="1320" xr3:uid="{C74C7BBA-EB6A-4583-908F-EC8325A9F96C}" name="Spalte1303"/>
    <tableColumn id="1321" xr3:uid="{73EE4A7D-7953-4BE8-A9C1-0516D03CC33C}" name="Spalte1304"/>
    <tableColumn id="1322" xr3:uid="{CE068E24-DD12-457D-BBE0-53F250710C28}" name="Spalte1305"/>
    <tableColumn id="1323" xr3:uid="{B977AA0A-3EFF-4094-9017-9245116A90B0}" name="Spalte1306"/>
    <tableColumn id="1324" xr3:uid="{EB885DD7-C5ED-4C22-9DE0-8C9014C92CCF}" name="Spalte1307"/>
    <tableColumn id="1325" xr3:uid="{363F369D-156D-4001-B110-27EE8861B975}" name="Spalte1308"/>
    <tableColumn id="1326" xr3:uid="{43D20B71-ED96-4087-8B27-EBBA362E09C6}" name="Spalte1309"/>
    <tableColumn id="1327" xr3:uid="{673897CD-4C9B-41AD-8E24-CCAAC0332BEA}" name="Spalte1310"/>
    <tableColumn id="1328" xr3:uid="{DBB7AF7A-2CCB-471A-872B-83659B0F1AD5}" name="Spalte1311"/>
    <tableColumn id="1329" xr3:uid="{DCDCE0C8-3457-466D-901E-76065BF4B066}" name="Spalte1312"/>
    <tableColumn id="1330" xr3:uid="{C070A508-AA4A-4A7D-9B10-FF0089D93FA3}" name="Spalte1313"/>
    <tableColumn id="1331" xr3:uid="{777330F1-A65E-44F9-A569-C7BF7D86AF6E}" name="Spalte1314"/>
    <tableColumn id="1332" xr3:uid="{D0B01D75-39D0-4B35-9437-16790A596293}" name="Spalte1315"/>
    <tableColumn id="1333" xr3:uid="{5A5D42A7-5FCC-4FAD-B18B-BB1373FF4D28}" name="Spalte1316"/>
    <tableColumn id="1334" xr3:uid="{C43B5578-A975-4505-91B5-E30ADA128D0D}" name="Spalte1317"/>
    <tableColumn id="1335" xr3:uid="{0D2199B0-8D94-4BBB-8501-0E3243776359}" name="Spalte1318"/>
    <tableColumn id="1336" xr3:uid="{6DF1E9E4-6613-4CC5-9C1E-C86E11BD1A45}" name="Spalte1319"/>
    <tableColumn id="1337" xr3:uid="{9F2D2BAE-CCCC-41A0-A482-6BB344C44597}" name="Spalte1320"/>
    <tableColumn id="1338" xr3:uid="{ADCB4835-E511-4804-9C1A-434C2F8BB300}" name="Spalte1321"/>
    <tableColumn id="1339" xr3:uid="{DBD67793-80A1-4896-8D5B-E07E0E63E10B}" name="Spalte1322"/>
    <tableColumn id="1340" xr3:uid="{84B43737-345C-4942-BFA3-55E9FE27D8B2}" name="Spalte1323"/>
    <tableColumn id="1341" xr3:uid="{12643129-1FB8-4404-AAB1-56984F49E0BE}" name="Spalte1324"/>
    <tableColumn id="1342" xr3:uid="{1E5E1D62-3010-4366-8917-7EE837EC3922}" name="Spalte1325"/>
    <tableColumn id="1343" xr3:uid="{D4C32E07-E0A3-46A9-9645-282FA82CE70B}" name="Spalte1326"/>
    <tableColumn id="1344" xr3:uid="{4C5238A0-C4C5-4F74-AA41-0AE77758B39A}" name="Spalte1327"/>
    <tableColumn id="1345" xr3:uid="{36E90166-C9F0-4ED2-B32F-CE9C15CCC479}" name="Spalte1328"/>
    <tableColumn id="1346" xr3:uid="{6D4D5793-6EFE-4F73-A089-B8D714B1E336}" name="Spalte1329"/>
    <tableColumn id="1347" xr3:uid="{48102A93-CB56-4EA3-85FE-24A52883B24E}" name="Spalte1330"/>
    <tableColumn id="1348" xr3:uid="{A527D3C9-F950-4474-8DC3-C7F0AA3AA7AA}" name="Spalte1331"/>
    <tableColumn id="1349" xr3:uid="{0FBEF56D-38E4-4047-882F-1FE6ACCCBDA8}" name="Spalte1332"/>
    <tableColumn id="1350" xr3:uid="{1EEAE424-21D0-40B1-86F8-E85CB902FE8F}" name="Spalte1333"/>
    <tableColumn id="1351" xr3:uid="{D40A7571-0673-4170-A638-A879CD27CD0E}" name="Spalte1334"/>
    <tableColumn id="1352" xr3:uid="{6157844C-93A6-47B6-BA96-5756D0D094C7}" name="Spalte1335"/>
    <tableColumn id="1353" xr3:uid="{FC94A467-FC86-410C-9CFA-A044776EC7A1}" name="Spalte1336"/>
    <tableColumn id="1354" xr3:uid="{01232393-029F-4D76-9BDA-72953ACC0847}" name="Spalte1337"/>
    <tableColumn id="1355" xr3:uid="{D6F4002A-8D8F-4DEC-ACDE-E5A004136E22}" name="Spalte1338"/>
    <tableColumn id="1356" xr3:uid="{D3F13933-F31D-48B4-ADC4-69C51DB20E72}" name="Spalte1339"/>
    <tableColumn id="1357" xr3:uid="{6F1664BB-146B-4F1C-8E9A-BC300D0D5395}" name="Spalte1340"/>
    <tableColumn id="1358" xr3:uid="{40647990-D936-44F8-89D8-34E954754E8A}" name="Spalte1341"/>
    <tableColumn id="1359" xr3:uid="{E74A176C-8B21-4E85-B010-080B3BA3C925}" name="Spalte1342"/>
    <tableColumn id="1360" xr3:uid="{CF5E6E74-DDF9-44E7-A4B0-FB29BB9EA213}" name="Spalte1343"/>
    <tableColumn id="1361" xr3:uid="{F1EBAD31-CF75-427F-AE77-6AD254A4CB9D}" name="Spalte1344"/>
    <tableColumn id="1362" xr3:uid="{5D81DF86-4B37-4EC0-A876-791C461731E5}" name="Spalte1345"/>
    <tableColumn id="1363" xr3:uid="{7B44C7DD-5C5D-4E9E-8830-0E40AD643A28}" name="Spalte1346"/>
    <tableColumn id="1364" xr3:uid="{05E203F7-F981-423D-9409-EB06A998BBCD}" name="Spalte1347"/>
    <tableColumn id="1365" xr3:uid="{5DE7EBAE-0211-4C4E-AA81-1D85E01BE968}" name="Spalte1348"/>
    <tableColumn id="1366" xr3:uid="{72FE13EA-EE9E-4C26-B9A7-0194061E7BC5}" name="Spalte1349"/>
    <tableColumn id="1367" xr3:uid="{7AD84575-1A2B-4955-BFBA-091DA7C1BF50}" name="Spalte1350"/>
    <tableColumn id="1368" xr3:uid="{116D4121-E878-4C29-A7CC-5C3CA1876094}" name="Spalte1351"/>
    <tableColumn id="1369" xr3:uid="{48EBEAD8-EBB7-4C07-9064-22E2A0AD30B8}" name="Spalte1352"/>
    <tableColumn id="1370" xr3:uid="{62E00C0C-1B9D-48BC-9B8A-5EBA2CD187CF}" name="Spalte1353"/>
    <tableColumn id="1371" xr3:uid="{23E3B5B1-1E25-4516-808C-8AF71E1F838A}" name="Spalte1354"/>
    <tableColumn id="1372" xr3:uid="{CFBC8128-9BBE-4EEB-963C-D7F35306EAE5}" name="Spalte1355"/>
    <tableColumn id="1373" xr3:uid="{F7834AEE-DD92-4E24-9BAD-C2980E8582C4}" name="Spalte1356"/>
    <tableColumn id="1374" xr3:uid="{D961CFB7-9731-4422-80FF-0588FB39B3A8}" name="Spalte1357"/>
    <tableColumn id="1375" xr3:uid="{69A8106C-9C37-4FFE-BD6B-9DDF8E6CAAF9}" name="Spalte1358"/>
    <tableColumn id="1376" xr3:uid="{643E007F-F1DA-42D6-AF05-583A09391CC3}" name="Spalte1359"/>
    <tableColumn id="1377" xr3:uid="{654108CC-62BD-44A4-B2E7-2A85655C03AF}" name="Spalte1360"/>
    <tableColumn id="1378" xr3:uid="{67DE2B65-B4F9-47CA-BEE1-FAEDA8E9F2AC}" name="Spalte1361"/>
    <tableColumn id="1379" xr3:uid="{00B287A4-4535-4D79-8F2F-D204564470E1}" name="Spalte1362"/>
    <tableColumn id="1380" xr3:uid="{DB282FCE-B027-4160-8E73-749E895788B1}" name="Spalte1363"/>
    <tableColumn id="1381" xr3:uid="{ADFE77DD-9CB6-4569-A6BD-5BD975222651}" name="Spalte1364"/>
    <tableColumn id="1382" xr3:uid="{68E425FF-25A5-46F7-B308-1E571DE3D61C}" name="Spalte1365"/>
    <tableColumn id="1383" xr3:uid="{6BC8BCBD-CA21-49A2-AA25-DEC4763BECCD}" name="Spalte1366"/>
    <tableColumn id="1384" xr3:uid="{FA3259D0-E892-4E95-84FD-986BE4404082}" name="Spalte1367"/>
    <tableColumn id="1385" xr3:uid="{6855415B-E135-4766-BF6D-D6BD3C784A18}" name="Spalte1368"/>
    <tableColumn id="1386" xr3:uid="{E24CAAF6-8868-4B7A-B80B-95137C68BB03}" name="Spalte1369"/>
    <tableColumn id="1387" xr3:uid="{C936D648-A61A-4DAD-BCED-E2EE5333BFBF}" name="Spalte1370"/>
    <tableColumn id="1388" xr3:uid="{AEC0C47F-767B-48A3-811A-3CF885722DBA}" name="Spalte1371"/>
    <tableColumn id="1389" xr3:uid="{927A571F-961D-41EC-87D8-6A494511ACCF}" name="Spalte1372"/>
    <tableColumn id="1390" xr3:uid="{5842E1D6-AA61-43E8-ABDF-66BE36F9FFE4}" name="Spalte1373"/>
    <tableColumn id="1391" xr3:uid="{356C4EEE-0A51-49E3-A8FB-5B134853B944}" name="Spalte1374"/>
    <tableColumn id="1392" xr3:uid="{F8F1A523-1590-43F2-8CC2-B0A48F1FF5F6}" name="Spalte1375"/>
    <tableColumn id="1393" xr3:uid="{25A65C8C-4C59-4762-94D6-917006412356}" name="Spalte1376"/>
    <tableColumn id="1394" xr3:uid="{51709B63-78D0-4B02-AC4F-94C12BAC2671}" name="Spalte1377"/>
    <tableColumn id="1395" xr3:uid="{7B5A4162-CDC5-4C1B-AFB4-36A307080289}" name="Spalte1378"/>
    <tableColumn id="1396" xr3:uid="{EFACCB20-84A1-4D7F-8723-1CCC0A4FE60D}" name="Spalte1379"/>
    <tableColumn id="1397" xr3:uid="{1FD0BB7A-792D-4F2D-8ECA-5D9B04A9BAC6}" name="Spalte1380"/>
    <tableColumn id="1398" xr3:uid="{42CC9982-521D-4806-85E6-8BA19A11CAF1}" name="Spalte1381"/>
    <tableColumn id="1399" xr3:uid="{21FCFDE8-992A-432A-A0F0-D8BD1FB8BBCD}" name="Spalte1382"/>
    <tableColumn id="1400" xr3:uid="{5B974C10-D0BC-4847-B566-4170A3F091E0}" name="Spalte1383"/>
    <tableColumn id="1401" xr3:uid="{91A7E328-4D91-4693-92A2-132AE4764903}" name="Spalte1384"/>
    <tableColumn id="1402" xr3:uid="{2C17906B-2C4D-4CD3-9689-D50F40DB4C65}" name="Spalte1385"/>
    <tableColumn id="1403" xr3:uid="{05F5B803-D7FC-4788-A3E7-97A86EFC2DE9}" name="Spalte1386"/>
    <tableColumn id="1404" xr3:uid="{133A5A2A-6322-4D3E-92B1-E090806F56BE}" name="Spalte1387"/>
    <tableColumn id="1405" xr3:uid="{152CB114-7E2B-4EA2-968E-9D03BD6074C7}" name="Spalte1388"/>
    <tableColumn id="1406" xr3:uid="{3EA15996-E6DB-49D7-A7CE-5B42309A3BCC}" name="Spalte1389"/>
    <tableColumn id="1407" xr3:uid="{896EC663-C1E5-4D70-80A9-0DBF0B86E012}" name="Spalte1390"/>
    <tableColumn id="1408" xr3:uid="{AD972BD8-6B76-4122-9B89-9B1DDEE0FA76}" name="Spalte1391"/>
    <tableColumn id="1409" xr3:uid="{760B496C-8ADD-4B67-A0D2-141828BA1869}" name="Spalte1392"/>
    <tableColumn id="1410" xr3:uid="{2BDB9767-712A-4385-A299-6CDB571C9738}" name="Spalte1393"/>
    <tableColumn id="1411" xr3:uid="{CBE0AA20-AFDB-463F-A285-BFBCFBF7F9F1}" name="Spalte1394"/>
    <tableColumn id="1412" xr3:uid="{9CB7C0E2-9F8C-418F-B3E2-28CBD752FABA}" name="Spalte1395"/>
    <tableColumn id="1413" xr3:uid="{7030FF3C-3BF3-4FFC-AEDE-BD67AEB4C3EA}" name="Spalte1396"/>
    <tableColumn id="1414" xr3:uid="{EE4F120A-2100-433E-9B62-3A151350151D}" name="Spalte1397"/>
    <tableColumn id="1415" xr3:uid="{80CF479E-29C1-4B49-A980-EDD9FF8C3655}" name="Spalte1398"/>
    <tableColumn id="1416" xr3:uid="{F08DDE6B-6706-4C2F-A5EE-435A1E40464D}" name="Spalte1399"/>
    <tableColumn id="1417" xr3:uid="{B34E5262-AA7D-43D9-9386-C9DA28A93D9D}" name="Spalte1400"/>
    <tableColumn id="1418" xr3:uid="{B7A0688A-AAD9-41E3-B117-2D37DDFE4672}" name="Spalte1401"/>
    <tableColumn id="1419" xr3:uid="{D34857A7-CB63-4198-82B7-B2E9D97A5744}" name="Spalte1402"/>
    <tableColumn id="1420" xr3:uid="{49309DBF-A891-471F-85FC-7CA348B272D5}" name="Spalte1403"/>
    <tableColumn id="1421" xr3:uid="{5B011DF8-427F-4F33-9B91-DC001FFCBF7B}" name="Spalte1404"/>
    <tableColumn id="1422" xr3:uid="{E0AE968D-017C-44EC-B83B-CA273B444F6E}" name="Spalte1405"/>
    <tableColumn id="1423" xr3:uid="{73BD62E6-643E-438E-AE79-2ACB360448B2}" name="Spalte1406"/>
    <tableColumn id="1424" xr3:uid="{D63BCED3-CD2D-43F5-BA25-69BB22314B72}" name="Spalte1407"/>
    <tableColumn id="1425" xr3:uid="{48ED5C41-0674-46FF-8347-B2963B749EF3}" name="Spalte1408"/>
    <tableColumn id="1426" xr3:uid="{F0599A11-B9F7-4439-98B1-C283FF110B4E}" name="Spalte1409"/>
    <tableColumn id="1427" xr3:uid="{D269F123-AF57-4075-BF2A-E921F0B11BBA}" name="Spalte1410"/>
    <tableColumn id="1428" xr3:uid="{31DEB1A2-1D7C-4C72-AEB0-9D6E4D4AACFC}" name="Spalte1411"/>
    <tableColumn id="1429" xr3:uid="{DF61E2A1-58F4-4867-8136-3080B5366C07}" name="Spalte1412"/>
    <tableColumn id="1430" xr3:uid="{23E8A920-5388-4EF5-9F6D-AA7DA1B202BF}" name="Spalte1413"/>
    <tableColumn id="1431" xr3:uid="{3321520F-5B71-4862-94F3-91D8FC7B4714}" name="Spalte1414"/>
    <tableColumn id="1432" xr3:uid="{B84DBC6B-12B4-44F3-8816-6D126C86885D}" name="Spalte1415"/>
    <tableColumn id="1433" xr3:uid="{5AEB05D9-4B84-4CFE-B769-2B99F68575CA}" name="Spalte1416"/>
    <tableColumn id="1434" xr3:uid="{5232B49E-DEB9-4519-ABFE-4AC3CD1DCDE6}" name="Spalte1417"/>
    <tableColumn id="1435" xr3:uid="{07F78135-9A2B-4141-8178-72675A116D1C}" name="Spalte1418"/>
    <tableColumn id="1436" xr3:uid="{87440182-AF23-42E7-84B1-F71D7C7D821D}" name="Spalte1419"/>
    <tableColumn id="1437" xr3:uid="{2531D289-A375-41D7-91EE-DF0FBB4C07AD}" name="Spalte1420"/>
    <tableColumn id="1438" xr3:uid="{8E7BB11A-420B-452F-B7AE-1381DDFCB1CB}" name="Spalte1421"/>
    <tableColumn id="1439" xr3:uid="{9FF789F7-0084-473C-822C-E81BF4F2133A}" name="Spalte1422"/>
    <tableColumn id="1440" xr3:uid="{85AD2C87-1D33-49AC-B889-BF6254CB7C39}" name="Spalte1423"/>
    <tableColumn id="1441" xr3:uid="{8FBA541E-CB56-4092-97F3-A2438ED976F9}" name="Spalte1424"/>
    <tableColumn id="1442" xr3:uid="{999830FB-09B5-4BC2-9CD4-4410FB23235E}" name="Spalte1425"/>
    <tableColumn id="1443" xr3:uid="{20F2E340-D8BB-42BB-A7C2-832E492AB532}" name="Spalte1426"/>
    <tableColumn id="1444" xr3:uid="{11BCC452-4448-4034-9B0D-7AC62607EAD7}" name="Spalte1427"/>
    <tableColumn id="1445" xr3:uid="{4B3B8C36-E674-4E3F-9286-E6E44396706D}" name="Spalte1428"/>
    <tableColumn id="1446" xr3:uid="{F58EF0C3-4914-4BC7-A065-95D1220CD210}" name="Spalte1429"/>
    <tableColumn id="1447" xr3:uid="{DBEDBEED-DBD9-4A65-A4A3-93DC2B4ECBFA}" name="Spalte1430"/>
    <tableColumn id="1448" xr3:uid="{0630F940-AE2F-4EB4-B3B4-646E43660809}" name="Spalte1431"/>
    <tableColumn id="1449" xr3:uid="{53F11424-6AB2-49EE-8B52-A7259720B3F7}" name="Spalte1432"/>
    <tableColumn id="1450" xr3:uid="{64573096-02B2-43E2-9BD9-5E15E9B0E93C}" name="Spalte1433"/>
    <tableColumn id="1451" xr3:uid="{46D35F26-B4FC-44B6-A23E-5E72B597F8E1}" name="Spalte1434"/>
    <tableColumn id="1452" xr3:uid="{9C9D6677-705A-46BC-9C4E-BEB89D38B978}" name="Spalte1435"/>
    <tableColumn id="1453" xr3:uid="{58B00EED-04CC-4F67-98AA-6D5EC886DD37}" name="Spalte1436"/>
    <tableColumn id="1454" xr3:uid="{0CFFA617-1FAF-4739-99BA-51268669B596}" name="Spalte1437"/>
    <tableColumn id="1455" xr3:uid="{D64C55BF-99A7-4038-BF18-18B5B1CD95B5}" name="Spalte1438"/>
    <tableColumn id="1456" xr3:uid="{E36696CC-03F3-4117-A838-A1B5DADFAA6C}" name="Spalte1439"/>
    <tableColumn id="1457" xr3:uid="{8FB23267-DD03-47EB-A594-CE5E33DC11FF}" name="Spalte1440"/>
    <tableColumn id="1458" xr3:uid="{EB93AA86-7A34-452C-B14C-9F16A27F9EBA}" name="Spalte1441"/>
    <tableColumn id="1459" xr3:uid="{C4C21426-51D6-463D-AAA3-6B95C5EA8D9B}" name="Spalte1442"/>
    <tableColumn id="1460" xr3:uid="{23B28823-C82E-4DBB-9711-B50776948F28}" name="Spalte1443"/>
    <tableColumn id="1461" xr3:uid="{BD78E695-EA80-404D-937B-E8FEC96A7B2C}" name="Spalte1444"/>
    <tableColumn id="1462" xr3:uid="{C24D7A24-64D2-437F-971B-E3F7587E95B4}" name="Spalte1445"/>
    <tableColumn id="1463" xr3:uid="{91DAFABA-7208-4D86-A202-3F3E1BAB4DE3}" name="Spalte1446"/>
    <tableColumn id="1464" xr3:uid="{BEE10C13-52EE-4FC4-83A6-14B110C324B3}" name="Spalte1447"/>
    <tableColumn id="1465" xr3:uid="{B3731202-9E3F-4BC6-B9CB-A83A576711ED}" name="Spalte1448"/>
    <tableColumn id="1466" xr3:uid="{7CBD8FD8-39D0-4B71-A6F4-DB0651A526ED}" name="Spalte1449"/>
    <tableColumn id="1467" xr3:uid="{0164D458-74ED-4C6D-A191-032C0124B2F9}" name="Spalte1450"/>
    <tableColumn id="1468" xr3:uid="{74F2BB01-1921-4DA3-8D2A-D136DF71EE09}" name="Spalte1451"/>
    <tableColumn id="1469" xr3:uid="{37FA62AE-24AA-4139-B776-7050E35F3EB3}" name="Spalte1452"/>
    <tableColumn id="1470" xr3:uid="{503F345E-DDF4-40B7-A554-59BD42A5F878}" name="Spalte1453"/>
    <tableColumn id="1471" xr3:uid="{8D0EB90C-7FD5-47C5-A23D-144E0136661C}" name="Spalte1454"/>
    <tableColumn id="1472" xr3:uid="{5E46F46F-4BDE-495B-BE8D-8A2A5DADD216}" name="Spalte1455"/>
    <tableColumn id="1473" xr3:uid="{011DD91A-BE35-4B92-8408-E083C36A7D39}" name="Spalte1456"/>
    <tableColumn id="1474" xr3:uid="{4027DCAB-DC64-46B3-8C02-C041D2474846}" name="Spalte1457"/>
    <tableColumn id="1475" xr3:uid="{115A7B5B-74EF-4E9F-B7BE-8288B6073D83}" name="Spalte1458"/>
    <tableColumn id="1476" xr3:uid="{A13997F6-67ED-448F-BA67-5742261A4E88}" name="Spalte1459"/>
    <tableColumn id="1477" xr3:uid="{68157B0A-D46E-402E-8AFF-18C4E3975021}" name="Spalte1460"/>
    <tableColumn id="1478" xr3:uid="{F543E20E-357E-4652-B736-8250ED16FC94}" name="Spalte1461"/>
    <tableColumn id="1479" xr3:uid="{2DB9A045-1019-4627-AE07-C7CCA3A0129E}" name="Spalte1462"/>
    <tableColumn id="1480" xr3:uid="{AA8FB366-4CB1-47E9-A021-92C4C120080A}" name="Spalte1463"/>
    <tableColumn id="1481" xr3:uid="{64F1C3C9-8BE2-4437-8993-4067BA144CF9}" name="Spalte1464"/>
    <tableColumn id="1482" xr3:uid="{9CEAA4EB-4E7F-4F8D-B86E-867BB70EB917}" name="Spalte1465"/>
    <tableColumn id="1483" xr3:uid="{77D9EC69-A924-4136-826F-9B9183705663}" name="Spalte1466"/>
    <tableColumn id="1484" xr3:uid="{02486844-9AFF-4690-959C-C37A25D8830E}" name="Spalte1467"/>
    <tableColumn id="1485" xr3:uid="{7EAE74A0-FC60-48B4-8249-AFD4A16CB451}" name="Spalte1468"/>
    <tableColumn id="1486" xr3:uid="{A8D4143F-AD58-4924-A584-0B7C26A67665}" name="Spalte1469"/>
    <tableColumn id="1487" xr3:uid="{F4C2D1C4-ABC9-4547-90C0-C49876F5E547}" name="Spalte1470"/>
    <tableColumn id="1488" xr3:uid="{BB600AD2-149A-4014-8A30-7BF2BD4B9A1D}" name="Spalte1471"/>
    <tableColumn id="1489" xr3:uid="{2C507EED-1397-419D-8FFD-3BF581F9B927}" name="Spalte1472"/>
    <tableColumn id="1490" xr3:uid="{1CDA1826-3949-44BC-98B0-D91D47C23BDD}" name="Spalte1473"/>
    <tableColumn id="1491" xr3:uid="{64AD5B11-526C-4C53-BC93-D396AAE46FE9}" name="Spalte1474"/>
    <tableColumn id="1492" xr3:uid="{EA6B3822-A4AD-47E5-AEC8-D4A8B62D2B2F}" name="Spalte1475"/>
    <tableColumn id="1493" xr3:uid="{D9D9A854-1D44-49D8-BBB4-7475AB9C2930}" name="Spalte1476"/>
    <tableColumn id="1494" xr3:uid="{6EF7C1F3-EA18-4932-AF06-3C6A99CA2794}" name="Spalte1477"/>
    <tableColumn id="1495" xr3:uid="{F9162240-F636-4A65-AE9B-AFD4AE0254EA}" name="Spalte1478"/>
    <tableColumn id="1496" xr3:uid="{924D2279-5BF0-461C-B0E0-754EBFD54D31}" name="Spalte1479"/>
    <tableColumn id="1497" xr3:uid="{770A45D2-0263-4284-BB39-7FA54520D6EA}" name="Spalte1480"/>
    <tableColumn id="1498" xr3:uid="{DC3A65C0-040E-4778-A6D2-8C4E2C171EB8}" name="Spalte1481"/>
    <tableColumn id="1499" xr3:uid="{FAA165E9-BAAF-4754-9CB9-D10C2E3ECA01}" name="Spalte1482"/>
    <tableColumn id="1500" xr3:uid="{A953F688-046A-4731-B96F-9C58279717B9}" name="Spalte1483"/>
    <tableColumn id="1501" xr3:uid="{FA8EFAF7-A66D-480D-B3F9-681EA420B60F}" name="Spalte1484"/>
    <tableColumn id="1502" xr3:uid="{254E049F-554D-4830-B65E-BA6759A8FC51}" name="Spalte1485"/>
    <tableColumn id="1503" xr3:uid="{580E4C8E-EAA7-42C3-8B05-C5878E362748}" name="Spalte1486"/>
    <tableColumn id="1504" xr3:uid="{34C653A2-529F-4B30-B512-2CE7AF82201F}" name="Spalte1487"/>
    <tableColumn id="1505" xr3:uid="{E468103D-5715-498A-A568-E67726E32C7A}" name="Spalte1488"/>
    <tableColumn id="1506" xr3:uid="{2F95B826-45FB-4086-B829-A752B3F86CBF}" name="Spalte1489"/>
    <tableColumn id="1507" xr3:uid="{AE40E008-F421-407D-A19F-26D1C1D52276}" name="Spalte1490"/>
    <tableColumn id="1508" xr3:uid="{21B56A8F-F52F-44C8-AB81-C5BA203B1170}" name="Spalte1491"/>
    <tableColumn id="1509" xr3:uid="{03B4ECAC-C3A1-49EF-8458-D919B7C4D2D2}" name="Spalte1492"/>
    <tableColumn id="1510" xr3:uid="{F813A2F1-1037-4504-8D6F-F9540F930B2C}" name="Spalte1493"/>
    <tableColumn id="1511" xr3:uid="{E72447D5-22C2-432A-AF40-06B55FF85D90}" name="Spalte1494"/>
    <tableColumn id="1512" xr3:uid="{02E6F1EA-1788-4DAF-A425-DD399A81CDC9}" name="Spalte1495"/>
    <tableColumn id="1513" xr3:uid="{6D5AF349-4BAD-423B-A3ED-3CCDC22DD3CB}" name="Spalte1496"/>
    <tableColumn id="1514" xr3:uid="{797DC23A-6D44-4D47-B292-42CDDF933722}" name="Spalte1497"/>
    <tableColumn id="1515" xr3:uid="{066D88F1-376B-463C-BEA2-218FC0E04EC4}" name="Spalte1498"/>
    <tableColumn id="1516" xr3:uid="{89D14142-5BDF-4894-B3A5-E86AB456D6E3}" name="Spalte1499"/>
    <tableColumn id="1517" xr3:uid="{3A0AB1C1-234A-4D5F-AF48-F7AF8C6BDB33}" name="Spalte1500"/>
    <tableColumn id="1518" xr3:uid="{1C19104A-9F5C-4174-A1F9-24949CAFD717}" name="Spalte1501"/>
    <tableColumn id="1519" xr3:uid="{B45ED291-89C3-4E03-862A-49639CFECD15}" name="Spalte1502"/>
    <tableColumn id="1520" xr3:uid="{1D78019B-AFF8-48B8-928C-5CB776015D4F}" name="Spalte1503"/>
    <tableColumn id="1521" xr3:uid="{0CF4896D-C147-4983-BC48-3A20F376CA43}" name="Spalte1504"/>
    <tableColumn id="1522" xr3:uid="{C6B1AE5C-B625-48E9-86C7-3903657EA3CB}" name="Spalte1505"/>
    <tableColumn id="1523" xr3:uid="{BE82B389-1530-4326-B64E-21739C793182}" name="Spalte1506"/>
    <tableColumn id="1524" xr3:uid="{193F20B2-840B-48BF-A42A-4815D9DE04D8}" name="Spalte1507"/>
    <tableColumn id="1525" xr3:uid="{F09FC4BB-9CBF-47F1-96A3-ABF972CF12B6}" name="Spalte1508"/>
    <tableColumn id="1526" xr3:uid="{08BC7744-957F-4D04-8D5B-EC17922A0D36}" name="Spalte1509"/>
    <tableColumn id="1527" xr3:uid="{A4732B40-052A-4925-87CC-26CF0733B38D}" name="Spalte1510"/>
    <tableColumn id="1528" xr3:uid="{BD6BF21C-8B5F-4FE5-A9F0-2360F3425B50}" name="Spalte1511"/>
    <tableColumn id="1529" xr3:uid="{BE6D0EB3-3D64-4434-ABEA-3CE79187F0E6}" name="Spalte1512"/>
    <tableColumn id="1530" xr3:uid="{19C3E155-E969-48A0-B2CD-57C8E386AB8A}" name="Spalte1513"/>
    <tableColumn id="1531" xr3:uid="{9F416186-191C-463A-AFFC-A18F72EB2B1B}" name="Spalte1514"/>
    <tableColumn id="1532" xr3:uid="{9D6130C2-173A-409A-BA4C-2077FE380C7E}" name="Spalte1515"/>
    <tableColumn id="1533" xr3:uid="{11FC8223-063D-4B40-AD2A-E5A12A0669DC}" name="Spalte1516"/>
    <tableColumn id="1534" xr3:uid="{B60E185B-EF1E-42F8-8719-76D027F61DB8}" name="Spalte1517"/>
    <tableColumn id="1535" xr3:uid="{7E975CD5-3278-409C-ADB7-B685F0EC9F4A}" name="Spalte1518"/>
    <tableColumn id="1536" xr3:uid="{3683EFAE-98B5-4C80-B45C-7D9814DF5A87}" name="Spalte1519"/>
    <tableColumn id="1537" xr3:uid="{40A9BFD4-5449-4353-BE7B-35E3CEF1F868}" name="Spalte1520"/>
    <tableColumn id="1538" xr3:uid="{73AF29B9-8EB2-460D-864F-277E2C7272BB}" name="Spalte1521"/>
    <tableColumn id="1539" xr3:uid="{DF145A18-BB8B-4F93-91C6-6CAC35597B40}" name="Spalte1522"/>
    <tableColumn id="1540" xr3:uid="{3D230101-D50F-40A4-BC3F-ECDEA06C329B}" name="Spalte1523"/>
    <tableColumn id="1541" xr3:uid="{AFEE75EF-DA42-46F0-B8F0-D086437FAEA3}" name="Spalte1524"/>
    <tableColumn id="1542" xr3:uid="{CAEF8475-717F-4360-B00B-B492EB87619B}" name="Spalte1525"/>
    <tableColumn id="1543" xr3:uid="{ECB6C448-AB1E-4415-9057-B5FBCB168E12}" name="Spalte1526"/>
    <tableColumn id="1544" xr3:uid="{239F8C4F-B818-497F-B607-B76D70353599}" name="Spalte1527"/>
    <tableColumn id="1545" xr3:uid="{A01D570F-6557-424B-B5B6-E75CB99EF3E4}" name="Spalte1528"/>
    <tableColumn id="1546" xr3:uid="{64C68518-7D3A-43AA-B1A1-1B4491F31487}" name="Spalte1529"/>
    <tableColumn id="1547" xr3:uid="{2B8886E0-C9F3-4449-AADE-43300B9F35AC}" name="Spalte1530"/>
    <tableColumn id="1548" xr3:uid="{45B73B6D-942F-4BD1-851B-D52106A72797}" name="Spalte1531"/>
    <tableColumn id="1549" xr3:uid="{370F8FD4-C48E-43AB-9457-C98B17E53C39}" name="Spalte1532"/>
    <tableColumn id="1550" xr3:uid="{E9411492-8299-40D3-A811-ADF143C77B99}" name="Spalte1533"/>
    <tableColumn id="1551" xr3:uid="{FD4AE445-0E1B-48E1-9B68-A4DCB478D991}" name="Spalte1534"/>
    <tableColumn id="1552" xr3:uid="{3AF17527-342A-49D1-ADA8-3AC0F28BBD58}" name="Spalte1535"/>
    <tableColumn id="1553" xr3:uid="{B8E22D54-8D60-4525-8163-CFB82C6817F5}" name="Spalte1536"/>
    <tableColumn id="1554" xr3:uid="{FB6BC4A8-DFA0-4FA4-B272-81CE415FB6CB}" name="Spalte1537"/>
    <tableColumn id="1555" xr3:uid="{0FFAD677-546B-4F56-8EE6-8C97EB699B9D}" name="Spalte1538"/>
    <tableColumn id="1556" xr3:uid="{0F022E76-CC7C-485E-9116-58914CBA950C}" name="Spalte1539"/>
    <tableColumn id="1557" xr3:uid="{8648A252-A1D1-441F-B301-809032E5302D}" name="Spalte1540"/>
    <tableColumn id="1558" xr3:uid="{ADFA70CE-D0BA-42E1-9926-C226C7E255D4}" name="Spalte1541"/>
    <tableColumn id="1559" xr3:uid="{ADC0E7F0-38BB-4654-A691-2ABB534DC3D4}" name="Spalte1542"/>
    <tableColumn id="1560" xr3:uid="{3525A4CB-4B2A-4D8D-8BEA-DCD157546FFA}" name="Spalte1543"/>
    <tableColumn id="1561" xr3:uid="{4BB34133-2D74-4F8A-89FE-067074588C42}" name="Spalte1544"/>
    <tableColumn id="1562" xr3:uid="{E4FA48C7-BDC4-4CFE-AB6C-4C3FF8AC7789}" name="Spalte1545"/>
    <tableColumn id="1563" xr3:uid="{91015DFC-8000-44D9-9708-97D4BAAD8559}" name="Spalte1546"/>
    <tableColumn id="1564" xr3:uid="{9558C8EB-B699-49AC-87D9-EC488D659305}" name="Spalte1547"/>
    <tableColumn id="1565" xr3:uid="{41BB122E-B634-402B-9C6C-FBF428ABD4E7}" name="Spalte1548"/>
    <tableColumn id="1566" xr3:uid="{D2FF5A7D-CE8D-4E80-8395-321FDF66D643}" name="Spalte1549"/>
    <tableColumn id="1567" xr3:uid="{15E2E550-7555-4DCE-B735-149D8DA3D4C4}" name="Spalte1550"/>
    <tableColumn id="1568" xr3:uid="{4BB1AA8D-9531-4962-9418-75BF7DD58FBC}" name="Spalte1551"/>
    <tableColumn id="1569" xr3:uid="{188ED318-D09E-4ABD-883B-8513D6BBBE77}" name="Spalte1552"/>
    <tableColumn id="1570" xr3:uid="{D9A91866-7C74-41D1-8C53-D495834FAB33}" name="Spalte1553"/>
    <tableColumn id="1571" xr3:uid="{AD132150-B71C-4335-A11D-28C94056BB8E}" name="Spalte1554"/>
    <tableColumn id="1572" xr3:uid="{043E990C-C6DA-4B9A-B836-0A8CEAB517C2}" name="Spalte1555"/>
    <tableColumn id="1573" xr3:uid="{0C45EB0A-CBB3-451C-80E4-CD7D90B32DF3}" name="Spalte1556"/>
    <tableColumn id="1574" xr3:uid="{968C9615-178E-4021-9AD9-3F439259990D}" name="Spalte1557"/>
    <tableColumn id="1575" xr3:uid="{AEBD0568-61CC-4214-8535-B99A1BBCACB3}" name="Spalte1558"/>
    <tableColumn id="1576" xr3:uid="{4D7D358F-92AB-4BD0-B238-C57A924007EC}" name="Spalte1559"/>
    <tableColumn id="1577" xr3:uid="{A54CF6A4-5D56-4421-8B7D-96B6C1CAEE8B}" name="Spalte1560"/>
    <tableColumn id="1578" xr3:uid="{F323C4B1-0FB4-4E20-9E4D-2657203EAA03}" name="Spalte1561"/>
    <tableColumn id="1579" xr3:uid="{E30123A4-70D1-42F8-A026-18B3E3250134}" name="Spalte1562"/>
    <tableColumn id="1580" xr3:uid="{5BC596B6-0767-4B47-A6FD-9917FED29AE0}" name="Spalte1563"/>
    <tableColumn id="1581" xr3:uid="{BB4BADB4-CF38-43A7-948B-0F5D2248E148}" name="Spalte1564"/>
    <tableColumn id="1582" xr3:uid="{187B1A2B-C38A-4ABB-8192-40FA0A4122E7}" name="Spalte1565"/>
    <tableColumn id="1583" xr3:uid="{529DD9CB-9DFB-4B84-B13B-88083421755F}" name="Spalte1566"/>
    <tableColumn id="1584" xr3:uid="{95A7A648-FB94-4BFE-972E-FA997F96594B}" name="Spalte1567"/>
    <tableColumn id="1585" xr3:uid="{3C3CB852-F6E6-466F-8F39-FF1A3272DAD4}" name="Spalte1568"/>
    <tableColumn id="1586" xr3:uid="{85279113-9FA4-4DBB-8728-5C402DEB53C8}" name="Spalte1569"/>
    <tableColumn id="1587" xr3:uid="{1CC97494-E8E1-4354-8744-F7BD244BF18C}" name="Spalte1570"/>
    <tableColumn id="1588" xr3:uid="{F835FE3A-E251-4D6B-A082-508D1765C049}" name="Spalte1571"/>
    <tableColumn id="1589" xr3:uid="{DDF6E92C-417C-411C-A497-4422C09A0205}" name="Spalte1572"/>
    <tableColumn id="1590" xr3:uid="{C2D955BB-015E-47BD-9D39-F8A72F19FA63}" name="Spalte1573"/>
    <tableColumn id="1591" xr3:uid="{75504818-6E48-446E-B5B2-EA3DCD2DDB2D}" name="Spalte1574"/>
    <tableColumn id="1592" xr3:uid="{0E1DE081-C1FD-4AC3-9C9D-4245A594C591}" name="Spalte1575"/>
    <tableColumn id="1593" xr3:uid="{B33EB09E-494E-4BA1-976B-05DDB0BAA415}" name="Spalte1576"/>
    <tableColumn id="1594" xr3:uid="{B46ADB0C-4E83-44D3-AA28-601644FC3F58}" name="Spalte1577"/>
    <tableColumn id="1595" xr3:uid="{5C99EADB-2EA9-4D26-950F-59A64B754399}" name="Spalte1578"/>
    <tableColumn id="1596" xr3:uid="{7EA6958B-7062-4BB7-A086-95A19C4EE67B}" name="Spalte1579"/>
    <tableColumn id="1597" xr3:uid="{52DCD895-3E3C-4031-99DF-8A830735360E}" name="Spalte1580"/>
    <tableColumn id="1598" xr3:uid="{F08A788B-AAAE-44AF-AF33-25B2631D40BB}" name="Spalte1581"/>
    <tableColumn id="1599" xr3:uid="{6E434918-E7A4-4CED-8E6E-21FFD76490BD}" name="Spalte1582"/>
    <tableColumn id="1600" xr3:uid="{623A700C-F280-4A6F-8C51-F1CA93A626E8}" name="Spalte1583"/>
    <tableColumn id="1601" xr3:uid="{96185EE1-91A6-438E-8C6A-EEC37F36049D}" name="Spalte1584"/>
    <tableColumn id="1602" xr3:uid="{A9B0BCFF-5096-432A-A803-D3796870F8DA}" name="Spalte1585"/>
    <tableColumn id="1603" xr3:uid="{2E4FB6CD-4425-4F6F-89E9-3606980C6EA8}" name="Spalte1586"/>
    <tableColumn id="1604" xr3:uid="{8AE262EC-11D2-4967-A210-452929A81D4E}" name="Spalte1587"/>
    <tableColumn id="1605" xr3:uid="{D21DD276-ACFF-4EE9-875F-2B5ACFD7E9AC}" name="Spalte1588"/>
    <tableColumn id="1606" xr3:uid="{43204C10-DD96-4244-83A2-43823CC083C2}" name="Spalte1589"/>
    <tableColumn id="1607" xr3:uid="{54CDA643-7147-42CA-B109-B87E09DD7ED0}" name="Spalte1590"/>
    <tableColumn id="1608" xr3:uid="{83A7253B-570A-4D26-A035-2277034F6420}" name="Spalte1591"/>
    <tableColumn id="1609" xr3:uid="{437EE9B1-2CB6-4F0B-BF82-69A58D9EE477}" name="Spalte1592"/>
    <tableColumn id="1610" xr3:uid="{383BDB5F-7C90-4B9C-AC38-B01A6D65DF0D}" name="Spalte1593"/>
    <tableColumn id="1611" xr3:uid="{ACCBE004-0515-470D-AECC-40A1993366ED}" name="Spalte1594"/>
    <tableColumn id="1612" xr3:uid="{CA9DC0E4-3DA7-41FB-BC10-44F81DF93C56}" name="Spalte1595"/>
    <tableColumn id="1613" xr3:uid="{B0C27774-2FB6-4EBE-B89D-9901DF076098}" name="Spalte1596"/>
    <tableColumn id="1614" xr3:uid="{B0FC705B-15B9-4847-83EF-F66BD8F6A526}" name="Spalte1597"/>
    <tableColumn id="1615" xr3:uid="{D9F26FC1-00DC-44F2-A399-81C59A15A798}" name="Spalte1598"/>
    <tableColumn id="1616" xr3:uid="{B2100289-BB53-4D2E-B231-65959F274BDF}" name="Spalte1599"/>
    <tableColumn id="1617" xr3:uid="{BA9603E5-430C-4775-84E7-F954EF756FC8}" name="Spalte1600"/>
    <tableColumn id="1618" xr3:uid="{CEBCC378-DC4E-443B-937A-3786F5640311}" name="Spalte1601"/>
    <tableColumn id="1619" xr3:uid="{5B8932B6-FD8E-4A77-B652-603D89025C62}" name="Spalte1602"/>
    <tableColumn id="1620" xr3:uid="{385A902C-F4A9-430D-BE94-C543DE8E338A}" name="Spalte1603"/>
    <tableColumn id="1621" xr3:uid="{65BDBA78-9E05-4098-910A-96FAD247EB61}" name="Spalte1604"/>
    <tableColumn id="1622" xr3:uid="{669685D8-148B-45E3-941C-967C6124C806}" name="Spalte1605"/>
    <tableColumn id="1623" xr3:uid="{1F7D831B-ED7B-4375-9BDF-36F6C405A1C1}" name="Spalte1606"/>
    <tableColumn id="1624" xr3:uid="{ADC26114-549A-4611-B036-D4D2E31B17DD}" name="Spalte1607"/>
    <tableColumn id="1625" xr3:uid="{3570C395-231A-4238-9712-E5EEDC8F8AD1}" name="Spalte1608"/>
    <tableColumn id="1626" xr3:uid="{48C277CB-1D28-44B3-8D8D-8ED484A74947}" name="Spalte1609"/>
    <tableColumn id="1627" xr3:uid="{71AFB28C-50EB-44FD-BDA1-58C7199BAB5D}" name="Spalte1610"/>
    <tableColumn id="1628" xr3:uid="{5365F7E9-1CD0-4CE9-94A3-DFF7C7A96930}" name="Spalte1611"/>
    <tableColumn id="1629" xr3:uid="{45D14BC5-A8B5-4CFF-BD04-5554051F2D4E}" name="Spalte1612"/>
    <tableColumn id="1630" xr3:uid="{8907D31D-541B-42D7-A02A-2F6991285B16}" name="Spalte1613"/>
    <tableColumn id="1631" xr3:uid="{ED6CB701-642B-46F4-8530-6BD3BBDD8224}" name="Spalte1614"/>
    <tableColumn id="1632" xr3:uid="{76F7802A-7C54-4D91-BB24-1BB30D096AF1}" name="Spalte1615"/>
    <tableColumn id="1633" xr3:uid="{4BFBD14E-F40E-4C2F-9693-05B4402679CC}" name="Spalte1616"/>
    <tableColumn id="1634" xr3:uid="{4C34F3AE-A5E0-4113-87E1-05A7143E166E}" name="Spalte1617"/>
    <tableColumn id="1635" xr3:uid="{31BBBC2D-7385-4B0A-B1A1-3E2D29C0839E}" name="Spalte1618"/>
    <tableColumn id="1636" xr3:uid="{5053E3CF-8378-4448-A144-7CEA0E1C99C2}" name="Spalte1619"/>
    <tableColumn id="1637" xr3:uid="{9FF97FDB-139E-4F68-A192-7D8021F16E04}" name="Spalte1620"/>
    <tableColumn id="1638" xr3:uid="{8A120250-0F4D-476A-83EC-6D6D05FC1D0C}" name="Spalte1621"/>
    <tableColumn id="1639" xr3:uid="{A45DFED7-69C7-4B4F-9F32-F1C4393C3951}" name="Spalte1622"/>
    <tableColumn id="1640" xr3:uid="{FFAB7854-219E-4258-8335-14175B644500}" name="Spalte1623"/>
    <tableColumn id="1641" xr3:uid="{DCE10A73-8145-4325-9AD5-D682F7F5B66C}" name="Spalte1624"/>
    <tableColumn id="1642" xr3:uid="{B36DBB1B-1AB1-40E2-A9BB-88D097757828}" name="Spalte1625"/>
    <tableColumn id="1643" xr3:uid="{E8E6CC6C-2D03-477D-9B2E-7DA99727AD34}" name="Spalte1626"/>
    <tableColumn id="1644" xr3:uid="{977C6C63-1989-48E4-8493-3787BD3CD1DD}" name="Spalte1627"/>
    <tableColumn id="1645" xr3:uid="{B5701110-E89C-4D8F-8C80-2412801007F2}" name="Spalte1628"/>
    <tableColumn id="1646" xr3:uid="{D73879CE-0353-462B-BD20-9BE226F0E8F8}" name="Spalte1629"/>
    <tableColumn id="1647" xr3:uid="{CBFA3431-744E-4663-A54B-90C7F74ABC13}" name="Spalte1630"/>
    <tableColumn id="1648" xr3:uid="{ACF55142-10D0-4F05-B85A-5603560AC69F}" name="Spalte1631"/>
    <tableColumn id="1649" xr3:uid="{494D7E1E-1DF2-499B-AAFE-DC50015BBA7E}" name="Spalte1632"/>
    <tableColumn id="1650" xr3:uid="{89264F23-56F1-42A1-9D91-4299B4B1FC14}" name="Spalte1633"/>
    <tableColumn id="1651" xr3:uid="{B51CABFF-4CF4-4C0D-9296-75A62C2FA2F7}" name="Spalte1634"/>
    <tableColumn id="1652" xr3:uid="{94506EFA-EF75-418C-BEB5-5827AB8ECEDF}" name="Spalte1635"/>
    <tableColumn id="1653" xr3:uid="{902C06BB-F42E-4983-9269-CC9FF1A7BE68}" name="Spalte1636"/>
    <tableColumn id="1654" xr3:uid="{2C1AC2A1-010D-46F8-9804-CB761EB057A4}" name="Spalte1637"/>
    <tableColumn id="1655" xr3:uid="{92C13130-E7C2-4A19-A859-F1726E35353C}" name="Spalte1638"/>
    <tableColumn id="1656" xr3:uid="{348465B9-130A-408D-8C12-35D883D808E9}" name="Spalte1639"/>
    <tableColumn id="1657" xr3:uid="{A89B91DD-F48A-4940-B00C-483D4A093594}" name="Spalte1640"/>
    <tableColumn id="1658" xr3:uid="{795E9B47-DA5C-4074-820E-C7E9E47751CB}" name="Spalte1641"/>
    <tableColumn id="1659" xr3:uid="{1365A3E0-ADBA-4951-AB36-39BDD9FFE515}" name="Spalte1642"/>
    <tableColumn id="1660" xr3:uid="{032A06B9-5632-4CEE-BFA9-F7D160C351E5}" name="Spalte1643"/>
    <tableColumn id="1661" xr3:uid="{C45F88DD-0EBF-488A-8F5C-46AE66F5CAD9}" name="Spalte1644"/>
    <tableColumn id="1662" xr3:uid="{5941E6FD-EFD9-4B0C-8D3C-94B88066AD4C}" name="Spalte1645"/>
    <tableColumn id="1663" xr3:uid="{027AA3E9-ED6A-499A-9789-9323003092DB}" name="Spalte1646"/>
    <tableColumn id="1664" xr3:uid="{AE1947EA-03B2-4E07-9E0E-93E45E9CD898}" name="Spalte1647"/>
    <tableColumn id="1665" xr3:uid="{8862A727-B3B5-4C98-816B-F3992A5F74B2}" name="Spalte1648"/>
    <tableColumn id="1666" xr3:uid="{DBB0C1D1-A9F5-4CD3-821E-C5B1A41BA6B7}" name="Spalte1649"/>
    <tableColumn id="1667" xr3:uid="{5B84C008-E8AF-424F-8020-ECC7F8D4A357}" name="Spalte1650"/>
    <tableColumn id="1668" xr3:uid="{D3343741-5AE0-461B-B94E-41176E9AF702}" name="Spalte1651"/>
    <tableColumn id="1669" xr3:uid="{F3051EE6-897E-4F36-8326-FF9B46A78C54}" name="Spalte1652"/>
    <tableColumn id="1670" xr3:uid="{413762BD-9835-461B-858A-B8C65183976C}" name="Spalte1653"/>
    <tableColumn id="1671" xr3:uid="{9104E360-0720-4C88-92E9-CBD8DFA19B5C}" name="Spalte1654"/>
    <tableColumn id="1672" xr3:uid="{2B53A7B8-538B-4FF5-BEA5-6826157E5285}" name="Spalte1655"/>
    <tableColumn id="1673" xr3:uid="{DB7B4DDD-D0F3-47ED-93F1-F72B81126798}" name="Spalte1656"/>
    <tableColumn id="1674" xr3:uid="{2FFEA4C0-67DD-40C6-BEB0-8AA38A4CBAC9}" name="Spalte1657"/>
    <tableColumn id="1675" xr3:uid="{60F76ADB-F4F1-421A-8CD1-80496F30D98B}" name="Spalte1658"/>
    <tableColumn id="1676" xr3:uid="{5F1F6667-EEA0-4C81-A5E7-A0564FF2D503}" name="Spalte1659"/>
    <tableColumn id="1677" xr3:uid="{7559AD60-8902-4D6E-8FA5-B0DE4EFF6820}" name="Spalte1660"/>
    <tableColumn id="1678" xr3:uid="{4CFBBBA0-57E2-4AE6-B2A4-61108FC87CB6}" name="Spalte1661"/>
    <tableColumn id="1679" xr3:uid="{8E60C238-C634-4614-B375-B974921ED330}" name="Spalte1662"/>
    <tableColumn id="1680" xr3:uid="{BD5354AB-4FDA-4277-8C66-B253F97281D4}" name="Spalte1663"/>
    <tableColumn id="1681" xr3:uid="{B7A12AFD-150F-43B5-8B90-113BFB73C5E2}" name="Spalte1664"/>
    <tableColumn id="1682" xr3:uid="{38A68629-D7E1-4C14-91CF-E506C739CFCF}" name="Spalte1665"/>
    <tableColumn id="1683" xr3:uid="{3FF6E80E-048F-4084-A03C-BE1C39C8F5E4}" name="Spalte1666"/>
    <tableColumn id="1684" xr3:uid="{91F99C2F-56BA-4E0E-B4FB-8952E9D6C920}" name="Spalte1667"/>
    <tableColumn id="1685" xr3:uid="{28D03F59-D4C7-4F7E-A123-332C9F6D926B}" name="Spalte1668"/>
    <tableColumn id="1686" xr3:uid="{ECC6F10C-129A-459A-BF51-33BF27878007}" name="Spalte1669"/>
    <tableColumn id="1687" xr3:uid="{2691595D-1014-4562-A9D2-C42328B6C7CC}" name="Spalte1670"/>
    <tableColumn id="1688" xr3:uid="{30C06350-2A2F-47CB-AD27-22B0D365ABEC}" name="Spalte1671"/>
    <tableColumn id="1689" xr3:uid="{C3D7CA0F-EDAE-4396-AE20-537262073539}" name="Spalte1672"/>
    <tableColumn id="1690" xr3:uid="{10F56E37-5C11-419E-8C07-5067C26743DF}" name="Spalte1673"/>
    <tableColumn id="1691" xr3:uid="{F2A95BDC-6315-4C9E-A997-F09DD5E975C0}" name="Spalte1674"/>
    <tableColumn id="1692" xr3:uid="{47862D75-5250-48A7-94D4-7AF195F04DD9}" name="Spalte1675"/>
    <tableColumn id="1693" xr3:uid="{65B8FE34-F716-4B7D-9483-16AE16D79DCB}" name="Spalte1676"/>
    <tableColumn id="1694" xr3:uid="{CBCF08FB-6B19-4356-88CA-159EFA480695}" name="Spalte1677"/>
    <tableColumn id="1695" xr3:uid="{62F1777A-BB07-4E93-AB42-7BBA80904805}" name="Spalte1678"/>
    <tableColumn id="1696" xr3:uid="{53A80277-D920-4B70-8C82-1380C3CEF1AF}" name="Spalte1679"/>
    <tableColumn id="1697" xr3:uid="{190205CF-36EE-4BB2-BD92-6FCF1850181D}" name="Spalte1680"/>
    <tableColumn id="1698" xr3:uid="{5E7B5886-1D82-42D9-A2EA-3A4351B60E84}" name="Spalte1681"/>
    <tableColumn id="1699" xr3:uid="{19BBBDCB-56DF-4CF4-9DA9-0A62860A900B}" name="Spalte1682"/>
    <tableColumn id="1700" xr3:uid="{D1C7803A-CF7C-4FD2-A688-C41E2D7080F9}" name="Spalte1683"/>
    <tableColumn id="1701" xr3:uid="{F438DFD4-BBCA-4904-A2B2-72F281A18C03}" name="Spalte1684"/>
    <tableColumn id="1702" xr3:uid="{84A7A1DA-1E76-4920-A578-5C4CA6A20086}" name="Spalte1685"/>
    <tableColumn id="1703" xr3:uid="{999D01B2-36D1-463B-BCAB-C47D30B88217}" name="Spalte1686"/>
    <tableColumn id="1704" xr3:uid="{E5299BCB-C956-4336-BF92-802441FE295F}" name="Spalte1687"/>
    <tableColumn id="1705" xr3:uid="{778D851A-BD8D-4359-B47B-FEBC7DE81229}" name="Spalte1688"/>
    <tableColumn id="1706" xr3:uid="{ACBDA033-59CB-4B4C-8A2F-0692EA51BCDB}" name="Spalte1689"/>
    <tableColumn id="1707" xr3:uid="{A708016D-3018-432B-AD02-4F9C56870045}" name="Spalte1690"/>
    <tableColumn id="1708" xr3:uid="{E28EE942-3DC3-4EA9-A5F1-2393513D4A62}" name="Spalte1691"/>
    <tableColumn id="1709" xr3:uid="{DEA31B6D-CF67-4A01-9F4E-EE9B1B615D43}" name="Spalte1692"/>
    <tableColumn id="1710" xr3:uid="{AB557ACE-5F48-4DCE-A2F8-EE58C3955467}" name="Spalte1693"/>
    <tableColumn id="1711" xr3:uid="{63614285-7C4F-4C50-8855-B05525DAD21A}" name="Spalte1694"/>
    <tableColumn id="1712" xr3:uid="{1AAF384D-FC4C-4600-ACAC-073510CB767A}" name="Spalte1695"/>
    <tableColumn id="1713" xr3:uid="{94D3E7A0-6B3E-4AD3-8AD6-D50ED17CDF58}" name="Spalte1696"/>
    <tableColumn id="1714" xr3:uid="{E2E20D7A-1BEC-4C0F-AE60-66FF25ED17AE}" name="Spalte1697"/>
    <tableColumn id="1715" xr3:uid="{1B0292C5-BCFC-4057-A208-823C3CCC8CB5}" name="Spalte1698"/>
    <tableColumn id="1716" xr3:uid="{93DABF58-C358-4242-8BED-AD1E9118C938}" name="Spalte1699"/>
    <tableColumn id="1717" xr3:uid="{336C058F-9D3C-429E-8BDB-3D3AF2F7FADC}" name="Spalte1700"/>
    <tableColumn id="1718" xr3:uid="{C55DF8EB-8C10-4F2B-9600-48C0249E9F44}" name="Spalte1701"/>
    <tableColumn id="1719" xr3:uid="{19DDDE43-062F-4A67-B289-70E968055CCB}" name="Spalte1702"/>
    <tableColumn id="1720" xr3:uid="{727DF971-5CA0-46BB-B6AB-9B7CB11F187A}" name="Spalte1703"/>
    <tableColumn id="1721" xr3:uid="{97854D60-0AA1-48F4-96A4-FF234A61A748}" name="Spalte1704"/>
    <tableColumn id="1722" xr3:uid="{7831AA64-4588-4AF1-A958-E164CE0EA70D}" name="Spalte1705"/>
    <tableColumn id="1723" xr3:uid="{F004AA16-B581-4F9B-B1A1-134B3003DCD4}" name="Spalte1706"/>
    <tableColumn id="1724" xr3:uid="{1BE6C426-DCEF-4FFA-8900-2D62D77CCB9E}" name="Spalte1707"/>
    <tableColumn id="1725" xr3:uid="{401EDF47-673B-436A-9A26-4546BFBAD9D6}" name="Spalte1708"/>
    <tableColumn id="1726" xr3:uid="{4A8845B0-2FA8-4A90-8C16-55D08F58BD4A}" name="Spalte1709"/>
    <tableColumn id="1727" xr3:uid="{2FEAAFFD-5C3C-4D15-A7E8-B9B08B79B2B5}" name="Spalte1710"/>
    <tableColumn id="1728" xr3:uid="{5BB245BA-EC13-4B23-BE27-B41C7EB73788}" name="Spalte1711"/>
    <tableColumn id="1729" xr3:uid="{0E44B437-3D41-450B-B826-5A8FEA8CA6C8}" name="Spalte1712"/>
    <tableColumn id="1730" xr3:uid="{3EBE81CF-A74B-4A29-BD4C-04B53A0CF30B}" name="Spalte1713"/>
    <tableColumn id="1731" xr3:uid="{68BF6B9B-8CF3-49A9-8A3E-719DF7D660BB}" name="Spalte1714"/>
    <tableColumn id="1732" xr3:uid="{251B514C-EE7F-491A-BD5C-1BEF28F2F3BB}" name="Spalte1715"/>
    <tableColumn id="1733" xr3:uid="{448360B2-1AEE-4390-9B94-2A9199016EF8}" name="Spalte1716"/>
    <tableColumn id="1734" xr3:uid="{7F477274-2C1F-48B6-9972-CED3EC20B1EE}" name="Spalte1717"/>
    <tableColumn id="1735" xr3:uid="{A38D7E4C-6E5B-4700-A995-10E60A2FF28E}" name="Spalte1718"/>
    <tableColumn id="1736" xr3:uid="{0956CCCF-FE44-4919-92D1-7C18625E933A}" name="Spalte1719"/>
    <tableColumn id="1737" xr3:uid="{33AF655F-E7B8-49F8-B015-5CA8BD32B2E9}" name="Spalte1720"/>
    <tableColumn id="1738" xr3:uid="{BD40F9A3-C618-4508-A430-B648060FBD01}" name="Spalte1721"/>
    <tableColumn id="1739" xr3:uid="{9CE3143A-500A-43C5-97D4-41B8ECFA4E71}" name="Spalte1722"/>
    <tableColumn id="1740" xr3:uid="{551BAC3B-4CB6-462A-8C31-429696BFB566}" name="Spalte1723"/>
    <tableColumn id="1741" xr3:uid="{594B186B-88E6-4A83-82AE-4CF527B07A32}" name="Spalte1724"/>
    <tableColumn id="1742" xr3:uid="{ABBB285F-5723-4B92-AC06-907B2508A39F}" name="Spalte1725"/>
    <tableColumn id="1743" xr3:uid="{D9616B4A-302B-4B0A-8FBE-35F4708E5068}" name="Spalte1726"/>
    <tableColumn id="1744" xr3:uid="{D02767DC-B1F0-42CF-AC56-91116C782E58}" name="Spalte1727"/>
    <tableColumn id="1745" xr3:uid="{E6B0612E-3F46-425E-8C74-DCD08D148970}" name="Spalte1728"/>
    <tableColumn id="1746" xr3:uid="{9821407E-632F-4E18-9C6E-53FF02A14490}" name="Spalte1729"/>
    <tableColumn id="1747" xr3:uid="{68A46BEB-B9DF-4C07-8467-7FC68F6EB0DA}" name="Spalte1730"/>
    <tableColumn id="1748" xr3:uid="{C0172711-B568-4785-86AD-49033A1032B4}" name="Spalte1731"/>
    <tableColumn id="1749" xr3:uid="{F5184B59-9547-44A0-87F0-96CA16C2B03F}" name="Spalte1732"/>
    <tableColumn id="1750" xr3:uid="{E9707F08-27B8-43EA-AD36-C10E44B760B6}" name="Spalte1733"/>
    <tableColumn id="1751" xr3:uid="{4228489C-E600-4214-903E-0597F18C043D}" name="Spalte1734"/>
    <tableColumn id="1752" xr3:uid="{22F95FCC-32FE-49F1-AD2F-CEED2E0B4B45}" name="Spalte1735"/>
    <tableColumn id="1753" xr3:uid="{A14ED42F-A2EC-452E-BB00-C82D65644AB0}" name="Spalte1736"/>
    <tableColumn id="1754" xr3:uid="{339DB1D8-5F69-4BE6-8818-3F552324EF0B}" name="Spalte1737"/>
    <tableColumn id="1755" xr3:uid="{010C8645-492B-4604-B67B-22B33F53BFA7}" name="Spalte1738"/>
    <tableColumn id="1756" xr3:uid="{77EB47B6-36AF-4239-BBB7-BC351FE2B848}" name="Spalte1739"/>
    <tableColumn id="1757" xr3:uid="{9D2E6B73-3222-4C7A-9D8B-F809286B50FF}" name="Spalte1740"/>
    <tableColumn id="1758" xr3:uid="{06008ED0-2E19-4783-A9D0-FA7D0FF48D3E}" name="Spalte1741"/>
    <tableColumn id="1759" xr3:uid="{69D30DFB-E188-4E19-9403-D61F30D5F70C}" name="Spalte1742"/>
    <tableColumn id="1760" xr3:uid="{7E1415C7-E08F-46EB-A894-26A7583FDC7C}" name="Spalte1743"/>
    <tableColumn id="1761" xr3:uid="{6CB1B82A-ABF7-44D3-8897-D1D7A7FBBFD0}" name="Spalte1744"/>
    <tableColumn id="1762" xr3:uid="{2722901A-0F40-4089-B89E-D926E663B192}" name="Spalte1745"/>
    <tableColumn id="1763" xr3:uid="{3E86BE14-9D9D-4538-A827-152719D57867}" name="Spalte1746"/>
    <tableColumn id="1764" xr3:uid="{C3C5C6A6-17B6-48F8-ABEC-A9525DF2F181}" name="Spalte1747"/>
    <tableColumn id="1765" xr3:uid="{3B1A461C-45FB-4BF4-AA29-DD9E4C4C1631}" name="Spalte1748"/>
    <tableColumn id="1766" xr3:uid="{520CA10C-3EC9-42C9-9E72-FCB4ECCA638F}" name="Spalte1749"/>
    <tableColumn id="1767" xr3:uid="{70CAD993-5DFE-4799-AD65-D46575DF0E04}" name="Spalte1750"/>
    <tableColumn id="1768" xr3:uid="{00062FC3-DAF8-4EA7-8CDB-B761D55615F5}" name="Spalte1751"/>
    <tableColumn id="1769" xr3:uid="{751821F3-8AAE-43DA-810B-4AE2F57F1804}" name="Spalte1752"/>
    <tableColumn id="1770" xr3:uid="{536FD9DF-DBCB-4C73-AA87-A2071FD6B3A0}" name="Spalte1753"/>
    <tableColumn id="1771" xr3:uid="{51033DB6-D7BB-430B-9F23-50A5F6129245}" name="Spalte1754"/>
    <tableColumn id="1772" xr3:uid="{1B1A0727-78F0-47CD-9791-9F367C604C7E}" name="Spalte1755"/>
    <tableColumn id="1773" xr3:uid="{FB5EEF9D-95B8-4FBE-AB4A-AA7CE33DA171}" name="Spalte1756"/>
    <tableColumn id="1774" xr3:uid="{B7978EAA-248B-4012-8945-C2583615C9DD}" name="Spalte1757"/>
    <tableColumn id="1775" xr3:uid="{3C7CB8E1-B448-410C-908D-0B4FDE5A6CB9}" name="Spalte1758"/>
    <tableColumn id="1776" xr3:uid="{E1F05E9B-2A87-4046-9F1D-D34D2380A2BC}" name="Spalte1759"/>
    <tableColumn id="1777" xr3:uid="{EEE11854-5588-4CD0-A409-87392B36D0CC}" name="Spalte1760"/>
    <tableColumn id="1778" xr3:uid="{E1CD94B3-B50D-400F-A6BF-80A3E61699CE}" name="Spalte1761"/>
    <tableColumn id="1779" xr3:uid="{C96357EA-0FC3-4016-814B-F315175910DA}" name="Spalte1762"/>
    <tableColumn id="1780" xr3:uid="{E7A9EEEF-CD49-4622-ACF5-76AB1B2E14F4}" name="Spalte1763"/>
    <tableColumn id="1781" xr3:uid="{F196F14E-A4CA-4805-A10A-E7176348C4ED}" name="Spalte1764"/>
    <tableColumn id="1782" xr3:uid="{839C7283-E35C-4880-BA1F-D7262C707052}" name="Spalte1765"/>
    <tableColumn id="1783" xr3:uid="{413EC282-EF6F-4C63-8F77-BFAB5D5FDD46}" name="Spalte1766"/>
    <tableColumn id="1784" xr3:uid="{935F9F51-57E3-4794-B387-0DF79B4C72F1}" name="Spalte1767"/>
    <tableColumn id="1785" xr3:uid="{991B0BCE-D1E5-4161-98EB-44CCBDA2EAAB}" name="Spalte1768"/>
    <tableColumn id="1786" xr3:uid="{F283F955-8D89-4A21-98A9-C50DD9B77FCA}" name="Spalte1769"/>
    <tableColumn id="1787" xr3:uid="{21F11B42-DF81-40B7-8E18-419FB7F72DB8}" name="Spalte1770"/>
    <tableColumn id="1788" xr3:uid="{10FF4092-D37A-439A-A022-990B5C934186}" name="Spalte1771"/>
    <tableColumn id="1789" xr3:uid="{75A504FA-6611-41AB-A804-F30FAA7B32BD}" name="Spalte1772"/>
    <tableColumn id="1790" xr3:uid="{F5E98F56-3DAC-4A3F-A47A-C0B44AEFFBB5}" name="Spalte1773"/>
    <tableColumn id="1791" xr3:uid="{411B51E8-424A-4A94-9885-CFA97B04806E}" name="Spalte1774"/>
    <tableColumn id="1792" xr3:uid="{BEC4B1E6-4426-40E0-B957-DB8693A17B85}" name="Spalte1775"/>
    <tableColumn id="1793" xr3:uid="{441CCD25-8A73-4793-8A6B-4FB2FCB43C64}" name="Spalte1776"/>
    <tableColumn id="1794" xr3:uid="{8DE44A6C-C231-4518-96C3-34A6954C8E92}" name="Spalte1777"/>
    <tableColumn id="1795" xr3:uid="{31ECE487-62B1-4C67-88EA-EED1C0BD8147}" name="Spalte1778"/>
    <tableColumn id="1796" xr3:uid="{A171D83A-1FBC-49DC-9C0E-1EF1440B164E}" name="Spalte1779"/>
    <tableColumn id="1797" xr3:uid="{B1996A96-9761-4AEB-895E-E2ACDA9B693F}" name="Spalte1780"/>
    <tableColumn id="1798" xr3:uid="{7A80CEC3-4EA3-47D0-B457-C59B192E0B7E}" name="Spalte1781"/>
    <tableColumn id="1799" xr3:uid="{80AD6C08-8987-4C5B-A9D6-08AEFB3D293E}" name="Spalte1782"/>
    <tableColumn id="1800" xr3:uid="{10E4C00B-5A4D-42F4-88B4-12B8D1D05E44}" name="Spalte1783"/>
    <tableColumn id="1801" xr3:uid="{84F959F3-427E-4231-8D88-D383A9E47697}" name="Spalte1784"/>
    <tableColumn id="1802" xr3:uid="{F6B2EB0F-7B02-4E7C-86A1-13F8D8018947}" name="Spalte1785"/>
    <tableColumn id="1803" xr3:uid="{96D137EA-D413-4BD2-8F38-9C8A03E4512B}" name="Spalte1786"/>
    <tableColumn id="1804" xr3:uid="{77237618-65DC-4E5F-93B6-F132F359FE72}" name="Spalte1787"/>
    <tableColumn id="1805" xr3:uid="{F7CF466C-E4FB-4269-B80F-9CB2B878BA14}" name="Spalte1788"/>
    <tableColumn id="1806" xr3:uid="{5BBDCF97-1CBA-4AD6-8813-6510190C2C1B}" name="Spalte1789"/>
    <tableColumn id="1807" xr3:uid="{6CAD0BCC-EACD-45DD-B3D3-53ADC6025656}" name="Spalte1790"/>
    <tableColumn id="1808" xr3:uid="{13F95DA2-A896-4F8B-B540-553F11C50543}" name="Spalte1791"/>
    <tableColumn id="1809" xr3:uid="{81EC531B-6600-4D54-AC81-5A84D6339C7D}" name="Spalte1792"/>
    <tableColumn id="1810" xr3:uid="{E59A044D-1F9B-4A78-9CC0-4DCBA3DCB698}" name="Spalte1793"/>
    <tableColumn id="1811" xr3:uid="{CFF71300-9E12-4C07-9258-437DD7C1F04F}" name="Spalte1794"/>
    <tableColumn id="1812" xr3:uid="{B7DDD7C2-FFCE-4BE9-8DED-3863B9EC1C07}" name="Spalte1795"/>
    <tableColumn id="1813" xr3:uid="{ABCC49D1-5753-41A9-8CB4-C63FF3CF735C}" name="Spalte1796"/>
    <tableColumn id="1814" xr3:uid="{2DEA8187-9140-41F6-A94A-1ECAFD235271}" name="Spalte1797"/>
    <tableColumn id="1815" xr3:uid="{B81ADA9F-08AE-43F8-A6C1-BB805F2C4273}" name="Spalte1798"/>
    <tableColumn id="1816" xr3:uid="{E1D3FA94-D42C-4080-B56C-9295381B68CC}" name="Spalte1799"/>
    <tableColumn id="1817" xr3:uid="{15859562-B1DD-4F8B-922A-1F5D74D9F0DB}" name="Spalte1800"/>
    <tableColumn id="1818" xr3:uid="{22129DBF-E757-4664-8291-A9EA63D0017F}" name="Spalte1801"/>
    <tableColumn id="1819" xr3:uid="{663974C9-E4CF-443E-AFE2-56F5E6B24284}" name="Spalte1802"/>
    <tableColumn id="1820" xr3:uid="{24B5E842-166B-4053-B942-14B2E1DBFD1C}" name="Spalte1803"/>
    <tableColumn id="1821" xr3:uid="{133AED23-7AA3-47E1-ABCF-377EEF68CE55}" name="Spalte1804"/>
    <tableColumn id="1822" xr3:uid="{B3E58D24-E789-4082-B508-DACF0F5C5CB3}" name="Spalte1805"/>
    <tableColumn id="1823" xr3:uid="{7AC8D587-5CD9-4349-A724-DA85D4CF42F4}" name="Spalte1806"/>
    <tableColumn id="1824" xr3:uid="{2ECE7953-B16E-415C-AB9B-A05E7BEAC807}" name="Spalte1807"/>
    <tableColumn id="1825" xr3:uid="{07C6E9E5-0A2D-430A-A4E7-CD54EA423B3E}" name="Spalte1808"/>
    <tableColumn id="1826" xr3:uid="{DDC6F817-76CA-43ED-AD5F-8CBF685BEDB9}" name="Spalte1809"/>
    <tableColumn id="1827" xr3:uid="{4F1AF957-7A82-44F3-BDAC-A3812CCEADD9}" name="Spalte1810"/>
    <tableColumn id="1828" xr3:uid="{65BF9853-D990-44B1-825F-DB915E596ED7}" name="Spalte1811"/>
    <tableColumn id="1829" xr3:uid="{1E5CFDB5-7C19-4439-9688-8E04F81756D7}" name="Spalte1812"/>
    <tableColumn id="1830" xr3:uid="{496A260C-BC05-4AF0-B4FE-FFC60E8E6AAA}" name="Spalte1813"/>
    <tableColumn id="1831" xr3:uid="{F570A2B7-8BC0-4168-A45B-22449A385D3F}" name="Spalte1814"/>
    <tableColumn id="1832" xr3:uid="{6E73B9C6-EDA3-41A4-932D-7CB7ECCB05B9}" name="Spalte1815"/>
    <tableColumn id="1833" xr3:uid="{080945F1-2EFA-4B33-87C6-41F5FE64B8DF}" name="Spalte1816"/>
    <tableColumn id="1834" xr3:uid="{1E504A7C-48ED-4ECA-993A-06292A249BD1}" name="Spalte1817"/>
    <tableColumn id="1835" xr3:uid="{81D35B62-2AE0-47C4-95CF-5111F1EC329D}" name="Spalte1818"/>
    <tableColumn id="1836" xr3:uid="{81484D75-4C15-497D-BC50-8668397CBAEA}" name="Spalte1819"/>
    <tableColumn id="1837" xr3:uid="{9F2C41C8-C1ED-4514-BC09-42C567A46878}" name="Spalte1820"/>
    <tableColumn id="1838" xr3:uid="{B391E392-8E5B-4BF5-AF1F-4971B8635153}" name="Spalte1821"/>
    <tableColumn id="1839" xr3:uid="{80A8D244-2675-40A3-88ED-5808E9AC7644}" name="Spalte1822"/>
    <tableColumn id="1840" xr3:uid="{665C299C-88A0-41BB-BABF-A0E480A225F5}" name="Spalte1823"/>
    <tableColumn id="1841" xr3:uid="{B9D96734-C555-4B5A-AE25-1D1F29E41571}" name="Spalte1824"/>
    <tableColumn id="1842" xr3:uid="{D1C563E4-C7C9-47A3-B67E-8B381AA1B001}" name="Spalte1825"/>
    <tableColumn id="1843" xr3:uid="{9EF8B249-CA4E-4D52-97DE-EBBB089AC203}" name="Spalte1826"/>
    <tableColumn id="1844" xr3:uid="{AEA0D2DE-E079-49A0-B5DD-8583E9AADBDC}" name="Spalte1827"/>
    <tableColumn id="1845" xr3:uid="{9C616D2F-4B74-467B-A4E2-004725E1D894}" name="Spalte1828"/>
    <tableColumn id="1846" xr3:uid="{3150D619-9531-4EC3-B84A-AA5C2CFB3429}" name="Spalte1829"/>
    <tableColumn id="1847" xr3:uid="{8F86E664-4308-42BC-81B3-9CB51CDECEF6}" name="Spalte1830"/>
    <tableColumn id="1848" xr3:uid="{4AF409E6-2A6B-4E86-A5D6-B50464E963AE}" name="Spalte1831"/>
    <tableColumn id="1849" xr3:uid="{9C8F9AAC-B956-4A74-9DCF-4846923EF52E}" name="Spalte1832"/>
    <tableColumn id="1850" xr3:uid="{D76C7E85-F079-48AC-B76A-53A0D06F1880}" name="Spalte1833"/>
    <tableColumn id="1851" xr3:uid="{E00B1458-C68C-4762-A57F-C7D8EA33536E}" name="Spalte1834"/>
    <tableColumn id="1852" xr3:uid="{B1A7BA97-9BE3-47B2-8B93-443E55CA2F3A}" name="Spalte1835"/>
    <tableColumn id="1853" xr3:uid="{9E8AE1D0-1BD2-4153-BF24-9CF29EEE22C6}" name="Spalte1836"/>
    <tableColumn id="1854" xr3:uid="{178CF215-3CBE-46CF-811D-C7D095289A63}" name="Spalte1837"/>
    <tableColumn id="1855" xr3:uid="{D08C9FD0-FF87-4F7D-A99F-ED7048CA08E4}" name="Spalte1838"/>
    <tableColumn id="1856" xr3:uid="{F4526C68-F090-4992-B9F3-A664AA517C4F}" name="Spalte1839"/>
    <tableColumn id="1857" xr3:uid="{1675B6FE-2520-4C8F-912C-23B3005137B7}" name="Spalte1840"/>
    <tableColumn id="1858" xr3:uid="{7CFF42DA-6CCD-4281-9756-794152EF4458}" name="Spalte1841"/>
    <tableColumn id="1859" xr3:uid="{E3208693-B645-41F5-BCED-8B76E1F58A26}" name="Spalte1842"/>
    <tableColumn id="1860" xr3:uid="{9882F6B2-28B5-4729-882B-0B99498BAA5E}" name="Spalte1843"/>
    <tableColumn id="1861" xr3:uid="{29CE9B1C-05B7-4D2A-9A92-6178F3595A7C}" name="Spalte1844"/>
    <tableColumn id="1862" xr3:uid="{106395AD-FADD-424E-8319-A906884C52FD}" name="Spalte1845"/>
    <tableColumn id="1863" xr3:uid="{B843BF15-06BE-48C4-BB11-0EA6CACE2390}" name="Spalte1846"/>
    <tableColumn id="1864" xr3:uid="{E0DA33D0-6537-44F2-B4BB-657ACA65F24B}" name="Spalte1847"/>
    <tableColumn id="1865" xr3:uid="{E386CEA0-AAFA-439B-B1B8-5B88221EC575}" name="Spalte1848"/>
    <tableColumn id="1866" xr3:uid="{D993FBFF-BCC9-4F46-B539-ABB8697CF350}" name="Spalte1849"/>
    <tableColumn id="1867" xr3:uid="{6626D4A1-B57F-471A-A65D-32DA9255A37D}" name="Spalte1850"/>
    <tableColumn id="1868" xr3:uid="{E069C723-1DE6-4831-9329-97565102E40B}" name="Spalte1851"/>
    <tableColumn id="1869" xr3:uid="{6B25F58B-6F87-4DEF-AAB1-5D8A207414F2}" name="Spalte1852"/>
    <tableColumn id="1870" xr3:uid="{98466BD0-CA57-48B3-B63D-DAD5C93FF7A7}" name="Spalte1853"/>
    <tableColumn id="1871" xr3:uid="{D0A16440-137F-459A-8A2C-7853651A6229}" name="Spalte1854"/>
    <tableColumn id="1872" xr3:uid="{72C025FA-E961-4DD7-B2A2-569C84EA3B27}" name="Spalte1855"/>
    <tableColumn id="1873" xr3:uid="{F4B98BE7-C28B-44F0-B189-D49F41DBD6F5}" name="Spalte1856"/>
    <tableColumn id="1874" xr3:uid="{207960F9-9432-4E06-9131-32B530CA38AD}" name="Spalte1857"/>
    <tableColumn id="1875" xr3:uid="{20EA965E-0C65-4CA0-8E06-48E5C722445B}" name="Spalte1858"/>
    <tableColumn id="1876" xr3:uid="{E23CC574-CAD1-4E6E-B8D9-4C04394D051B}" name="Spalte1859"/>
    <tableColumn id="1877" xr3:uid="{6AFF1FDB-D4BA-4910-A43F-DE19781FA05A}" name="Spalte1860"/>
    <tableColumn id="1878" xr3:uid="{1E7C3D0F-D541-4532-8607-9DB5BB4282EC}" name="Spalte1861"/>
    <tableColumn id="1879" xr3:uid="{F3FA90B3-909E-4836-8837-F64FACB2C108}" name="Spalte1862"/>
    <tableColumn id="1880" xr3:uid="{F730CF0B-0141-41DE-86FE-6BA4434FA86F}" name="Spalte1863"/>
    <tableColumn id="1881" xr3:uid="{F631B3F5-BD3D-40D5-936B-9B9DE8CF04E6}" name="Spalte1864"/>
    <tableColumn id="1882" xr3:uid="{47E99754-72D1-46B4-9488-D7002FE61E8D}" name="Spalte1865"/>
    <tableColumn id="1883" xr3:uid="{F41DC3BD-BEEF-42E9-8471-4FF59A199FA2}" name="Spalte1866"/>
    <tableColumn id="1884" xr3:uid="{3A15673E-28ED-4DCB-93C1-EA6E7969BB7D}" name="Spalte1867"/>
    <tableColumn id="1885" xr3:uid="{58EA43CA-EC15-4E66-AFC7-3724A4D18CB0}" name="Spalte1868"/>
    <tableColumn id="1886" xr3:uid="{0FBCD223-5C5A-4673-83C0-6E1F76054DA7}" name="Spalte1869"/>
    <tableColumn id="1887" xr3:uid="{6247C489-A837-4EF5-8294-08CC405DA12A}" name="Spalte1870"/>
    <tableColumn id="1888" xr3:uid="{2E4396F7-6F9A-4417-8DCC-55CF70FE17DC}" name="Spalte1871"/>
    <tableColumn id="1889" xr3:uid="{E2279F4D-BF56-4BDC-89A0-3C696A6801D1}" name="Spalte1872"/>
    <tableColumn id="1890" xr3:uid="{188E46DF-2693-4E01-8117-BB8E77176528}" name="Spalte1873"/>
    <tableColumn id="1891" xr3:uid="{F80EC97D-C274-43C5-A415-5E30CFC9ABF3}" name="Spalte1874"/>
    <tableColumn id="1892" xr3:uid="{C1F47CBE-EEF7-4A01-9065-DD783A436FDB}" name="Spalte1875"/>
    <tableColumn id="1893" xr3:uid="{2FA9B5CF-B107-45AF-868A-E78C072A7F3E}" name="Spalte1876"/>
    <tableColumn id="1894" xr3:uid="{9D896130-08AD-49C8-8324-2965C04BFEBD}" name="Spalte1877"/>
    <tableColumn id="1895" xr3:uid="{033914F3-6E0D-4299-8CFD-4CCB2192F97C}" name="Spalte1878"/>
    <tableColumn id="1896" xr3:uid="{0228EE91-E608-40C3-BB6A-A86185198C9C}" name="Spalte1879"/>
    <tableColumn id="1897" xr3:uid="{F7AE284A-75DC-4783-924A-81CC35656716}" name="Spalte1880"/>
    <tableColumn id="1898" xr3:uid="{AB79DFAD-2474-4A67-8705-832DA87B6956}" name="Spalte1881"/>
    <tableColumn id="1899" xr3:uid="{4310DC0E-185D-4BB1-8163-3449B6514A6E}" name="Spalte1882"/>
    <tableColumn id="1900" xr3:uid="{C020F4D2-A2C0-4D58-8F93-B3F571DE0C35}" name="Spalte1883"/>
    <tableColumn id="1901" xr3:uid="{7EA69F6F-BC80-478D-A950-C8D99FA4681E}" name="Spalte1884"/>
    <tableColumn id="1902" xr3:uid="{C66D567A-ACAF-491B-AC2D-2553D581E536}" name="Spalte1885"/>
    <tableColumn id="1903" xr3:uid="{49C202B5-783A-4FEE-A822-0AC3A88B6677}" name="Spalte1886"/>
    <tableColumn id="1904" xr3:uid="{B050D8D5-058B-4E63-AE73-C99D1660C4AF}" name="Spalte1887"/>
    <tableColumn id="1905" xr3:uid="{C231B572-3649-403D-8D86-78226BD12CD3}" name="Spalte1888"/>
    <tableColumn id="1906" xr3:uid="{7055D016-75AE-45B6-A9D6-283FD41A19DC}" name="Spalte1889"/>
    <tableColumn id="1907" xr3:uid="{23763817-BF65-4B7F-9DB3-B4CC725C36E1}" name="Spalte1890"/>
    <tableColumn id="1908" xr3:uid="{4B7937E8-23F2-49AB-9ED3-02F997646687}" name="Spalte1891"/>
    <tableColumn id="1909" xr3:uid="{97017BB8-58C8-4AF5-8FB4-80F30E106FC6}" name="Spalte1892"/>
    <tableColumn id="1910" xr3:uid="{488E2AE5-F7FD-4BEA-903F-EEBCFC84AAE8}" name="Spalte1893"/>
    <tableColumn id="1911" xr3:uid="{1B962239-6E56-40DF-B6A8-1FFDA34F28AD}" name="Spalte1894"/>
    <tableColumn id="1912" xr3:uid="{05EF076D-B717-4BC3-B9DC-039B83F83CE8}" name="Spalte1895"/>
    <tableColumn id="1913" xr3:uid="{9B870CC3-2A01-4730-A79F-283175F873F8}" name="Spalte1896"/>
    <tableColumn id="1914" xr3:uid="{15CF9843-D732-4234-81B3-E563ADA45398}" name="Spalte1897"/>
    <tableColumn id="1915" xr3:uid="{DC863E27-4AC0-4D95-8B7C-56BF34570E59}" name="Spalte1898"/>
    <tableColumn id="1916" xr3:uid="{DB4024BB-DBC6-40D8-ADA9-1DE9ED230BC4}" name="Spalte1899"/>
    <tableColumn id="1917" xr3:uid="{130D2164-19F1-4CE0-898E-4D562958D330}" name="Spalte1900"/>
    <tableColumn id="1918" xr3:uid="{6E36D818-1501-4DC4-9B6C-C4813FE13FBF}" name="Spalte1901"/>
    <tableColumn id="1919" xr3:uid="{4A4341B0-0B11-428F-A03C-E212269E3CFE}" name="Spalte1902"/>
    <tableColumn id="1920" xr3:uid="{1A9D2948-DF41-47E3-B55A-52B6D66902EB}" name="Spalte1903"/>
    <tableColumn id="1921" xr3:uid="{F83B4EA6-1F4F-466D-9906-B2A010D69E03}" name="Spalte1904"/>
    <tableColumn id="1922" xr3:uid="{CE4B5248-8303-488B-9A37-B159AA153BA7}" name="Spalte1905"/>
    <tableColumn id="1923" xr3:uid="{D0B46320-9268-424B-A6F1-77A6CF99874D}" name="Spalte1906"/>
    <tableColumn id="1924" xr3:uid="{86178ADE-703F-4325-952F-5F7EA9EFD70C}" name="Spalte1907"/>
    <tableColumn id="1925" xr3:uid="{BA6E9CCC-0965-4C6D-AC52-1B2AED220C7A}" name="Spalte1908"/>
    <tableColumn id="1926" xr3:uid="{5C2CC513-2F0F-45D0-A023-43C623661FB6}" name="Spalte1909"/>
    <tableColumn id="1927" xr3:uid="{6850744A-7A72-4340-91E7-A920AAC282DB}" name="Spalte1910"/>
    <tableColumn id="1928" xr3:uid="{26149BE1-C678-4B06-ACD7-5CCCBC6D19CC}" name="Spalte1911"/>
    <tableColumn id="1929" xr3:uid="{924CF8EC-6323-4C98-BD98-7DEB31E13A3E}" name="Spalte1912"/>
    <tableColumn id="1930" xr3:uid="{170ACDC9-7D30-4E80-8A15-6868EACE0F1C}" name="Spalte1913"/>
    <tableColumn id="1931" xr3:uid="{42DA0090-2004-4AE6-AE70-EBE3D0C93EC5}" name="Spalte1914"/>
    <tableColumn id="1932" xr3:uid="{7B96E262-DA76-49C1-AC82-F1CC04775E6C}" name="Spalte1915"/>
    <tableColumn id="1933" xr3:uid="{53D288D0-9C76-45B8-A800-462BF1687A81}" name="Spalte1916"/>
    <tableColumn id="1934" xr3:uid="{27E7C2F6-ABF7-41F2-A491-D7AAF3CB87F1}" name="Spalte1917"/>
    <tableColumn id="1935" xr3:uid="{3C6FAC9D-8932-431C-B747-E8594B10E979}" name="Spalte1918"/>
    <tableColumn id="1936" xr3:uid="{37D22882-A34F-4353-B8AA-E1B85AF588B0}" name="Spalte1919"/>
    <tableColumn id="1937" xr3:uid="{67F79AEC-7B04-4904-AD50-3A19673EAD52}" name="Spalte1920"/>
    <tableColumn id="1938" xr3:uid="{C3F9BFAE-E10C-41E5-AD47-BE2A870105DA}" name="Spalte1921"/>
    <tableColumn id="1939" xr3:uid="{EE9D9B9D-193F-4039-8538-3568FB71129D}" name="Spalte1922"/>
    <tableColumn id="1940" xr3:uid="{94B8E9A3-2DDC-47A1-98B8-A39959BD8420}" name="Spalte1923"/>
    <tableColumn id="1941" xr3:uid="{7F338870-1CD5-4B34-B652-25A2B7F82782}" name="Spalte1924"/>
    <tableColumn id="1942" xr3:uid="{88520E27-1142-4D51-8784-2EE49C7F1BF7}" name="Spalte1925"/>
    <tableColumn id="1943" xr3:uid="{E0761AD8-6968-49C4-9440-C4AA1085DE81}" name="Spalte1926"/>
    <tableColumn id="1944" xr3:uid="{CFD6F8DD-0EF2-4843-9D90-446E05925F82}" name="Spalte1927"/>
    <tableColumn id="1945" xr3:uid="{5B94FF6D-7929-47E7-ADAE-EA8FC78710FB}" name="Spalte1928"/>
    <tableColumn id="1946" xr3:uid="{05AFBFD8-57B6-46CF-8F2A-81E5DB32619A}" name="Spalte1929"/>
    <tableColumn id="1947" xr3:uid="{B2669479-2266-4A31-9A19-AB3344898075}" name="Spalte1930"/>
    <tableColumn id="1948" xr3:uid="{143B411B-FEF4-49EE-ADDE-1F08ACA42089}" name="Spalte1931"/>
    <tableColumn id="1949" xr3:uid="{3B0A3A8B-4684-4DEC-A698-5DB93C17B2C6}" name="Spalte1932"/>
    <tableColumn id="1950" xr3:uid="{E4BC9B70-0B7F-4446-A178-DF2BFCF21051}" name="Spalte1933"/>
    <tableColumn id="1951" xr3:uid="{CE78D456-8478-4AD6-BEAA-85071832CF09}" name="Spalte1934"/>
    <tableColumn id="1952" xr3:uid="{3A55B761-9A54-4E92-A010-822722E76139}" name="Spalte1935"/>
    <tableColumn id="1953" xr3:uid="{7068466E-3E57-46E2-A9EF-E267475AA55C}" name="Spalte1936"/>
    <tableColumn id="1954" xr3:uid="{2E57F87B-98EC-4FB4-9402-0954EB901D17}" name="Spalte1937"/>
    <tableColumn id="1955" xr3:uid="{D4219857-63ED-4F81-9376-28D194FB38EC}" name="Spalte1938"/>
    <tableColumn id="1956" xr3:uid="{AA08D085-A3F5-47E5-A575-89DCD14BE956}" name="Spalte1939"/>
    <tableColumn id="1957" xr3:uid="{A0D05BF6-3BA0-477E-86CC-F30D469AF681}" name="Spalte1940"/>
    <tableColumn id="1958" xr3:uid="{519B4CE0-6D97-4B5B-87AD-7702FD6D42E5}" name="Spalte1941"/>
    <tableColumn id="1959" xr3:uid="{1D39989A-9443-4523-9904-B8F29B8C453F}" name="Spalte1942"/>
    <tableColumn id="1960" xr3:uid="{0DD9744B-B5BB-43EB-B1C8-766248D24F2B}" name="Spalte1943"/>
    <tableColumn id="1961" xr3:uid="{3EA355D1-843F-40F5-BD15-1582E9986614}" name="Spalte1944"/>
    <tableColumn id="1962" xr3:uid="{0BAA3B7A-25A9-469D-B2C4-0D17F71FA271}" name="Spalte1945"/>
    <tableColumn id="1963" xr3:uid="{B02533B3-1B2A-4B11-8B0E-7A2CFDDC44CA}" name="Spalte1946"/>
    <tableColumn id="1964" xr3:uid="{F27C99C4-E948-4ECF-BD96-A40E9CEBEDA3}" name="Spalte1947"/>
    <tableColumn id="1965" xr3:uid="{1D194264-AAD8-4A7E-8B7F-E44B7503F89F}" name="Spalte1948"/>
    <tableColumn id="1966" xr3:uid="{88872076-4100-4527-B446-9A89150CD0DA}" name="Spalte1949"/>
    <tableColumn id="1967" xr3:uid="{FE5F445C-2F82-4014-AB24-6A1A57D008A7}" name="Spalte1950"/>
    <tableColumn id="1968" xr3:uid="{1A32C450-DEBD-451D-BBF4-CB37ECC555A6}" name="Spalte1951"/>
    <tableColumn id="1969" xr3:uid="{2D599ED5-A171-4D10-9495-338D3376C6CF}" name="Spalte1952"/>
    <tableColumn id="1970" xr3:uid="{BD98D7D9-1942-467B-B4AF-528773F2FCB4}" name="Spalte1953"/>
    <tableColumn id="1971" xr3:uid="{CB876556-A348-4B31-B61B-F0426B40DC66}" name="Spalte1954"/>
    <tableColumn id="1972" xr3:uid="{EFDE19F5-5AD5-4BC8-B1D2-FE70C6ED9DEC}" name="Spalte1955"/>
    <tableColumn id="1973" xr3:uid="{2E22BA36-EBDF-4354-B824-B7A32F39CAB7}" name="Spalte1956"/>
    <tableColumn id="1974" xr3:uid="{4204ECFC-3531-4A9C-803D-78772E12160D}" name="Spalte1957"/>
    <tableColumn id="1975" xr3:uid="{03F2E144-9EB5-4B74-B3AE-F1B0A73620CC}" name="Spalte1958"/>
    <tableColumn id="1976" xr3:uid="{DE6AB287-D5EC-4568-9CDC-62F4CC0F005F}" name="Spalte1959"/>
    <tableColumn id="1977" xr3:uid="{6FDA3977-0696-4ED6-B694-BE197E727363}" name="Spalte1960"/>
    <tableColumn id="1978" xr3:uid="{CEB9A41E-A468-454B-978F-B47502CA80AB}" name="Spalte1961"/>
    <tableColumn id="1979" xr3:uid="{F5B8EC1F-A76F-4981-87F7-ECBB38881BBD}" name="Spalte1962"/>
    <tableColumn id="1980" xr3:uid="{589CB8E6-87F8-4D49-8CA0-EE2E2D4994EF}" name="Spalte1963"/>
    <tableColumn id="1981" xr3:uid="{2FB5E6EF-6E6C-40F8-AF46-02F174D6ABC9}" name="Spalte1964"/>
    <tableColumn id="1982" xr3:uid="{B497FE54-6A87-42DE-BBBD-A2F31B9BB791}" name="Spalte1965"/>
    <tableColumn id="1983" xr3:uid="{6A8E98B7-3E34-4D87-8941-D9D20F874D87}" name="Spalte1966"/>
    <tableColumn id="1984" xr3:uid="{064E278D-09CD-4BDC-8B4C-71998069BBDD}" name="Spalte1967"/>
    <tableColumn id="1985" xr3:uid="{E0613DA5-C90E-40E7-8296-3331DCED9047}" name="Spalte1968"/>
    <tableColumn id="1986" xr3:uid="{386A0F30-1C6B-43A0-9304-9CD6F7CCD48C}" name="Spalte1969"/>
    <tableColumn id="1987" xr3:uid="{D32C3026-B6AA-473E-9752-3F9A740CD6B5}" name="Spalte1970"/>
    <tableColumn id="1988" xr3:uid="{3C02A7DC-76AA-4112-ADE6-6F427FD03B14}" name="Spalte1971"/>
    <tableColumn id="1989" xr3:uid="{66DF3C23-D5F3-46BF-8E00-832B2E62B74A}" name="Spalte1972"/>
    <tableColumn id="1990" xr3:uid="{A7766BDE-BEBA-406C-BF91-8BE943D0A03C}" name="Spalte1973"/>
    <tableColumn id="1991" xr3:uid="{AD5EAD9A-DFF6-434F-A51E-A2DB8B4F293E}" name="Spalte1974"/>
    <tableColumn id="1992" xr3:uid="{C91AE972-5773-4B55-86E6-E42902EC4A8E}" name="Spalte1975"/>
    <tableColumn id="1993" xr3:uid="{FE748CCA-CD2C-4B34-9023-8D152E4D4335}" name="Spalte1976"/>
    <tableColumn id="1994" xr3:uid="{9CB0CC57-3B76-41AF-BF98-E01FF79A0723}" name="Spalte1977"/>
    <tableColumn id="1995" xr3:uid="{DFFADF62-3F29-4765-9FCA-33C2175B0CA6}" name="Spalte1978"/>
    <tableColumn id="1996" xr3:uid="{6B6C1B7E-CDBF-48E9-9952-A8E6C6F350D8}" name="Spalte1979"/>
    <tableColumn id="1997" xr3:uid="{07AC0749-5958-46D3-9988-B07FDF202F95}" name="Spalte1980"/>
    <tableColumn id="1998" xr3:uid="{6556DAB3-E2BE-43FF-A5C5-9EE969C5BEC8}" name="Spalte1981"/>
    <tableColumn id="1999" xr3:uid="{58BCD054-60A7-468A-9009-F4C84C68D595}" name="Spalte1982"/>
    <tableColumn id="2000" xr3:uid="{2B167640-B9DF-4785-99BE-9A6A02F613F7}" name="Spalte1983"/>
    <tableColumn id="2001" xr3:uid="{521D403D-E3C8-4140-B3BD-4201761136E6}" name="Spalte1984"/>
    <tableColumn id="2002" xr3:uid="{DE90537B-87F8-4533-B72D-596AFF464534}" name="Spalte1985"/>
    <tableColumn id="2003" xr3:uid="{48E2EDA7-1A33-4D6B-8DBD-847709F37CA8}" name="Spalte1986"/>
    <tableColumn id="2004" xr3:uid="{BEB680CF-4BD3-409E-9619-5834893F56A8}" name="Spalte1987"/>
    <tableColumn id="2005" xr3:uid="{F706E67E-AF47-42C0-B30D-C27A51425F39}" name="Spalte1988"/>
    <tableColumn id="2006" xr3:uid="{68ABAC52-CF31-4BBF-ACAB-EE42C3B0FB8B}" name="Spalte1989"/>
    <tableColumn id="2007" xr3:uid="{3C0B7091-9973-4F31-972C-1A042DF91BB2}" name="Spalte1990"/>
    <tableColumn id="2008" xr3:uid="{79D6D7E8-C7AD-4FAD-92EE-DF133349564C}" name="Spalte1991"/>
    <tableColumn id="2009" xr3:uid="{9EC0E1FF-D6B4-40C8-B6F5-E324FAB51DD6}" name="Spalte1992"/>
    <tableColumn id="2010" xr3:uid="{067A74AD-8F0D-4E3A-AD5F-F84275EA2DD7}" name="Spalte1993"/>
    <tableColumn id="2011" xr3:uid="{26606C90-CD5B-48C3-B364-1DDF1B88C217}" name="Spalte1994"/>
    <tableColumn id="2012" xr3:uid="{9F7F04B9-480B-426B-BFB6-8DF0735C7E32}" name="Spalte1995"/>
    <tableColumn id="2013" xr3:uid="{9C5E0110-5D4D-4F19-BA7F-1D6311161164}" name="Spalte1996"/>
    <tableColumn id="2014" xr3:uid="{8E267E12-8A3E-4745-A2B3-125E7F5384C2}" name="Spalte1997"/>
    <tableColumn id="2015" xr3:uid="{FAF0B018-F437-46CE-8AC6-42276372A830}" name="Spalte1998"/>
    <tableColumn id="2016" xr3:uid="{1877B85D-F3E1-430B-A7ED-01FCDB81C259}" name="Spalte1999"/>
    <tableColumn id="2017" xr3:uid="{59340615-446E-4B99-887E-D8EDA332F9CA}" name="Spalte2000"/>
    <tableColumn id="2018" xr3:uid="{97A90903-3E0C-449A-8663-C64C5D7171BB}" name="Spalte2001"/>
    <tableColumn id="2019" xr3:uid="{D1E5F654-0BCD-48CE-A3A5-48B59ADF58EC}" name="Spalte2002"/>
    <tableColumn id="2020" xr3:uid="{522AC42F-D119-4C2A-BF7E-FB6446A64F4E}" name="Spalte2003"/>
    <tableColumn id="2021" xr3:uid="{49D49818-64E6-4B85-808A-789A53FF60E0}" name="Spalte2004"/>
    <tableColumn id="2022" xr3:uid="{80845663-1EF8-41CF-8FD7-CCBFC6476153}" name="Spalte2005"/>
    <tableColumn id="2023" xr3:uid="{84E7388E-16F6-4C1B-BACA-C6BD855F46F2}" name="Spalte2006"/>
    <tableColumn id="2024" xr3:uid="{E6E582E5-BC6C-44B4-B437-2F9288D449B5}" name="Spalte2007"/>
    <tableColumn id="2025" xr3:uid="{E39DDF1D-8B7F-4BFA-9208-CC3F65AB85C9}" name="Spalte2008"/>
    <tableColumn id="2026" xr3:uid="{808507E0-B156-40CF-83F0-7DC8C15DDD5D}" name="Spalte2009"/>
    <tableColumn id="2027" xr3:uid="{63731A99-DDA5-4146-BD7F-DE119595518B}" name="Spalte2010"/>
    <tableColumn id="2028" xr3:uid="{26893AE7-A51C-42B6-9D2D-1320F649F50D}" name="Spalte2011"/>
    <tableColumn id="2029" xr3:uid="{591C8F6A-C82B-451B-9024-5AD0489D5CA6}" name="Spalte2012"/>
    <tableColumn id="2030" xr3:uid="{DE1ABE65-8B5F-474F-9858-1ECB54AD96AD}" name="Spalte2013"/>
    <tableColumn id="2031" xr3:uid="{DE5CC9C6-BB6A-43F6-8EBD-23E873FE3C81}" name="Spalte2014"/>
    <tableColumn id="2032" xr3:uid="{68CC5354-1E47-4019-8F74-ED8F2F47007B}" name="Spalte2015"/>
    <tableColumn id="2033" xr3:uid="{DE3C8191-CCED-4722-B836-BA1AEB6DC0AA}" name="Spalte2016"/>
    <tableColumn id="2034" xr3:uid="{F3F84C30-A630-44A9-806C-69B13C577CDF}" name="Spalte2017"/>
    <tableColumn id="2035" xr3:uid="{3EC8ABB3-C63D-4972-9C9B-485A880AC600}" name="Spalte2018"/>
    <tableColumn id="2036" xr3:uid="{9FABDE2E-2CF8-4276-8EDE-25B67263F346}" name="Spalte2019"/>
    <tableColumn id="2037" xr3:uid="{83B7EBC3-365F-488E-A579-5DF530B6E339}" name="Spalte2020"/>
    <tableColumn id="2038" xr3:uid="{A939B4DB-4F0C-4477-8CDE-616CDDD4A608}" name="Spalte2021"/>
    <tableColumn id="2039" xr3:uid="{673446A0-C43B-42DD-BED1-787DC1A4CE3A}" name="Spalte2022"/>
    <tableColumn id="2040" xr3:uid="{EA10609F-DACB-47E4-9F18-ACFD34AB8E78}" name="Spalte2023"/>
    <tableColumn id="2041" xr3:uid="{E336AD2A-42B8-417D-9562-B05DBC1F17BC}" name="Spalte2024"/>
    <tableColumn id="2042" xr3:uid="{FE6F9D91-4850-4FD3-8611-C1E132F1C214}" name="Spalte2025"/>
    <tableColumn id="2043" xr3:uid="{83A29ACB-2CAA-47B6-B6DD-754DF9D8CD9A}" name="Spalte2026"/>
    <tableColumn id="2044" xr3:uid="{62567641-1A1A-4922-85FF-EB65B1E756DE}" name="Spalte2027"/>
    <tableColumn id="2045" xr3:uid="{E8515154-EE32-44C6-8708-BC1BF46E5C6E}" name="Spalte2028"/>
    <tableColumn id="2046" xr3:uid="{A1E9027F-74B9-4A25-9BEA-A348DBB390CA}" name="Spalte2029"/>
    <tableColumn id="2047" xr3:uid="{7FBD0F9A-355A-42B0-894D-1F9F15EF8868}" name="Spalte2030"/>
    <tableColumn id="2048" xr3:uid="{00CA0E88-3C80-4309-8B33-971242C1E3D5}" name="Spalte2031"/>
    <tableColumn id="2049" xr3:uid="{37301E53-4B06-4426-BFF8-0875EA71B8A1}" name="Spalte2032"/>
    <tableColumn id="2050" xr3:uid="{36B13B0F-A1C0-4091-9910-7ADA198BE132}" name="Spalte2033"/>
    <tableColumn id="2051" xr3:uid="{80BCEB8B-E4EB-4968-9DA3-B415BFD18451}" name="Spalte2034"/>
    <tableColumn id="2052" xr3:uid="{E16BEAB7-1CEE-4B01-9F0B-8FABEC70D94E}" name="Spalte2035"/>
    <tableColumn id="2053" xr3:uid="{D49D78C3-D292-48DD-9644-1D9BEC310771}" name="Spalte2036"/>
    <tableColumn id="2054" xr3:uid="{964BBAC5-CFEA-4013-8BF3-9765087748E2}" name="Spalte2037"/>
    <tableColumn id="2055" xr3:uid="{0D7BD4AB-F0CD-4A3F-9755-2FD96C973D3B}" name="Spalte2038"/>
    <tableColumn id="2056" xr3:uid="{DD866943-C4A4-4ED1-817D-EF26FCD24E42}" name="Spalte2039"/>
    <tableColumn id="2057" xr3:uid="{AB724AC9-550A-4695-8D34-C0A459953198}" name="Spalte2040"/>
    <tableColumn id="2058" xr3:uid="{4217E7CD-CCC5-4BCD-A3B0-531245794DBD}" name="Spalte2041"/>
    <tableColumn id="2059" xr3:uid="{2A5E8BFD-9FBB-4914-AC87-F1DCAE6174BA}" name="Spalte2042"/>
    <tableColumn id="2060" xr3:uid="{151B71ED-E3AB-4B2B-A3FE-B004C342B490}" name="Spalte2043"/>
    <tableColumn id="2061" xr3:uid="{D6DB756F-BC78-46A3-8CCF-9E85D938F7E6}" name="Spalte2044"/>
    <tableColumn id="2062" xr3:uid="{4AD2424C-1C75-4824-9FAE-C4468A4E4023}" name="Spalte2045"/>
    <tableColumn id="2063" xr3:uid="{286613EE-869B-4A8E-8DDD-33457A9FA500}" name="Spalte2046"/>
    <tableColumn id="2064" xr3:uid="{E13AB46D-00B2-4DDB-9D2B-A0380980F4CA}" name="Spalte2047"/>
    <tableColumn id="2065" xr3:uid="{69119F0D-9CFB-4703-8A25-B698A19D8599}" name="Spalte2048"/>
    <tableColumn id="2066" xr3:uid="{65B867C5-C756-4C60-BEE8-5EE6360A4C52}" name="Spalte2049"/>
    <tableColumn id="2067" xr3:uid="{92A6BC2D-08F7-4023-9DC4-C25B2ADB5F34}" name="Spalte2050"/>
    <tableColumn id="2068" xr3:uid="{7179B817-6730-4183-AD21-BC0EF4F6C8E4}" name="Spalte2051"/>
    <tableColumn id="2069" xr3:uid="{6A1972EB-DD46-4EA0-B46A-B68D146566D6}" name="Spalte2052"/>
    <tableColumn id="2070" xr3:uid="{1CF8FCC9-B64B-4F60-800C-65CDE8680F4E}" name="Spalte2053"/>
    <tableColumn id="2071" xr3:uid="{C386620F-D19B-4175-BA8B-3977F3BA4C2E}" name="Spalte2054"/>
    <tableColumn id="2072" xr3:uid="{F1166721-EB5C-42D1-8964-50B262D5F078}" name="Spalte2055"/>
    <tableColumn id="2073" xr3:uid="{E17D8126-8081-47F6-9C04-B70F94B3F7C4}" name="Spalte2056"/>
    <tableColumn id="2074" xr3:uid="{0C5975BB-ACD5-4E85-AA49-115A48D84D6E}" name="Spalte2057"/>
    <tableColumn id="2075" xr3:uid="{720F73C9-CE63-469F-ACC7-BB7FAC37BE4C}" name="Spalte2058"/>
    <tableColumn id="2076" xr3:uid="{4E27A96B-1B58-4350-A5AE-59BAD2A7C874}" name="Spalte2059"/>
    <tableColumn id="2077" xr3:uid="{78A648B0-E10A-4333-8AFA-3BBED3E0C421}" name="Spalte2060"/>
    <tableColumn id="2078" xr3:uid="{7F06A2B8-BEB7-4992-BAA8-6923B4ABB018}" name="Spalte2061"/>
    <tableColumn id="2079" xr3:uid="{0549284A-CE63-4F94-BF57-FAF46F51122A}" name="Spalte2062"/>
    <tableColumn id="2080" xr3:uid="{F9ACB191-BC69-4B42-A8E4-60B7C2A2F7F5}" name="Spalte2063"/>
    <tableColumn id="2081" xr3:uid="{3ACB19A5-6BE5-4871-A067-BCE77F27A011}" name="Spalte2064"/>
    <tableColumn id="2082" xr3:uid="{973366FD-BF73-4832-8DB3-8BB32626A5E0}" name="Spalte2065"/>
    <tableColumn id="2083" xr3:uid="{464D51D1-26AB-4B49-9758-F6AA68619CE8}" name="Spalte2066"/>
    <tableColumn id="2084" xr3:uid="{56626D61-4CC4-4B2E-A56E-2A4CE7051999}" name="Spalte2067"/>
    <tableColumn id="2085" xr3:uid="{C175B4D1-AFEF-42F7-937E-71434D0A815F}" name="Spalte2068"/>
    <tableColumn id="2086" xr3:uid="{7EC5D1E4-68B9-4BD1-B675-CEEE85906A89}" name="Spalte2069"/>
    <tableColumn id="2087" xr3:uid="{4C066225-0503-4799-A52C-8E77E0969A76}" name="Spalte2070"/>
    <tableColumn id="2088" xr3:uid="{69F51328-E5CB-434A-BDD5-E6FB083E4045}" name="Spalte2071"/>
    <tableColumn id="2089" xr3:uid="{AF188706-25F4-46CE-81CD-07C96671CC28}" name="Spalte2072"/>
    <tableColumn id="2090" xr3:uid="{3023EEE8-9665-407D-A205-843087C43989}" name="Spalte2073"/>
    <tableColumn id="2091" xr3:uid="{467706F1-C99A-4359-9C2E-0C939308AC97}" name="Spalte2074"/>
    <tableColumn id="2092" xr3:uid="{F6EF4327-A079-4D01-8760-09F8A4BF3417}" name="Spalte2075"/>
    <tableColumn id="2093" xr3:uid="{EBE0C601-6A1D-433F-B0E9-30DFC68DAA5F}" name="Spalte2076"/>
    <tableColumn id="2094" xr3:uid="{893CB9F7-7535-4FD6-B1C7-D9B875A52BA0}" name="Spalte2077"/>
    <tableColumn id="2095" xr3:uid="{108A0468-4A46-464B-9224-0A5F5260F551}" name="Spalte2078"/>
    <tableColumn id="2096" xr3:uid="{94EAD6E6-85F6-48FF-BC72-1C824A1FEDB2}" name="Spalte2079"/>
    <tableColumn id="2097" xr3:uid="{D707C4BA-BB0C-4A0F-A2C7-1B64328BE3BD}" name="Spalte2080"/>
    <tableColumn id="2098" xr3:uid="{B2FF98F8-683F-4A77-8711-53A57C66F595}" name="Spalte2081"/>
    <tableColumn id="2099" xr3:uid="{01FFA331-5C74-4C9C-9BAF-EFD1B1CA2073}" name="Spalte2082"/>
    <tableColumn id="2100" xr3:uid="{93B3E550-3223-4C96-936E-53FCE55EEFA1}" name="Spalte2083"/>
    <tableColumn id="2101" xr3:uid="{A58113FF-8171-40AA-90E9-FCE270248D90}" name="Spalte2084"/>
    <tableColumn id="2102" xr3:uid="{09123FF5-F6CE-4086-8CA9-30E5BEBE955A}" name="Spalte2085"/>
    <tableColumn id="2103" xr3:uid="{A64AA071-5FB3-4CAC-A9A7-F9AE5BDE9378}" name="Spalte2086"/>
    <tableColumn id="2104" xr3:uid="{6EA801E7-4A06-41EE-AB16-93C62CB811D9}" name="Spalte2087"/>
    <tableColumn id="2105" xr3:uid="{E987A94C-C318-48F6-A2C7-3D72A529544A}" name="Spalte2088"/>
    <tableColumn id="2106" xr3:uid="{31C61059-321B-467D-A149-77BD869037D0}" name="Spalte2089"/>
    <tableColumn id="2107" xr3:uid="{EC454682-060B-46F7-9A1F-27FA5E06F59B}" name="Spalte2090"/>
    <tableColumn id="2108" xr3:uid="{C96E20CC-9EC3-4C85-8D62-796563E35A33}" name="Spalte2091"/>
    <tableColumn id="2109" xr3:uid="{2A0662BC-00DB-4B08-80E5-931C9B5C331E}" name="Spalte2092"/>
    <tableColumn id="2110" xr3:uid="{8F0A0F36-8EEC-453E-9A1E-E82A721747C9}" name="Spalte2093"/>
    <tableColumn id="2111" xr3:uid="{32CA5273-6A3E-464D-98C4-4C85B0E1C431}" name="Spalte2094"/>
    <tableColumn id="2112" xr3:uid="{042184ED-CB76-4974-AED4-E95801FECF44}" name="Spalte2095"/>
    <tableColumn id="2113" xr3:uid="{012778A5-6973-4584-8B07-D6DCF822A54F}" name="Spalte2096"/>
    <tableColumn id="2114" xr3:uid="{47C744F5-02A5-4A14-85CC-6F838D511538}" name="Spalte2097"/>
    <tableColumn id="2115" xr3:uid="{00F4ECF4-050D-4DA2-8B0D-1B6411110955}" name="Spalte2098"/>
    <tableColumn id="2116" xr3:uid="{34CF555A-E34E-4CEA-9B01-851CAFDC4737}" name="Spalte2099"/>
    <tableColumn id="2117" xr3:uid="{76CED190-F5AC-4036-9E85-88B6571C595F}" name="Spalte2100"/>
    <tableColumn id="2118" xr3:uid="{0E5187E3-22C7-4940-89A3-107ABFDCEB6B}" name="Spalte2101"/>
    <tableColumn id="2119" xr3:uid="{2CB64780-34B4-4994-8F12-675A5452272E}" name="Spalte2102"/>
    <tableColumn id="2120" xr3:uid="{9F412021-BE9D-4741-B5F1-22457F25DB37}" name="Spalte2103"/>
    <tableColumn id="2121" xr3:uid="{F63A4070-C462-456D-98EF-07058D7F844A}" name="Spalte2104"/>
    <tableColumn id="2122" xr3:uid="{A685E758-F56B-418A-BC31-74B4F20A786E}" name="Spalte2105"/>
    <tableColumn id="2123" xr3:uid="{3A6937FC-9397-4BE8-883C-70DE0AB0DEC9}" name="Spalte2106"/>
    <tableColumn id="2124" xr3:uid="{014CD2E8-7787-4259-9A20-0167621AB14D}" name="Spalte2107"/>
    <tableColumn id="2125" xr3:uid="{CA32DEC3-38B8-4292-8AA3-C88232F5D1F5}" name="Spalte2108"/>
    <tableColumn id="2126" xr3:uid="{75070109-CC27-4FBD-A518-0FF08A33D936}" name="Spalte2109"/>
    <tableColumn id="2127" xr3:uid="{428E76B6-F3B0-4785-9CBF-6B85F861843B}" name="Spalte2110"/>
    <tableColumn id="2128" xr3:uid="{24D9D13C-0DF3-4107-A5EB-9B88D4BE27A7}" name="Spalte2111"/>
    <tableColumn id="2129" xr3:uid="{1711C983-1D11-4967-AEA9-655A775153E1}" name="Spalte2112"/>
    <tableColumn id="2130" xr3:uid="{9E88FBD8-63BB-4157-BAA5-40E8C29FED2E}" name="Spalte2113"/>
    <tableColumn id="2131" xr3:uid="{F542D835-A05D-4833-ACF1-32EEA11F3225}" name="Spalte2114"/>
    <tableColumn id="2132" xr3:uid="{F1ADCDAD-636E-4DD1-9B8F-06F80B86BCF4}" name="Spalte2115"/>
    <tableColumn id="2133" xr3:uid="{A0C9A931-0D5C-44A4-BEBB-2823E9E60BFB}" name="Spalte2116"/>
    <tableColumn id="2134" xr3:uid="{F43EAE8F-7911-4375-B096-5D677FF496FC}" name="Spalte2117"/>
    <tableColumn id="2135" xr3:uid="{D8C38D56-01BE-44B5-B505-A900019041BE}" name="Spalte2118"/>
    <tableColumn id="2136" xr3:uid="{A01D9FB4-99E9-4CD9-9807-B873D594AD21}" name="Spalte2119"/>
    <tableColumn id="2137" xr3:uid="{B85D76B4-9BB4-47D6-966A-4C4FD28910FE}" name="Spalte2120"/>
    <tableColumn id="2138" xr3:uid="{DBFCF536-7B91-4B90-9E25-6ABCFC86830E}" name="Spalte2121"/>
    <tableColumn id="2139" xr3:uid="{F1562F14-5FB6-4147-9419-B114D609E066}" name="Spalte2122"/>
    <tableColumn id="2140" xr3:uid="{9C353BAC-835B-448F-876C-16A3055A6BD4}" name="Spalte2123"/>
    <tableColumn id="2141" xr3:uid="{384AF38B-8611-4DC5-9B66-0A77EBFB6032}" name="Spalte2124"/>
    <tableColumn id="2142" xr3:uid="{93B71A01-97F7-4AB4-AAF3-67EAA504698F}" name="Spalte2125"/>
    <tableColumn id="2143" xr3:uid="{9C60FD81-C6DD-4925-BB23-D8E2CC15351C}" name="Spalte2126"/>
    <tableColumn id="2144" xr3:uid="{06674FE1-F2DD-4C18-AC68-2D9D0B9966B8}" name="Spalte2127"/>
    <tableColumn id="2145" xr3:uid="{893C3F34-EEF1-4A8F-BB88-A944FC404BBA}" name="Spalte2128"/>
    <tableColumn id="2146" xr3:uid="{AE69C840-3D7E-4A22-A1D6-88BCB0A49113}" name="Spalte2129"/>
    <tableColumn id="2147" xr3:uid="{4975D601-94ED-4804-90AB-1BB3F34C72EE}" name="Spalte2130"/>
    <tableColumn id="2148" xr3:uid="{D68F2233-ADDA-4129-AFBB-83485EFC2FAB}" name="Spalte2131"/>
    <tableColumn id="2149" xr3:uid="{9C870B6D-F853-4258-BA03-29D959BF68D9}" name="Spalte2132"/>
    <tableColumn id="2150" xr3:uid="{EBF9A45A-7BFE-4AB1-BA8A-AB6A7245CAF8}" name="Spalte2133"/>
    <tableColumn id="2151" xr3:uid="{374A73A2-949E-47BF-98DE-47BA352BDFD6}" name="Spalte2134"/>
    <tableColumn id="2152" xr3:uid="{4A7EFD8B-4172-48FC-A93B-8E7EBF35E06F}" name="Spalte2135"/>
    <tableColumn id="2153" xr3:uid="{FD8B6403-4E95-44C3-A8CB-D276E3614B09}" name="Spalte2136"/>
    <tableColumn id="2154" xr3:uid="{80F48FAF-E8A9-470E-8E6E-9E4EF7EC22A6}" name="Spalte2137"/>
    <tableColumn id="2155" xr3:uid="{95171105-580D-43F1-80E1-7F903E305DAC}" name="Spalte2138"/>
    <tableColumn id="2156" xr3:uid="{0B5DFF47-FAB2-4107-8D08-56566E0F28F8}" name="Spalte2139"/>
    <tableColumn id="2157" xr3:uid="{6EB5B4E4-315B-441F-895A-7AB39C971120}" name="Spalte2140"/>
    <tableColumn id="2158" xr3:uid="{669C5F5B-EE73-445D-9827-6F31E953049F}" name="Spalte2141"/>
    <tableColumn id="2159" xr3:uid="{B29C424A-4E3C-43D9-9568-6540EA70321E}" name="Spalte2142"/>
    <tableColumn id="2160" xr3:uid="{3881E3BE-6729-490D-9190-C9136433C4D5}" name="Spalte2143"/>
    <tableColumn id="2161" xr3:uid="{E722FDE6-1699-4A74-9A55-4EACC6D4C58B}" name="Spalte2144"/>
    <tableColumn id="2162" xr3:uid="{C0BD9B1C-D1C7-478B-A6D1-A91DF8C1A8CF}" name="Spalte2145"/>
    <tableColumn id="2163" xr3:uid="{76C988FF-BC12-4CC2-9DE5-6110C4F97CDA}" name="Spalte2146"/>
    <tableColumn id="2164" xr3:uid="{DE2046D6-368D-46AD-9ED6-94FECB6809AC}" name="Spalte2147"/>
    <tableColumn id="2165" xr3:uid="{774F0369-216B-4734-BF65-E30D2161E459}" name="Spalte2148"/>
    <tableColumn id="2166" xr3:uid="{E61DCC18-B497-4FA1-A963-496D33802F92}" name="Spalte2149"/>
    <tableColumn id="2167" xr3:uid="{2AAE7305-2B36-49A8-845D-73A68CB92178}" name="Spalte2150"/>
    <tableColumn id="2168" xr3:uid="{DD3C7147-3D20-4341-A10E-D01CB977A1CD}" name="Spalte2151"/>
    <tableColumn id="2169" xr3:uid="{1F4E85F9-F60B-43B0-8EA3-DD403898390F}" name="Spalte2152"/>
    <tableColumn id="2170" xr3:uid="{708993C3-012A-4829-90B9-0D2C424B71CC}" name="Spalte2153"/>
    <tableColumn id="2171" xr3:uid="{836D6D14-333F-4AA4-ABE9-129702A3D750}" name="Spalte2154"/>
    <tableColumn id="2172" xr3:uid="{AFA11F04-4E1E-4F96-8F65-38DACE0E67E2}" name="Spalte2155"/>
    <tableColumn id="2173" xr3:uid="{65CE089B-207B-469A-9B32-CC241FA2DCCA}" name="Spalte2156"/>
    <tableColumn id="2174" xr3:uid="{B5C38B51-98AA-4FCD-90C4-274C49391299}" name="Spalte2157"/>
    <tableColumn id="2175" xr3:uid="{57FE3F62-E765-4360-A3F3-BEEFCDEBF47E}" name="Spalte2158"/>
    <tableColumn id="2176" xr3:uid="{FAE14E50-D0D1-4C19-9B95-C548F109DF9E}" name="Spalte2159"/>
    <tableColumn id="2177" xr3:uid="{9577013F-3E63-40D4-B6FD-E75898BACEC0}" name="Spalte2160"/>
    <tableColumn id="2178" xr3:uid="{F9D36897-6F9A-409E-9239-A4C73E55FA00}" name="Spalte2161"/>
    <tableColumn id="2179" xr3:uid="{7384ACB9-DD8F-4073-B2B2-F91CEE93A90F}" name="Spalte2162"/>
    <tableColumn id="2180" xr3:uid="{4824C816-6DB0-45DC-93D6-69EF2AB875A3}" name="Spalte2163"/>
    <tableColumn id="2181" xr3:uid="{CA9ACF5D-ACDC-49C4-B44C-CDBDA9126D78}" name="Spalte2164"/>
    <tableColumn id="2182" xr3:uid="{C49BFA4C-5629-440E-90FF-CB0F00C03C7A}" name="Spalte2165"/>
    <tableColumn id="2183" xr3:uid="{4C90605B-DF84-464E-A477-7CE9E6CCBB05}" name="Spalte2166"/>
    <tableColumn id="2184" xr3:uid="{4CAC1231-154D-4BC6-8BB9-9AD9EA6A3AB2}" name="Spalte2167"/>
    <tableColumn id="2185" xr3:uid="{D9170D93-A22F-430E-9FC2-36C709C09CB2}" name="Spalte2168"/>
    <tableColumn id="2186" xr3:uid="{7FCDA0CA-C283-4449-B356-A8F2F34EBB36}" name="Spalte2169"/>
    <tableColumn id="2187" xr3:uid="{8B0EEE7A-10EB-4F06-8357-A2F66A5FFAA0}" name="Spalte2170"/>
    <tableColumn id="2188" xr3:uid="{091E9AB3-9778-4AE3-9FD1-430F73BF142D}" name="Spalte2171"/>
    <tableColumn id="2189" xr3:uid="{F220886B-28B8-4564-88FF-59C9912F6BDE}" name="Spalte2172"/>
    <tableColumn id="2190" xr3:uid="{51D9DFA7-99FA-42A8-86DE-7DD269FA1EA0}" name="Spalte2173"/>
    <tableColumn id="2191" xr3:uid="{C1A639EF-7EE7-4C3E-B7E4-0FA1FF451CDB}" name="Spalte2174"/>
    <tableColumn id="2192" xr3:uid="{CD8A94D3-9668-4981-B74B-E7C67C533D05}" name="Spalte2175"/>
    <tableColumn id="2193" xr3:uid="{7D8EF323-9624-410D-B316-BBC371072E48}" name="Spalte2176"/>
    <tableColumn id="2194" xr3:uid="{8B5F3A20-FE80-4F40-BA90-872FD20E650D}" name="Spalte2177"/>
    <tableColumn id="2195" xr3:uid="{92AA8126-2603-4FAF-8790-6384EA3C29F5}" name="Spalte2178"/>
    <tableColumn id="2196" xr3:uid="{C13C50AE-B6E2-417E-AD51-3E3BB1195E64}" name="Spalte2179"/>
    <tableColumn id="2197" xr3:uid="{4E3881F4-4B5D-4B9D-ACF0-138BCCD881E4}" name="Spalte2180"/>
    <tableColumn id="2198" xr3:uid="{E0791799-103E-437A-A14C-06541202229F}" name="Spalte2181"/>
    <tableColumn id="2199" xr3:uid="{A2066CE6-F555-4C48-8B23-A5759A1094D4}" name="Spalte2182"/>
    <tableColumn id="2200" xr3:uid="{0223C9FC-56CC-4927-8112-67A77CC529DF}" name="Spalte2183"/>
    <tableColumn id="2201" xr3:uid="{E5AA0996-9737-4DD3-9A38-4C923BC49DC5}" name="Spalte2184"/>
    <tableColumn id="2202" xr3:uid="{5DC37666-9AE7-4102-A10C-5762D56FBE5A}" name="Spalte2185"/>
    <tableColumn id="2203" xr3:uid="{D03EDDC2-E555-4771-88C2-86FCA36A6AFC}" name="Spalte2186"/>
    <tableColumn id="2204" xr3:uid="{8226FE58-89EA-43DD-A416-6DE2BF25CB08}" name="Spalte2187"/>
    <tableColumn id="2205" xr3:uid="{C45C6D42-C957-4AD0-8779-D4DA7C0D9AE6}" name="Spalte2188"/>
    <tableColumn id="2206" xr3:uid="{585D9455-C9DE-4BE6-9609-08A6CC61CF62}" name="Spalte2189"/>
    <tableColumn id="2207" xr3:uid="{7F2BE8E2-6139-4C62-8192-FB3F014C4636}" name="Spalte2190"/>
    <tableColumn id="2208" xr3:uid="{A982DBCE-FC0F-41C0-A41A-A767934498D9}" name="Spalte2191"/>
    <tableColumn id="2209" xr3:uid="{783A1E6E-C391-4676-BADD-6BA75A75FA7B}" name="Spalte2192"/>
    <tableColumn id="2210" xr3:uid="{3DDBBE74-39FA-4650-AA13-3A46F93F3F10}" name="Spalte2193"/>
    <tableColumn id="2211" xr3:uid="{F746659F-FEE7-4A4D-AD93-277C623C161F}" name="Spalte2194"/>
    <tableColumn id="2212" xr3:uid="{E8107F63-A2DC-4D4F-BA38-C7EAAAE41B45}" name="Spalte2195"/>
    <tableColumn id="2213" xr3:uid="{0B35D8CE-8208-426D-9E36-30E87B0B1B14}" name="Spalte2196"/>
    <tableColumn id="2214" xr3:uid="{712AFAAC-626D-43B5-8E5F-472B81704DD1}" name="Spalte2197"/>
    <tableColumn id="2215" xr3:uid="{260FD979-844B-4B3F-84FA-D393A5F96ECC}" name="Spalte2198"/>
    <tableColumn id="2216" xr3:uid="{7804E13C-78A2-4B7B-AD26-0A8137EFC314}" name="Spalte2199"/>
    <tableColumn id="2217" xr3:uid="{BF6D44B9-3AA8-4EF0-ADB6-7E8CCD3922B6}" name="Spalte2200"/>
    <tableColumn id="2218" xr3:uid="{F49F4F43-5D14-4CA2-9746-D010CE06B7C4}" name="Spalte2201"/>
    <tableColumn id="2219" xr3:uid="{412C4BDC-7E8C-426D-A42D-F72A836E0DB3}" name="Spalte2202"/>
    <tableColumn id="2220" xr3:uid="{0DFF8FE6-497A-42BD-B332-E5B9A9C16B32}" name="Spalte2203"/>
    <tableColumn id="2221" xr3:uid="{27392122-A2C9-4A63-80A7-1B6F2A6C0695}" name="Spalte2204"/>
    <tableColumn id="2222" xr3:uid="{5010EA74-0EF4-41DF-B80C-F72824626C84}" name="Spalte2205"/>
    <tableColumn id="2223" xr3:uid="{A583EAE2-89CB-4D3E-8DF8-DB1458770250}" name="Spalte2206"/>
    <tableColumn id="2224" xr3:uid="{0929696B-B83E-4221-A90E-EC25D3DE1106}" name="Spalte2207"/>
    <tableColumn id="2225" xr3:uid="{8FD87D7E-1942-4B0F-BE18-4496BC5DAB3F}" name="Spalte2208"/>
    <tableColumn id="2226" xr3:uid="{B35EC369-44F1-4479-B94E-69A1785CD19E}" name="Spalte2209"/>
    <tableColumn id="2227" xr3:uid="{3DC76A5D-A771-47C1-93CC-04104C550E69}" name="Spalte2210"/>
    <tableColumn id="2228" xr3:uid="{B74168AA-0BCC-4508-90B4-35640548A3D1}" name="Spalte2211"/>
    <tableColumn id="2229" xr3:uid="{83CA409D-CA23-408A-ADC1-E4405764E53B}" name="Spalte2212"/>
    <tableColumn id="2230" xr3:uid="{6355FF82-8DF6-498D-A25A-5F44698A6A08}" name="Spalte2213"/>
    <tableColumn id="2231" xr3:uid="{5FF9C1CE-0E51-4405-B071-5B52A1CEEA03}" name="Spalte2214"/>
    <tableColumn id="2232" xr3:uid="{D0CF2893-4835-42EB-95A8-AF84AA01F873}" name="Spalte2215"/>
    <tableColumn id="2233" xr3:uid="{4D9E769C-2EB7-438E-B5F9-AEF9F213DD45}" name="Spalte2216"/>
    <tableColumn id="2234" xr3:uid="{666ADD33-B4BB-4825-B5ED-8ECBC6B18BEC}" name="Spalte2217"/>
    <tableColumn id="2235" xr3:uid="{DE005C92-7F0A-41A4-8E54-43DA15521B84}" name="Spalte2218"/>
    <tableColumn id="2236" xr3:uid="{46CBD680-9239-4C53-904A-30CB929C4C21}" name="Spalte2219"/>
    <tableColumn id="2237" xr3:uid="{80912DB4-09FD-410A-98F3-0515149E801D}" name="Spalte2220"/>
    <tableColumn id="2238" xr3:uid="{2E369BCE-C1C3-45D0-B485-3D1FDDEB0EF3}" name="Spalte2221"/>
    <tableColumn id="2239" xr3:uid="{D737E1A8-7A2C-4A80-90B0-3311047D2F4A}" name="Spalte2222"/>
    <tableColumn id="2240" xr3:uid="{73A3D298-16A4-4895-B9CF-5FDCD3EDC133}" name="Spalte2223"/>
    <tableColumn id="2241" xr3:uid="{9B7D765D-4417-4F8A-8E83-2B21ED064595}" name="Spalte2224"/>
    <tableColumn id="2242" xr3:uid="{A3663335-6308-423D-B830-4FA1FB9B50FC}" name="Spalte2225"/>
    <tableColumn id="2243" xr3:uid="{78E4C90E-25E8-4218-8CF0-36AA4C813D09}" name="Spalte2226"/>
    <tableColumn id="2244" xr3:uid="{F0F26A8E-4E19-4F7F-B6E4-1C1007CB5E9B}" name="Spalte2227"/>
    <tableColumn id="2245" xr3:uid="{D05B5724-F0F3-44F0-B652-4CD6A56E4F08}" name="Spalte2228"/>
    <tableColumn id="2246" xr3:uid="{F6BCEBD4-D7D7-4D12-AF1B-F76BB80C8380}" name="Spalte2229"/>
    <tableColumn id="2247" xr3:uid="{115649EE-7CD3-48E4-925E-6BDDCC69AE3B}" name="Spalte2230"/>
    <tableColumn id="2248" xr3:uid="{8EC44A94-B032-4A21-B920-EFF017AF75AE}" name="Spalte2231"/>
    <tableColumn id="2249" xr3:uid="{8BB99AC7-107F-4B42-AEF7-F63F54789FDD}" name="Spalte2232"/>
    <tableColumn id="2250" xr3:uid="{6BCBFF84-986D-4838-A6B3-740646D2B70A}" name="Spalte2233"/>
    <tableColumn id="2251" xr3:uid="{A7D17AA5-8504-4E28-A91A-781E40DA44C9}" name="Spalte2234"/>
    <tableColumn id="2252" xr3:uid="{08EC03C4-E477-4374-9F9E-5134815295D8}" name="Spalte2235"/>
    <tableColumn id="2253" xr3:uid="{02628DD3-69A9-44CE-9143-CBC0A9438A1E}" name="Spalte2236"/>
    <tableColumn id="2254" xr3:uid="{43C3684B-38D8-4233-98DD-A47224924C63}" name="Spalte2237"/>
    <tableColumn id="2255" xr3:uid="{D1BF83BF-BB34-4DDA-9D84-E541B26A5F46}" name="Spalte2238"/>
    <tableColumn id="2256" xr3:uid="{3FFCFB52-231D-46EC-BA70-3FF7F2C44102}" name="Spalte2239"/>
    <tableColumn id="2257" xr3:uid="{E6C690F5-598A-4297-8C21-6309DC296A65}" name="Spalte2240"/>
    <tableColumn id="2258" xr3:uid="{85C8B0A9-E967-490F-B18E-C69392C752C7}" name="Spalte2241"/>
    <tableColumn id="2259" xr3:uid="{DAF6B65C-BEA2-46BE-869C-485BB6CCD5CB}" name="Spalte2242"/>
    <tableColumn id="2260" xr3:uid="{7BC9AB3F-4453-435F-99A3-6F22FDAC01A7}" name="Spalte2243"/>
    <tableColumn id="2261" xr3:uid="{58B06780-2D39-4E06-9822-D547BB43B946}" name="Spalte2244"/>
    <tableColumn id="2262" xr3:uid="{8AA61BB9-5623-4C7A-8820-F3F6A5912677}" name="Spalte2245"/>
    <tableColumn id="2263" xr3:uid="{4FA6DA18-BD80-4770-ABE2-4817C492616A}" name="Spalte2246"/>
    <tableColumn id="2264" xr3:uid="{2FDAACAC-EC5C-4D43-999C-53EB7441DC84}" name="Spalte2247"/>
    <tableColumn id="2265" xr3:uid="{639BBB7E-8F55-41B1-A14D-491CD69A6849}" name="Spalte2248"/>
    <tableColumn id="2266" xr3:uid="{24E5D565-4139-43C8-AF91-6D17637E8B03}" name="Spalte2249"/>
    <tableColumn id="2267" xr3:uid="{09FAF6AC-C59E-42E9-BB9D-CFDB9D41996A}" name="Spalte2250"/>
    <tableColumn id="2268" xr3:uid="{EDB6FE80-55B5-4759-BEC3-4F75A129FA7D}" name="Spalte2251"/>
    <tableColumn id="2269" xr3:uid="{699354DD-548A-427D-80A8-41C87367C6D2}" name="Spalte2252"/>
    <tableColumn id="2270" xr3:uid="{B1D00A74-15B7-401B-AFC0-0D59FA33EDB1}" name="Spalte2253"/>
    <tableColumn id="2271" xr3:uid="{9C0AC2A9-7DD7-4EA8-A75B-B667784E1313}" name="Spalte2254"/>
    <tableColumn id="2272" xr3:uid="{FB1A739A-1AE7-4B30-AC53-E51405642C2E}" name="Spalte2255"/>
    <tableColumn id="2273" xr3:uid="{119DC951-99A8-4ABD-924F-2F4A6BD77E34}" name="Spalte2256"/>
    <tableColumn id="2274" xr3:uid="{8AFB6CE4-679B-46C9-8A79-D323FA55DBA0}" name="Spalte2257"/>
    <tableColumn id="2275" xr3:uid="{A5E1F932-F012-4098-B982-3C6066B044E0}" name="Spalte2258"/>
    <tableColumn id="2276" xr3:uid="{C9102A4E-3563-4F12-9250-9EA52485FC7A}" name="Spalte2259"/>
    <tableColumn id="2277" xr3:uid="{BB77A598-22B4-447D-8C98-6651B1F0BE82}" name="Spalte2260"/>
    <tableColumn id="2278" xr3:uid="{324B1656-EEFB-4A53-9C55-414A9FFFEE6A}" name="Spalte2261"/>
    <tableColumn id="2279" xr3:uid="{CBCA0F1C-34FB-46DE-9EB2-90D63B9C0683}" name="Spalte2262"/>
    <tableColumn id="2280" xr3:uid="{D4E1CA16-812A-48E1-8130-942B58583905}" name="Spalte2263"/>
    <tableColumn id="2281" xr3:uid="{AD954F06-24AA-42CA-8BA0-A2D3CA83D806}" name="Spalte2264"/>
    <tableColumn id="2282" xr3:uid="{9A17056F-CFBE-465C-ABD8-1D3915696961}" name="Spalte2265"/>
    <tableColumn id="2283" xr3:uid="{570D44BC-140B-4DB5-A390-172CB590C800}" name="Spalte2266"/>
    <tableColumn id="2284" xr3:uid="{00BE809A-416D-4FF3-9899-E4805B1AB93F}" name="Spalte2267"/>
    <tableColumn id="2285" xr3:uid="{8E4CEF0E-4701-4DFA-A2D9-644124B4FBF4}" name="Spalte2268"/>
    <tableColumn id="2286" xr3:uid="{2FA2B0B8-9D87-4AC7-95FD-9911BE90235D}" name="Spalte2269"/>
    <tableColumn id="2287" xr3:uid="{89610082-FE12-4D57-A82B-9DF61487306F}" name="Spalte2270"/>
    <tableColumn id="2288" xr3:uid="{0A8DBD6D-2BF8-443B-964F-3FCB3E24453A}" name="Spalte2271"/>
    <tableColumn id="2289" xr3:uid="{7BC5F42C-616D-4E90-88C3-A88F188CD392}" name="Spalte2272"/>
    <tableColumn id="2290" xr3:uid="{4BBFDD8D-B822-4D47-A1D6-8193EEA976AA}" name="Spalte2273"/>
    <tableColumn id="2291" xr3:uid="{BB148CD7-1081-4C6A-AD30-E7082B35BA78}" name="Spalte2274"/>
    <tableColumn id="2292" xr3:uid="{496FDC0F-76C0-40E7-8FA5-19E498FF9349}" name="Spalte2275"/>
    <tableColumn id="2293" xr3:uid="{32A76510-02C8-4F63-8A36-C918DCBF2596}" name="Spalte2276"/>
    <tableColumn id="2294" xr3:uid="{9C99204E-79D5-4658-9334-0C4566547BC0}" name="Spalte2277"/>
    <tableColumn id="2295" xr3:uid="{AFDD9D10-5286-408C-8C18-9FA0A4E84471}" name="Spalte2278"/>
    <tableColumn id="2296" xr3:uid="{F71C6DFA-8A06-4856-BA92-D78878669938}" name="Spalte2279"/>
    <tableColumn id="2297" xr3:uid="{E2F37079-9D6C-4524-A204-F5DB693B5C75}" name="Spalte2280"/>
    <tableColumn id="2298" xr3:uid="{89F35CEB-A53C-4A34-98AD-D05224704750}" name="Spalte2281"/>
    <tableColumn id="2299" xr3:uid="{1F3C41F0-D360-4CCF-9CC4-36F899722E46}" name="Spalte2282"/>
    <tableColumn id="2300" xr3:uid="{7599B1B0-4D18-4749-A742-588EEF74FD66}" name="Spalte2283"/>
    <tableColumn id="2301" xr3:uid="{7D095F8E-3AE0-41FF-8DA2-AD2C51F542BF}" name="Spalte2284"/>
    <tableColumn id="2302" xr3:uid="{BB0B8999-D412-46C6-9E59-19A00FE07C33}" name="Spalte2285"/>
    <tableColumn id="2303" xr3:uid="{B21BA811-F363-4AD7-928F-E0EC1D4D5177}" name="Spalte2286"/>
    <tableColumn id="2304" xr3:uid="{5700AE11-B0B1-44DA-84E8-D7870F21CDE0}" name="Spalte2287"/>
    <tableColumn id="2305" xr3:uid="{B1C7F05F-4EDC-4F49-82FB-5A9036A275EC}" name="Spalte2288"/>
    <tableColumn id="2306" xr3:uid="{271792E9-2CDE-4FD0-B41A-F22DDDDA2A64}" name="Spalte2289"/>
    <tableColumn id="2307" xr3:uid="{90979913-D179-43B3-B003-3919B2AFA5F0}" name="Spalte2290"/>
    <tableColumn id="2308" xr3:uid="{AB95382A-7D72-466E-B7D7-82C7F87E0EC2}" name="Spalte2291"/>
    <tableColumn id="2309" xr3:uid="{AF9E92D2-D51A-41F1-B88A-4D6146CE440D}" name="Spalte2292"/>
    <tableColumn id="2310" xr3:uid="{912E0A7D-AFC0-4371-8274-56CF1756FA66}" name="Spalte2293"/>
    <tableColumn id="2311" xr3:uid="{6E6026B8-D2CF-4D65-AED3-82C0C78DCD6C}" name="Spalte2294"/>
    <tableColumn id="2312" xr3:uid="{35BF29E8-8995-431B-881B-6C075AEBE5FE}" name="Spalte2295"/>
    <tableColumn id="2313" xr3:uid="{A8170E45-FF7B-47B1-ABA1-21BF2E909502}" name="Spalte2296"/>
    <tableColumn id="2314" xr3:uid="{E5B940D1-B6EB-4C4B-AF39-009D059A818A}" name="Spalte2297"/>
    <tableColumn id="2315" xr3:uid="{1494E7B7-160B-43B6-8593-88B7C01C65DA}" name="Spalte2298"/>
    <tableColumn id="2316" xr3:uid="{E3F3D4BE-0227-41E0-A1F6-C61441D0C096}" name="Spalte2299"/>
    <tableColumn id="2317" xr3:uid="{154ED3AE-CFD6-4329-936E-FF3B533DDED5}" name="Spalte2300"/>
    <tableColumn id="2318" xr3:uid="{603A4B79-493B-4C38-8B6A-BA194341EF60}" name="Spalte2301"/>
    <tableColumn id="2319" xr3:uid="{71B8E36C-D53A-4C72-99FB-9E99FF8C35EF}" name="Spalte2302"/>
    <tableColumn id="2320" xr3:uid="{A8F5E017-0A9D-4157-9D26-70517C768039}" name="Spalte2303"/>
    <tableColumn id="2321" xr3:uid="{F0343DD2-8824-468C-8F39-95FDA4708BA6}" name="Spalte2304"/>
    <tableColumn id="2322" xr3:uid="{4A8C5ECE-8AFD-432B-BB72-83497F3F106F}" name="Spalte2305"/>
    <tableColumn id="2323" xr3:uid="{1349B2B4-B474-4219-AABA-92287CA9685A}" name="Spalte2306"/>
    <tableColumn id="2324" xr3:uid="{FB1FF7E3-2A81-47BA-B053-0783637B599A}" name="Spalte2307"/>
    <tableColumn id="2325" xr3:uid="{1299778C-C017-4163-8E4C-307EE8B1FD72}" name="Spalte2308"/>
    <tableColumn id="2326" xr3:uid="{026A2BE4-9A09-4611-9AEF-7A0708B42867}" name="Spalte2309"/>
    <tableColumn id="2327" xr3:uid="{1742AD92-94DB-4F0E-B41A-C57898448A9B}" name="Spalte2310"/>
    <tableColumn id="2328" xr3:uid="{C999D637-585A-4C57-B779-B483627AC0EF}" name="Spalte2311"/>
    <tableColumn id="2329" xr3:uid="{7101583E-C9B3-4F61-BA14-25EFFDFDE98E}" name="Spalte2312"/>
    <tableColumn id="2330" xr3:uid="{A87359B7-DE3C-4331-A0F7-77591BE70F03}" name="Spalte2313"/>
    <tableColumn id="2331" xr3:uid="{1511A74D-58ED-4C12-8CAE-967225AD44E8}" name="Spalte2314"/>
    <tableColumn id="2332" xr3:uid="{C3AEE152-16DC-4B47-8805-3CEC680777AF}" name="Spalte2315"/>
    <tableColumn id="2333" xr3:uid="{E7ABFBC7-4416-44DC-8D59-2A43D46CCAF6}" name="Spalte2316"/>
    <tableColumn id="2334" xr3:uid="{D96DBE7E-90B0-45E6-BB7C-79201317BE22}" name="Spalte2317"/>
    <tableColumn id="2335" xr3:uid="{351BE04E-98B9-4715-A87D-AE234274AFE3}" name="Spalte2318"/>
    <tableColumn id="2336" xr3:uid="{45859BC0-670E-412D-B072-128DB47463B6}" name="Spalte2319"/>
    <tableColumn id="2337" xr3:uid="{64C61F1F-F79E-40BE-AFCB-B9F56B629E3F}" name="Spalte2320"/>
    <tableColumn id="2338" xr3:uid="{E38050EF-9094-490F-9D3D-9C9FAC9E80BA}" name="Spalte2321"/>
    <tableColumn id="2339" xr3:uid="{C3DD4B2F-1D88-4BF6-AA3E-81A8B5BA151E}" name="Spalte2322"/>
    <tableColumn id="2340" xr3:uid="{976613EA-5B21-48BD-8870-438FF52D92B8}" name="Spalte2323"/>
    <tableColumn id="2341" xr3:uid="{0A252D57-3584-4956-8AEA-70E75721E21D}" name="Spalte2324"/>
    <tableColumn id="2342" xr3:uid="{A7B9A3C5-C2FA-4482-B610-45F338761182}" name="Spalte2325"/>
    <tableColumn id="2343" xr3:uid="{D95601FA-C905-4DB3-868A-6C00B6288DF9}" name="Spalte2326"/>
    <tableColumn id="2344" xr3:uid="{BAF6E019-E7B7-43B1-B786-41D432E84323}" name="Spalte2327"/>
    <tableColumn id="2345" xr3:uid="{64C1CAF7-F2F7-4B3B-BFC0-C9DFB681AD10}" name="Spalte2328"/>
    <tableColumn id="2346" xr3:uid="{D4B6E64A-14EC-43FA-B380-EB96DA075000}" name="Spalte2329"/>
    <tableColumn id="2347" xr3:uid="{CCA78E50-0F76-44E2-955D-75351F621E07}" name="Spalte2330"/>
    <tableColumn id="2348" xr3:uid="{75DDA14F-37A7-4297-8941-BA2167D8F7FA}" name="Spalte2331"/>
    <tableColumn id="2349" xr3:uid="{83E5F6BB-E7D5-4264-A3B3-FD2A4B8A3A55}" name="Spalte2332"/>
    <tableColumn id="2350" xr3:uid="{D172DC4F-042D-4560-858D-41C4A6EF4494}" name="Spalte2333"/>
    <tableColumn id="2351" xr3:uid="{9940C161-EBF4-413B-B895-F7192DEF3A19}" name="Spalte2334"/>
    <tableColumn id="2352" xr3:uid="{951C744D-AC5E-4F26-B457-CAFF6EDAF2FE}" name="Spalte2335"/>
    <tableColumn id="2353" xr3:uid="{35E91868-2769-45C9-A426-55EED9128D2F}" name="Spalte2336"/>
    <tableColumn id="2354" xr3:uid="{047687B2-46FD-4543-B18B-65ED89168D1B}" name="Spalte2337"/>
    <tableColumn id="2355" xr3:uid="{2D978FBC-13A6-4946-87FA-7D43FE222263}" name="Spalte2338"/>
    <tableColumn id="2356" xr3:uid="{6D7F8D4B-4D81-4161-AA3B-209EB86EBE9D}" name="Spalte2339"/>
    <tableColumn id="2357" xr3:uid="{89E8FC26-D897-4FC0-B2BB-407DC5A92798}" name="Spalte2340"/>
    <tableColumn id="2358" xr3:uid="{DD624C36-AD91-49C6-8E59-BFFA86172937}" name="Spalte2341"/>
    <tableColumn id="2359" xr3:uid="{E79BD8AF-42E0-4347-A1A9-F4B6A44837DF}" name="Spalte2342"/>
    <tableColumn id="2360" xr3:uid="{EB1995E0-A5E5-49B1-8B32-470FEBB49964}" name="Spalte2343"/>
    <tableColumn id="2361" xr3:uid="{F3582E3A-0FA5-468A-A136-B2694AB8AD09}" name="Spalte2344"/>
    <tableColumn id="2362" xr3:uid="{206AD07D-5C80-4CF8-B568-FCD1EFF08DF2}" name="Spalte2345"/>
    <tableColumn id="2363" xr3:uid="{893320E6-F430-4E82-BC9D-2133DF9C1F91}" name="Spalte2346"/>
    <tableColumn id="2364" xr3:uid="{E81F33C7-653F-470D-92FD-B53C3462D348}" name="Spalte2347"/>
    <tableColumn id="2365" xr3:uid="{7E13E07B-D1E6-480D-900A-2A34B5943DA2}" name="Spalte2348"/>
    <tableColumn id="2366" xr3:uid="{2CEBA3BF-6C05-4365-B4E1-AEC9A962E2EB}" name="Spalte2349"/>
    <tableColumn id="2367" xr3:uid="{3BE42230-F073-4C06-8AA0-26C779891C29}" name="Spalte2350"/>
    <tableColumn id="2368" xr3:uid="{5D020331-0108-4509-8EBB-A342A3D44DF0}" name="Spalte2351"/>
    <tableColumn id="2369" xr3:uid="{BA3BC27D-7F45-4FF3-A65B-35D9605653C6}" name="Spalte2352"/>
    <tableColumn id="2370" xr3:uid="{61331125-4754-44FA-A883-A55F8089DD90}" name="Spalte2353"/>
    <tableColumn id="2371" xr3:uid="{A9C94605-1864-4709-AB7E-9FEFA7029770}" name="Spalte2354"/>
    <tableColumn id="2372" xr3:uid="{8FCA3FE4-D6E7-4263-BD2F-B00676CD4856}" name="Spalte2355"/>
    <tableColumn id="2373" xr3:uid="{67F537A7-5F5A-4374-9E73-BA43B458CBD1}" name="Spalte2356"/>
    <tableColumn id="2374" xr3:uid="{F2783974-7C47-452E-A09C-F669C9C8AA0C}" name="Spalte2357"/>
    <tableColumn id="2375" xr3:uid="{858573AB-0D1C-4308-AD1D-17B6DB0DC90B}" name="Spalte2358"/>
    <tableColumn id="2376" xr3:uid="{742EDEBB-D38D-4C2A-86FB-F417E120AE3E}" name="Spalte2359"/>
    <tableColumn id="2377" xr3:uid="{F671402A-9A07-48E6-858B-AF1E51CE3498}" name="Spalte2360"/>
    <tableColumn id="2378" xr3:uid="{3554CEC6-99D6-4629-B33B-0BF7128AA7BF}" name="Spalte2361"/>
    <tableColumn id="2379" xr3:uid="{EB31426A-6BC2-4ACB-8BB6-245FC6AB5C5D}" name="Spalte2362"/>
    <tableColumn id="2380" xr3:uid="{C8E17EE4-F707-4BC7-B2F4-83302562B1D7}" name="Spalte2363"/>
    <tableColumn id="2381" xr3:uid="{D38BB6B7-59E3-4C8E-8187-CB436C4ACE6E}" name="Spalte2364"/>
    <tableColumn id="2382" xr3:uid="{197A9694-71A1-48AA-B0D1-9D96741448AB}" name="Spalte2365"/>
    <tableColumn id="2383" xr3:uid="{64D57126-E9ED-4C0B-B217-F6CD992134A9}" name="Spalte2366"/>
    <tableColumn id="2384" xr3:uid="{64E14093-CA12-459E-B65E-AA66C1791554}" name="Spalte2367"/>
    <tableColumn id="2385" xr3:uid="{A2BE5FAE-15C6-4A68-A6CE-95344DB88247}" name="Spalte2368"/>
    <tableColumn id="2386" xr3:uid="{F21827DB-C978-41F6-9706-61967FF0B618}" name="Spalte2369"/>
    <tableColumn id="2387" xr3:uid="{CF453FC1-E523-4D21-A7BD-5786F8353731}" name="Spalte2370"/>
    <tableColumn id="2388" xr3:uid="{76F94684-6592-4958-AEF0-955DAAADC315}" name="Spalte2371"/>
    <tableColumn id="2389" xr3:uid="{FDF04185-F6C2-49BE-A194-14490E02E16F}" name="Spalte2372"/>
    <tableColumn id="2390" xr3:uid="{6DF72923-35E1-4465-BB81-D6E19B6651B1}" name="Spalte2373"/>
    <tableColumn id="2391" xr3:uid="{65C1D591-4D65-4BC4-BA13-52D6F439A000}" name="Spalte2374"/>
    <tableColumn id="2392" xr3:uid="{CA0928D5-4569-437B-B040-E78B663E69BD}" name="Spalte2375"/>
    <tableColumn id="2393" xr3:uid="{34417610-B2AC-44BB-89B2-6B7A440B5525}" name="Spalte2376"/>
    <tableColumn id="2394" xr3:uid="{F0B8FB61-29D1-491F-892C-3E293EBCCA1E}" name="Spalte2377"/>
    <tableColumn id="2395" xr3:uid="{D1CE68A0-8DF5-400F-9681-88AC5319FD99}" name="Spalte2378"/>
    <tableColumn id="2396" xr3:uid="{54D660F2-6A57-455C-AFCF-86E0D3DA6710}" name="Spalte2379"/>
    <tableColumn id="2397" xr3:uid="{D4C234A0-CF1A-46DB-94E1-C40575E58624}" name="Spalte2380"/>
    <tableColumn id="2398" xr3:uid="{DD2CAFA1-5A0A-4CC8-AFA9-3D52BB8F7684}" name="Spalte2381"/>
    <tableColumn id="2399" xr3:uid="{3F3F34F1-6D17-406A-8956-6499AC886330}" name="Spalte2382"/>
    <tableColumn id="2400" xr3:uid="{42FA70BF-2DD7-4175-90C1-D984BBDD6ED6}" name="Spalte2383"/>
    <tableColumn id="2401" xr3:uid="{3BCB2AAB-52DF-40BF-95C3-5940C273A609}" name="Spalte2384"/>
    <tableColumn id="2402" xr3:uid="{C06ED8EA-261E-4EB4-9BFC-C9562E44348F}" name="Spalte2385"/>
    <tableColumn id="2403" xr3:uid="{42E90853-60B8-4F4A-8A84-DF3E344ACA0A}" name="Spalte2386"/>
    <tableColumn id="2404" xr3:uid="{A27F9C98-FC50-4649-AE86-FEBDA33CA843}" name="Spalte2387"/>
    <tableColumn id="2405" xr3:uid="{C1F7EF93-9255-4EA9-A8F3-9D2FFA08B8C4}" name="Spalte2388"/>
    <tableColumn id="2406" xr3:uid="{AAF3E57D-74E5-46CC-997C-D88C6CCBF420}" name="Spalte2389"/>
    <tableColumn id="2407" xr3:uid="{88AF05C0-2685-460F-8E99-0A3A9AEE94B0}" name="Spalte2390"/>
    <tableColumn id="2408" xr3:uid="{C5E79E0C-1DC8-4051-AC86-1B9B4E830005}" name="Spalte2391"/>
    <tableColumn id="2409" xr3:uid="{2B2DA389-260E-4CEC-B978-D4F1FF215B4B}" name="Spalte2392"/>
    <tableColumn id="2410" xr3:uid="{C314647D-F2FD-4F9A-937E-C6E783BC99DD}" name="Spalte2393"/>
    <tableColumn id="2411" xr3:uid="{24A285C3-7902-4143-9227-442ECA84E8EA}" name="Spalte2394"/>
    <tableColumn id="2412" xr3:uid="{CF683862-22EC-4100-ACF1-269307089F54}" name="Spalte2395"/>
    <tableColumn id="2413" xr3:uid="{EB10394E-A6F1-4DC6-A87B-94A686A2A6C5}" name="Spalte2396"/>
    <tableColumn id="2414" xr3:uid="{30CDCF62-656B-43E2-BD80-414ED626812C}" name="Spalte2397"/>
    <tableColumn id="2415" xr3:uid="{10B75E83-A6BE-4ECB-9EC3-7A4CBD1841BC}" name="Spalte2398"/>
    <tableColumn id="2416" xr3:uid="{F853CAAA-93CF-41E7-8CC5-22412457F6EC}" name="Spalte2399"/>
    <tableColumn id="2417" xr3:uid="{875CCB65-9CD7-4422-8148-E11D1AF9638F}" name="Spalte2400"/>
    <tableColumn id="2418" xr3:uid="{B5C6C3FA-5BD9-4A82-A8E0-E1A66C1E2EBB}" name="Spalte2401"/>
    <tableColumn id="2419" xr3:uid="{3E8C556F-5053-4962-AC9F-B47C0983C23E}" name="Spalte2402"/>
    <tableColumn id="2420" xr3:uid="{AEBAF47A-88B7-4618-8225-032EE6FA33B3}" name="Spalte2403"/>
    <tableColumn id="2421" xr3:uid="{A3218FC0-D4E3-4FB9-9BC9-56BEFC751974}" name="Spalte2404"/>
    <tableColumn id="2422" xr3:uid="{BD1EDD58-643A-41E4-9702-CC17D4ED6FD7}" name="Spalte2405"/>
    <tableColumn id="2423" xr3:uid="{3FC97844-51F1-4D69-8884-F5691413580B}" name="Spalte2406"/>
    <tableColumn id="2424" xr3:uid="{9C1B73B3-2D4A-416D-8E10-365B84749C25}" name="Spalte2407"/>
    <tableColumn id="2425" xr3:uid="{C423D532-D1FD-4818-9274-6C9ABF9105F3}" name="Spalte2408"/>
    <tableColumn id="2426" xr3:uid="{ECD97F26-08A0-45A0-B475-0D63056B35FF}" name="Spalte2409"/>
    <tableColumn id="2427" xr3:uid="{B0D0EAAA-CBA8-4EDD-93CA-304B6A3DF5D6}" name="Spalte2410"/>
    <tableColumn id="2428" xr3:uid="{80C99CAC-2C9E-463E-83DB-1D519EAEE7DC}" name="Spalte2411"/>
    <tableColumn id="2429" xr3:uid="{5C89F39F-6F04-4704-A128-F18747594590}" name="Spalte2412"/>
    <tableColumn id="2430" xr3:uid="{54C1D3F4-3AE1-47FA-B8C8-BA1DC0627F96}" name="Spalte2413"/>
    <tableColumn id="2431" xr3:uid="{61D5E5B1-E458-4BFF-BEB3-113DD9F65F5A}" name="Spalte2414"/>
    <tableColumn id="2432" xr3:uid="{028759B4-AC4E-45C8-B01B-D13EF17844D1}" name="Spalte2415"/>
    <tableColumn id="2433" xr3:uid="{E359416F-2C6C-456C-AD5F-38BB13EF6631}" name="Spalte2416"/>
    <tableColumn id="2434" xr3:uid="{608F1A3A-B8D6-4167-803C-1B69769CC4C3}" name="Spalte2417"/>
    <tableColumn id="2435" xr3:uid="{BD8665AA-5393-4BFD-945A-CE4E49EF071D}" name="Spalte2418"/>
    <tableColumn id="2436" xr3:uid="{A3C2A2AE-794B-46C9-B7DB-24950A431C70}" name="Spalte2419"/>
    <tableColumn id="2437" xr3:uid="{984E58FB-367D-4005-9F71-D77483DDD83C}" name="Spalte2420"/>
    <tableColumn id="2438" xr3:uid="{4A8FEE9E-5103-4309-A69B-7EE42B95D8D9}" name="Spalte2421"/>
    <tableColumn id="2439" xr3:uid="{AD082CB4-E1A0-48D9-88AF-41DB437DCC36}" name="Spalte2422"/>
    <tableColumn id="2440" xr3:uid="{056842F0-8FF9-4A86-B15E-AC5D2E1867E1}" name="Spalte2423"/>
    <tableColumn id="2441" xr3:uid="{D41507B7-A996-4CE4-851E-699C57BF1220}" name="Spalte2424"/>
    <tableColumn id="2442" xr3:uid="{1255A2D0-2C07-4097-B907-80C413D9E989}" name="Spalte2425"/>
    <tableColumn id="2443" xr3:uid="{6C8075C0-7FC6-4E95-8128-BA76D224BA38}" name="Spalte2426"/>
    <tableColumn id="2444" xr3:uid="{8EABC106-C036-4EB5-8E48-8DFECC5BFF9C}" name="Spalte2427"/>
    <tableColumn id="2445" xr3:uid="{E7B34F1A-78F6-44FA-B84B-907132B6952D}" name="Spalte2428"/>
    <tableColumn id="2446" xr3:uid="{E5129927-F2F4-4EBA-999E-A1C2E6B86096}" name="Spalte2429"/>
    <tableColumn id="2447" xr3:uid="{840D71FA-9836-4F7B-8BBD-59E3AFF76E04}" name="Spalte2430"/>
    <tableColumn id="2448" xr3:uid="{E41012C3-D1FF-4B2E-910F-6F4E7D9B613A}" name="Spalte2431"/>
    <tableColumn id="2449" xr3:uid="{A569018E-1A37-423C-AAFA-05A54911C50C}" name="Spalte2432"/>
    <tableColumn id="2450" xr3:uid="{E3238624-89FB-4A04-8870-50124BBBABB1}" name="Spalte2433"/>
    <tableColumn id="2451" xr3:uid="{0E842E7C-3EDC-459F-82E6-F0FB38AFBAB4}" name="Spalte2434"/>
    <tableColumn id="2452" xr3:uid="{3EF1BF9F-0C3C-4842-A2A3-C6E44375BDBB}" name="Spalte2435"/>
    <tableColumn id="2453" xr3:uid="{9E4D7508-D68B-4D0E-8FBE-78EB30621809}" name="Spalte2436"/>
    <tableColumn id="2454" xr3:uid="{7572D82B-CA6D-48DB-8636-124935BFAA92}" name="Spalte2437"/>
    <tableColumn id="2455" xr3:uid="{524A316E-724F-4525-98B1-9742EF4A7560}" name="Spalte2438"/>
    <tableColumn id="2456" xr3:uid="{0907CF40-435E-4D6E-BDF2-CFACBAB05791}" name="Spalte2439"/>
    <tableColumn id="2457" xr3:uid="{9BBC07A5-32F5-4891-ABCA-738FA25FD657}" name="Spalte2440"/>
    <tableColumn id="2458" xr3:uid="{A0D9D60E-8A5F-4227-9838-0D883526467B}" name="Spalte2441"/>
    <tableColumn id="2459" xr3:uid="{FDC10673-0714-4972-85EA-E807D190AB31}" name="Spalte2442"/>
    <tableColumn id="2460" xr3:uid="{1BD1D8CE-94BD-4616-9079-FC480F302345}" name="Spalte2443"/>
    <tableColumn id="2461" xr3:uid="{167ACBF1-A38C-4B37-A49D-4EB43CC2FC33}" name="Spalte2444"/>
    <tableColumn id="2462" xr3:uid="{62856C44-DD5D-4CF1-AAC2-C2BB6E19807D}" name="Spalte2445"/>
    <tableColumn id="2463" xr3:uid="{5B1C5BE2-0E8C-45B9-8733-2A670B4E7406}" name="Spalte2446"/>
    <tableColumn id="2464" xr3:uid="{7BDEEA68-77EC-4473-A633-D6CEEF007791}" name="Spalte2447"/>
    <tableColumn id="2465" xr3:uid="{C35715BF-48B2-49F5-B515-331DCA8C2052}" name="Spalte2448"/>
    <tableColumn id="2466" xr3:uid="{A9C22409-D2C3-490A-A6E1-254076074998}" name="Spalte2449"/>
    <tableColumn id="2467" xr3:uid="{726FFC56-E7CA-4146-82DF-DE3C20F5468B}" name="Spalte2450"/>
    <tableColumn id="2468" xr3:uid="{FE1B404A-589A-40A2-92FE-B3A36AC0D3C7}" name="Spalte2451"/>
    <tableColumn id="2469" xr3:uid="{C06C9951-0390-4294-ABCA-5FDF14BDDB14}" name="Spalte2452"/>
    <tableColumn id="2470" xr3:uid="{54FE0D19-020C-41C5-9645-1C4729571521}" name="Spalte2453"/>
    <tableColumn id="2471" xr3:uid="{85234057-8EE2-4BA3-A296-B35FDEC4AF56}" name="Spalte2454"/>
    <tableColumn id="2472" xr3:uid="{1108CD07-17B5-4136-86C4-E4ACCE65F081}" name="Spalte2455"/>
    <tableColumn id="2473" xr3:uid="{81CE7A9A-10E8-435A-954A-9E65FE4F265C}" name="Spalte2456"/>
    <tableColumn id="2474" xr3:uid="{0CB3970E-BD99-4DD5-8C69-9D5C75EE4DA2}" name="Spalte2457"/>
    <tableColumn id="2475" xr3:uid="{B02132CD-D042-493E-B0E8-9EE88746C277}" name="Spalte2458"/>
    <tableColumn id="2476" xr3:uid="{7DC362E1-52E1-43B6-A9B5-DC18982E01E1}" name="Spalte2459"/>
    <tableColumn id="2477" xr3:uid="{8119E84B-5A9F-4AF2-8FEE-9D97D8B92137}" name="Spalte2460"/>
    <tableColumn id="2478" xr3:uid="{2DDE9728-8D73-449A-A669-E12999D262A0}" name="Spalte2461"/>
    <tableColumn id="2479" xr3:uid="{8FC967CC-F19A-4D05-B3B6-D3B215AD7566}" name="Spalte2462"/>
    <tableColumn id="2480" xr3:uid="{D6B47EDC-9384-447E-80CC-5206B9ABBF30}" name="Spalte2463"/>
    <tableColumn id="2481" xr3:uid="{42155BE1-70CD-477C-A681-5E22EC5B7688}" name="Spalte2464"/>
    <tableColumn id="2482" xr3:uid="{5FB5B511-6045-4BA7-8685-1E941C2E2230}" name="Spalte2465"/>
    <tableColumn id="2483" xr3:uid="{DF698011-EA2B-4504-B327-A51303E34923}" name="Spalte2466"/>
    <tableColumn id="2484" xr3:uid="{4CB469D1-C3ED-41A7-B874-8039BBD0D161}" name="Spalte2467"/>
    <tableColumn id="2485" xr3:uid="{3C3CC8BA-DECF-415F-AFB3-41D4538E72A9}" name="Spalte2468"/>
    <tableColumn id="2486" xr3:uid="{E18F1CD1-D075-4DF5-B520-DA36FAEA1909}" name="Spalte2469"/>
    <tableColumn id="2487" xr3:uid="{7EDBE76D-9A9C-456B-97D0-4A33039FE1C2}" name="Spalte2470"/>
    <tableColumn id="2488" xr3:uid="{09FA9739-8A93-495D-9D05-62A05F5CBD89}" name="Spalte2471"/>
    <tableColumn id="2489" xr3:uid="{658E91F1-52CC-468D-8989-B0F29FE827AD}" name="Spalte2472"/>
    <tableColumn id="2490" xr3:uid="{98A005BF-C46F-47B7-8CDD-3FD165F424BD}" name="Spalte2473"/>
    <tableColumn id="2491" xr3:uid="{1B0B2963-B9AA-459F-985E-51C00BB3840B}" name="Spalte2474"/>
    <tableColumn id="2492" xr3:uid="{F3219881-2A3B-44A2-A720-43288BD36051}" name="Spalte2475"/>
    <tableColumn id="2493" xr3:uid="{59D824C8-00F5-4653-9B16-88FEEF6447D4}" name="Spalte2476"/>
    <tableColumn id="2494" xr3:uid="{AE5FA796-A5BC-4895-8244-01632287FF5A}" name="Spalte2477"/>
    <tableColumn id="2495" xr3:uid="{2118C1FE-C208-48AF-94BA-D9991481C02D}" name="Spalte2478"/>
    <tableColumn id="2496" xr3:uid="{6627D594-469F-4A2B-A358-F5F8345AF4AD}" name="Spalte2479"/>
    <tableColumn id="2497" xr3:uid="{874AE4AD-FB7A-4C58-BD11-E1F0A1BF5493}" name="Spalte2480"/>
    <tableColumn id="2498" xr3:uid="{CF6EFF05-2DA1-43B6-BE38-12500F1DEE6A}" name="Spalte2481"/>
    <tableColumn id="2499" xr3:uid="{0D6BD161-F84B-4072-A6C3-A4746BFEA7B1}" name="Spalte2482"/>
    <tableColumn id="2500" xr3:uid="{B10AE498-9623-4C3C-8AE3-3258A39C61E1}" name="Spalte2483"/>
    <tableColumn id="2501" xr3:uid="{8B7E7973-14CA-4193-98DA-2753D176D7AA}" name="Spalte2484"/>
    <tableColumn id="2502" xr3:uid="{DB0A6CD3-D765-4161-98D5-E0E77DB68487}" name="Spalte2485"/>
    <tableColumn id="2503" xr3:uid="{14939AEC-4639-4CBC-A508-013031C58698}" name="Spalte2486"/>
    <tableColumn id="2504" xr3:uid="{3AA499B7-97C6-4A29-ACF1-9D68DC057C9A}" name="Spalte2487"/>
    <tableColumn id="2505" xr3:uid="{242E9D5D-22C7-4F45-91AE-E7885CE29FC9}" name="Spalte2488"/>
    <tableColumn id="2506" xr3:uid="{1883CBE3-2FD6-4E08-A17E-F99509A22CDB}" name="Spalte2489"/>
    <tableColumn id="2507" xr3:uid="{17A76898-CD89-412B-BA89-898C003E0749}" name="Spalte2490"/>
    <tableColumn id="2508" xr3:uid="{163DE1DA-3CC2-4925-82C4-2A69B57CA946}" name="Spalte2491"/>
    <tableColumn id="2509" xr3:uid="{67E1BE41-F929-4C7B-BA1C-B80F8C35FAF1}" name="Spalte2492"/>
    <tableColumn id="2510" xr3:uid="{B3644BB3-2DF4-46A3-B3E8-B7928BD8F3F7}" name="Spalte2493"/>
    <tableColumn id="2511" xr3:uid="{E833D5D8-5E12-4F83-929B-35638EBE1312}" name="Spalte2494"/>
    <tableColumn id="2512" xr3:uid="{B0170CAF-98E4-4E01-BA0A-954BE9630A8C}" name="Spalte2495"/>
    <tableColumn id="2513" xr3:uid="{3F9D1951-8F4F-42B2-AE6E-CD3CFE065E3E}" name="Spalte2496"/>
    <tableColumn id="2514" xr3:uid="{76997AFE-F0E5-4C9B-85A0-11C6F3A797EF}" name="Spalte2497"/>
    <tableColumn id="2515" xr3:uid="{78C90EA9-8995-4DB0-A488-5766B73E0067}" name="Spalte2498"/>
    <tableColumn id="2516" xr3:uid="{03EF4429-BE18-4D43-823F-591B47395DFF}" name="Spalte2499"/>
    <tableColumn id="2517" xr3:uid="{69712E8B-3415-4FC2-A691-63A0CB67A6CB}" name="Spalte2500"/>
    <tableColumn id="2518" xr3:uid="{1AAE99EC-6C14-4757-AFD9-43762221A1EB}" name="Spalte2501"/>
    <tableColumn id="2519" xr3:uid="{9BCFA62E-7C9E-4D73-A3AD-D522C33F646C}" name="Spalte2502"/>
    <tableColumn id="2520" xr3:uid="{63B87E21-944A-4E8C-BF9F-BCC6FE4B1F53}" name="Spalte2503"/>
    <tableColumn id="2521" xr3:uid="{5D629781-367D-4FC7-8519-79C205374183}" name="Spalte2504"/>
    <tableColumn id="2522" xr3:uid="{4543D7ED-5EEB-4460-AA90-9F76B550EFCB}" name="Spalte2505"/>
    <tableColumn id="2523" xr3:uid="{6E780DD6-A6E9-4443-A1C3-489832F76668}" name="Spalte2506"/>
    <tableColumn id="2524" xr3:uid="{FF2AEBDD-65BA-4274-8E47-8DC26C75E802}" name="Spalte2507"/>
    <tableColumn id="2525" xr3:uid="{702967DA-CCBF-42C2-BA99-3CA392F19F17}" name="Spalte2508"/>
    <tableColumn id="2526" xr3:uid="{6F6BB4AB-388E-426B-A5FF-59B17043AB50}" name="Spalte2509"/>
    <tableColumn id="2527" xr3:uid="{F2AD4F3A-2C34-4FB0-9CEA-0F9326079939}" name="Spalte2510"/>
    <tableColumn id="2528" xr3:uid="{9671EEC1-0E02-4301-AE6F-E5F726F3C259}" name="Spalte2511"/>
    <tableColumn id="2529" xr3:uid="{E2BE9A63-1890-4BFE-AFB4-9FB98BE62E5B}" name="Spalte2512"/>
    <tableColumn id="2530" xr3:uid="{FBF5362E-A5A3-4B1C-B9D9-F354F6F34D7A}" name="Spalte2513"/>
    <tableColumn id="2531" xr3:uid="{6452529A-AFC9-4B60-9623-641DD1FB16DC}" name="Spalte2514"/>
    <tableColumn id="2532" xr3:uid="{CF6A32DD-8B1D-4B9C-A178-70AF0168C180}" name="Spalte2515"/>
    <tableColumn id="2533" xr3:uid="{35524648-872A-47EE-9A1C-F78C6336485A}" name="Spalte2516"/>
    <tableColumn id="2534" xr3:uid="{CD0680AD-0E69-4299-B06D-FB101632EA11}" name="Spalte2517"/>
    <tableColumn id="2535" xr3:uid="{CD379801-13B5-4FFD-B695-2BCC4AD20109}" name="Spalte2518"/>
    <tableColumn id="2536" xr3:uid="{C7D2E6E9-792D-4871-98E3-DDEDA5342DD0}" name="Spalte2519"/>
    <tableColumn id="2537" xr3:uid="{B23EA841-C812-4769-BE2C-16789653669A}" name="Spalte2520"/>
    <tableColumn id="2538" xr3:uid="{6F52B36B-73C7-42C8-9B07-BAFFFC25C7B1}" name="Spalte2521"/>
    <tableColumn id="2539" xr3:uid="{F7464312-33FC-4039-8A50-325581476F4A}" name="Spalte2522"/>
    <tableColumn id="2540" xr3:uid="{9D298CFA-6C23-4B83-ABC0-E51BBA7D1438}" name="Spalte2523"/>
    <tableColumn id="2541" xr3:uid="{454E0078-C810-439D-8594-F56E34AE9832}" name="Spalte2524"/>
    <tableColumn id="2542" xr3:uid="{E3F848DB-59BF-44CA-8236-A714751CE03E}" name="Spalte2525"/>
    <tableColumn id="2543" xr3:uid="{1BEFD16C-1C51-4A99-A226-A1CE51796F90}" name="Spalte2526"/>
    <tableColumn id="2544" xr3:uid="{76F32C4A-8F95-4418-9506-84C6E95EDF19}" name="Spalte2527"/>
    <tableColumn id="2545" xr3:uid="{EC0F72D9-C678-4108-A9E3-C1ACCCBD0695}" name="Spalte2528"/>
    <tableColumn id="2546" xr3:uid="{B9A24FA4-0DBC-47A5-9CBB-A9247FBC6D8D}" name="Spalte2529"/>
    <tableColumn id="2547" xr3:uid="{4FF5450B-DDC3-45D0-B5B0-041EF0B248DB}" name="Spalte2530"/>
    <tableColumn id="2548" xr3:uid="{EC50B04C-225A-440B-95D4-3C9B0ADF1692}" name="Spalte2531"/>
    <tableColumn id="2549" xr3:uid="{415966B0-3573-4969-B7DB-210C036904D6}" name="Spalte2532"/>
    <tableColumn id="2550" xr3:uid="{A536B6B8-B8E1-4F93-BE82-5B2A9C4C26F2}" name="Spalte2533"/>
    <tableColumn id="2551" xr3:uid="{A87D8F1E-3C48-41C3-8D7B-91E738F380ED}" name="Spalte2534"/>
    <tableColumn id="2552" xr3:uid="{414E0234-445E-425E-AF5E-49A71AD9F41A}" name="Spalte2535"/>
    <tableColumn id="2553" xr3:uid="{5BAFF726-C52C-41CD-AC41-9826D438F33A}" name="Spalte2536"/>
    <tableColumn id="2554" xr3:uid="{598627ED-E50D-40B2-87C8-48AB76FB787C}" name="Spalte2537"/>
    <tableColumn id="2555" xr3:uid="{E8047458-DEFF-4E59-BEF8-B3835A3CEA4B}" name="Spalte2538"/>
    <tableColumn id="2556" xr3:uid="{5DEE5BBB-8B55-408E-B60E-B51D15423D5C}" name="Spalte2539"/>
    <tableColumn id="2557" xr3:uid="{3E9B6A0E-C8EE-4A7D-91F3-D3487B4F3430}" name="Spalte2540"/>
    <tableColumn id="2558" xr3:uid="{57710AB2-BE57-48BB-8693-3CA0D823FBE0}" name="Spalte2541"/>
    <tableColumn id="2559" xr3:uid="{8F58AB91-918C-4466-B079-2D44CA6E19A1}" name="Spalte2542"/>
    <tableColumn id="2560" xr3:uid="{83BCC2C0-FD80-4BDA-8644-28B0090F89EE}" name="Spalte2543"/>
    <tableColumn id="2561" xr3:uid="{63A0F96D-5D76-4837-8C9A-AEF285743CC6}" name="Spalte2544"/>
    <tableColumn id="2562" xr3:uid="{21F59257-D416-4A5B-9F02-80693438CE9A}" name="Spalte2545"/>
    <tableColumn id="2563" xr3:uid="{8DC4390D-1424-45AA-BA2B-A60DEA5563E9}" name="Spalte2546"/>
    <tableColumn id="2564" xr3:uid="{A83CB4CB-DF81-4069-86BE-1FAE5B9CF3CB}" name="Spalte2547"/>
    <tableColumn id="2565" xr3:uid="{8AFD119F-3C53-4822-9540-9B6B059D3B4F}" name="Spalte2548"/>
    <tableColumn id="2566" xr3:uid="{441A1980-9353-45B9-A573-000B1EA2A731}" name="Spalte2549"/>
    <tableColumn id="2567" xr3:uid="{9E977176-66F3-488A-83E2-DEADF486205A}" name="Spalte2550"/>
    <tableColumn id="2568" xr3:uid="{BEF537C7-7C1D-41D0-B3CA-ED4BC8FCAA17}" name="Spalte2551"/>
    <tableColumn id="2569" xr3:uid="{18EF1827-02E4-4106-886B-0EDE0EFB0E7A}" name="Spalte2552"/>
    <tableColumn id="2570" xr3:uid="{870D0E06-E49C-4F49-8085-2A02DBC8BDF2}" name="Spalte2553"/>
    <tableColumn id="2571" xr3:uid="{F5BCA862-803B-4181-925C-70CAE0B9A6D9}" name="Spalte2554"/>
    <tableColumn id="2572" xr3:uid="{BE47326D-E996-4A8A-A300-567FAD0221CB}" name="Spalte2555"/>
    <tableColumn id="2573" xr3:uid="{18631DBF-2E33-4146-A921-DFD9AE3BE8B7}" name="Spalte2556"/>
    <tableColumn id="2574" xr3:uid="{FDC6DA30-9598-4AB5-9DE6-F03A2A7D901C}" name="Spalte2557"/>
    <tableColumn id="2575" xr3:uid="{D48B8D70-E7D3-4440-ABB6-DD3637BAB509}" name="Spalte2558"/>
    <tableColumn id="2576" xr3:uid="{D32BDA78-AF17-4108-958B-8BC744BC403D}" name="Spalte2559"/>
    <tableColumn id="2577" xr3:uid="{65B8C855-9267-40B9-ACA5-A8F5CCAF5B93}" name="Spalte2560"/>
    <tableColumn id="2578" xr3:uid="{2BD3525F-D364-45F0-A198-86AE1F1BE75E}" name="Spalte2561"/>
    <tableColumn id="2579" xr3:uid="{482AFA2D-933E-406E-A94C-EDB0BFE26250}" name="Spalte2562"/>
    <tableColumn id="2580" xr3:uid="{8CAE98BC-EEFD-40EC-AA17-928A20362070}" name="Spalte2563"/>
    <tableColumn id="2581" xr3:uid="{2163D106-5DB1-4F79-ABEE-7D1B79FC210F}" name="Spalte2564"/>
    <tableColumn id="2582" xr3:uid="{BAFDC9A4-F0B1-4170-9B93-DF87684B4826}" name="Spalte2565"/>
    <tableColumn id="2583" xr3:uid="{908439FC-9037-4DD1-89B7-705E7786A1AD}" name="Spalte2566"/>
    <tableColumn id="2584" xr3:uid="{4A3DE5FB-12DB-4B14-BE43-DDDEA1EE0EA2}" name="Spalte2567"/>
    <tableColumn id="2585" xr3:uid="{E2D666E2-A469-47AB-AA8F-BA7FB57DB4B1}" name="Spalte2568"/>
    <tableColumn id="2586" xr3:uid="{86EA9368-1131-4F05-8D8F-BD4C0A1B33E7}" name="Spalte2569"/>
    <tableColumn id="2587" xr3:uid="{B0ED2E81-4F57-44B2-9AFE-879C320F05A1}" name="Spalte2570"/>
    <tableColumn id="2588" xr3:uid="{5D23DB01-78E4-44AE-BD59-31507B60A3D5}" name="Spalte2571"/>
    <tableColumn id="2589" xr3:uid="{0B7EADAE-BF12-4B58-BC66-CE956EE13C0A}" name="Spalte2572"/>
    <tableColumn id="2590" xr3:uid="{DA9C383C-8A45-4F96-BCA8-37C0579E492E}" name="Spalte2573"/>
    <tableColumn id="2591" xr3:uid="{A7FE36F5-9ECE-49F7-86F2-D3AF8205BA0D}" name="Spalte2574"/>
    <tableColumn id="2592" xr3:uid="{6C7550FD-E1BE-4C92-B993-ADD98D9C3ADE}" name="Spalte2575"/>
    <tableColumn id="2593" xr3:uid="{A4E30DC9-E51C-4BAC-BF4E-F27A58F1C250}" name="Spalte2576"/>
    <tableColumn id="2594" xr3:uid="{2711702E-23D1-45D8-81C4-24EEF2B326A3}" name="Spalte2577"/>
    <tableColumn id="2595" xr3:uid="{3336832E-C4A7-44CE-A4AF-034016F64C31}" name="Spalte2578"/>
    <tableColumn id="2596" xr3:uid="{0E1BC9B7-71E3-4F93-9466-162862F6544C}" name="Spalte2579"/>
    <tableColumn id="2597" xr3:uid="{F8EFBD7B-28CF-4796-B607-F23029D61E51}" name="Spalte2580"/>
    <tableColumn id="2598" xr3:uid="{75EEBC4B-4168-4A5F-B452-2C64D4880F7B}" name="Spalte2581"/>
    <tableColumn id="2599" xr3:uid="{4E99F33E-D642-45FC-AD6E-9FF72FA48E85}" name="Spalte2582"/>
    <tableColumn id="2600" xr3:uid="{D913F096-17F6-401A-ABAF-D531EDC47BF9}" name="Spalte2583"/>
    <tableColumn id="2601" xr3:uid="{A9291478-16D5-4EEF-9550-857C5BC7BA08}" name="Spalte2584"/>
    <tableColumn id="2602" xr3:uid="{0771900D-572A-40EC-82B6-64A3A5343BF3}" name="Spalte2585"/>
    <tableColumn id="2603" xr3:uid="{4F619E05-F6F0-4583-8A9E-1BE7D8270E31}" name="Spalte2586"/>
    <tableColumn id="2604" xr3:uid="{FDE8D6E9-60E9-4673-A0E0-3D57EC3B6DB7}" name="Spalte2587"/>
    <tableColumn id="2605" xr3:uid="{DB5A0F26-A151-42F1-98D9-18470EE36C15}" name="Spalte2588"/>
    <tableColumn id="2606" xr3:uid="{240B01EF-660D-47CD-8CFC-83C4188E9A89}" name="Spalte2589"/>
    <tableColumn id="2607" xr3:uid="{4F3C0D4A-C1AF-47A0-8E6C-91B0AB26EE35}" name="Spalte2590"/>
    <tableColumn id="2608" xr3:uid="{B1EEB601-F8CF-441F-8027-64EABA5762B6}" name="Spalte2591"/>
    <tableColumn id="2609" xr3:uid="{83317774-ECFD-41B8-AFDA-8C9FF5D5B1EE}" name="Spalte2592"/>
    <tableColumn id="2610" xr3:uid="{ED43A218-FD49-4B30-BBBC-39CC94AEE40D}" name="Spalte2593"/>
    <tableColumn id="2611" xr3:uid="{436888FF-ACFB-4ED1-8922-C7A648D8C1AF}" name="Spalte2594"/>
    <tableColumn id="2612" xr3:uid="{DC558A19-2F0B-4CF8-BB1B-FA2DB9218697}" name="Spalte2595"/>
    <tableColumn id="2613" xr3:uid="{779D34D9-015A-4E7D-979D-6181DF936969}" name="Spalte2596"/>
    <tableColumn id="2614" xr3:uid="{7E2CAD12-9B3A-45C8-842B-BB4C8A593462}" name="Spalte2597"/>
    <tableColumn id="2615" xr3:uid="{5922CEBB-9C28-457D-B678-92ECE40E22A3}" name="Spalte2598"/>
    <tableColumn id="2616" xr3:uid="{7A751763-BC4F-4E3C-B7EA-C31FDC773D0E}" name="Spalte2599"/>
    <tableColumn id="2617" xr3:uid="{2F8A8975-7A8D-4FA3-AD91-E55861EC8D50}" name="Spalte2600"/>
    <tableColumn id="2618" xr3:uid="{57791FCB-174E-4D79-9B0F-7F09764211C3}" name="Spalte2601"/>
    <tableColumn id="2619" xr3:uid="{C223F065-2501-4C21-B39D-1AFB49423311}" name="Spalte2602"/>
    <tableColumn id="2620" xr3:uid="{BE16441E-F45D-48DD-94F9-3CBD0FE372F4}" name="Spalte2603"/>
    <tableColumn id="2621" xr3:uid="{ACF32BE0-3FE3-4B7E-A034-84A2F591EA97}" name="Spalte2604"/>
    <tableColumn id="2622" xr3:uid="{1EF23CCC-7C3A-44B6-806D-1B539B081E9A}" name="Spalte2605"/>
    <tableColumn id="2623" xr3:uid="{BB92FC1F-8EA5-4E62-A378-ED8B486C0F49}" name="Spalte2606"/>
    <tableColumn id="2624" xr3:uid="{0407E6AC-F0DB-42C2-9205-63A89B918037}" name="Spalte2607"/>
    <tableColumn id="2625" xr3:uid="{268C5D7E-D97E-4710-909C-1F08D380E44F}" name="Spalte2608"/>
    <tableColumn id="2626" xr3:uid="{D77D1E4E-4563-4FF5-87C9-1E3A804180A1}" name="Spalte2609"/>
    <tableColumn id="2627" xr3:uid="{B40A1128-C93A-4A1E-89B6-05B18B2E96E1}" name="Spalte2610"/>
    <tableColumn id="2628" xr3:uid="{EF7C63D3-CD54-4698-8DBC-B793F6D6EF29}" name="Spalte2611"/>
    <tableColumn id="2629" xr3:uid="{ABEE0D09-F4CE-4637-99BF-4B52EDCF84B1}" name="Spalte2612"/>
    <tableColumn id="2630" xr3:uid="{46D33502-A71F-424C-9F53-EC91A26FB5B2}" name="Spalte2613"/>
    <tableColumn id="2631" xr3:uid="{3918327D-DFF0-43C5-965D-18D1B638169D}" name="Spalte2614"/>
    <tableColumn id="2632" xr3:uid="{73DCC5EC-2BAB-4A07-9EAF-0645223962BC}" name="Spalte2615"/>
    <tableColumn id="2633" xr3:uid="{0DA3097C-6AD9-4FED-93DF-4F9500BF7552}" name="Spalte2616"/>
    <tableColumn id="2634" xr3:uid="{DDE881F2-F88C-428F-A273-5C46C3CDBD5F}" name="Spalte2617"/>
    <tableColumn id="2635" xr3:uid="{8D2C78C3-2FFB-4621-81ED-93B150E1B8EE}" name="Spalte2618"/>
    <tableColumn id="2636" xr3:uid="{018A7539-58E2-4D27-B226-78F9F0C57F93}" name="Spalte2619"/>
    <tableColumn id="2637" xr3:uid="{363023EC-2C15-42DD-A537-73823223E135}" name="Spalte2620"/>
    <tableColumn id="2638" xr3:uid="{31B17874-708F-4B33-BD09-6F2174E7846E}" name="Spalte2621"/>
    <tableColumn id="2639" xr3:uid="{EAF7A369-AC9C-427B-9B34-93871B42586F}" name="Spalte2622"/>
    <tableColumn id="2640" xr3:uid="{29D43981-F1E6-42B5-ACE6-0F231405E011}" name="Spalte2623"/>
    <tableColumn id="2641" xr3:uid="{D643CC58-4864-4ECC-A530-350AF65959EE}" name="Spalte2624"/>
    <tableColumn id="2642" xr3:uid="{488FDE38-A1D6-4B23-BE3C-10862023FBAB}" name="Spalte2625"/>
    <tableColumn id="2643" xr3:uid="{75612D07-830F-4447-9473-CB28E486CC71}" name="Spalte2626"/>
    <tableColumn id="2644" xr3:uid="{8E012113-F03C-48EF-869C-6F3BAA297895}" name="Spalte2627"/>
    <tableColumn id="2645" xr3:uid="{BD013224-08CD-423E-AFDC-3BFD163EA8D0}" name="Spalte2628"/>
    <tableColumn id="2646" xr3:uid="{A62DECD1-B2BB-44CC-9785-150BF2132DCF}" name="Spalte2629"/>
    <tableColumn id="2647" xr3:uid="{9A10CD62-A3D3-4D7C-B4A1-9D48A0DC365C}" name="Spalte2630"/>
    <tableColumn id="2648" xr3:uid="{8D4E9A4B-74A0-4390-AE46-A0EFBE7B5181}" name="Spalte2631"/>
    <tableColumn id="2649" xr3:uid="{2B7628EA-A65D-4415-ACFB-8733B755B254}" name="Spalte2632"/>
    <tableColumn id="2650" xr3:uid="{24FA2A43-18F0-4FB6-81CA-F397D693B8C0}" name="Spalte2633"/>
    <tableColumn id="2651" xr3:uid="{14377173-E285-47A6-AA9C-BDEAB92BAB59}" name="Spalte2634"/>
    <tableColumn id="2652" xr3:uid="{43183B3D-0FA1-4B20-B2B3-038B69899B42}" name="Spalte2635"/>
    <tableColumn id="2653" xr3:uid="{14874EFA-F542-4D65-BFCA-AE0910308B70}" name="Spalte2636"/>
    <tableColumn id="2654" xr3:uid="{59E76406-BDE0-4833-BB44-B6639613614C}" name="Spalte2637"/>
    <tableColumn id="2655" xr3:uid="{6152C98E-25B8-4D36-A649-C381A91B776F}" name="Spalte2638"/>
    <tableColumn id="2656" xr3:uid="{2CA52AF5-A841-4C58-8340-62861B1C0C81}" name="Spalte2639"/>
    <tableColumn id="2657" xr3:uid="{C95DAD02-D70B-490E-9292-1FA78F100209}" name="Spalte2640"/>
    <tableColumn id="2658" xr3:uid="{807D210B-2899-433F-9D56-2EFEE8B377B3}" name="Spalte2641"/>
    <tableColumn id="2659" xr3:uid="{6E85C806-62DD-4BBD-9B65-516224C1F3ED}" name="Spalte2642"/>
    <tableColumn id="2660" xr3:uid="{FDF597A2-E8C4-4EDC-9323-371DBB7F08CB}" name="Spalte2643"/>
    <tableColumn id="2661" xr3:uid="{699CEC16-B79C-4A2A-9F54-9A33ADC5C5FC}" name="Spalte2644"/>
    <tableColumn id="2662" xr3:uid="{244142CB-20D7-46E9-A4C5-56AB5C6920F5}" name="Spalte2645"/>
    <tableColumn id="2663" xr3:uid="{65E6E9B7-8F25-4E38-ABF5-0905AE23DBD4}" name="Spalte2646"/>
    <tableColumn id="2664" xr3:uid="{80119771-D107-4049-9B78-A02A3B99B5E4}" name="Spalte2647"/>
    <tableColumn id="2665" xr3:uid="{8C7461FD-2BAE-4401-9DFA-035368E25687}" name="Spalte2648"/>
    <tableColumn id="2666" xr3:uid="{4EF5BD54-7D78-42DB-9E7F-B529E0A4B7A4}" name="Spalte2649"/>
    <tableColumn id="2667" xr3:uid="{A82F0098-E7E3-4064-8174-D7ABAE8B2102}" name="Spalte2650"/>
    <tableColumn id="2668" xr3:uid="{186B6B93-FCC6-4EF1-ACA9-9C0220940C70}" name="Spalte2651"/>
    <tableColumn id="2669" xr3:uid="{F954C6EB-EEE2-43CE-8A4F-34306620F537}" name="Spalte2652"/>
    <tableColumn id="2670" xr3:uid="{117AA9FD-FF32-4605-BA54-7C197CAB322E}" name="Spalte2653"/>
    <tableColumn id="2671" xr3:uid="{CB00330B-2A64-4AA5-88C1-17E3C1E8BF39}" name="Spalte2654"/>
    <tableColumn id="2672" xr3:uid="{670E5B25-CC1D-4CCC-A0C9-9D88984A4E4D}" name="Spalte2655"/>
    <tableColumn id="2673" xr3:uid="{846971EE-4952-4BFB-9FB5-6AF483354D1E}" name="Spalte2656"/>
    <tableColumn id="2674" xr3:uid="{3F81FA1D-2A38-4241-83E3-B96AA0C2A06B}" name="Spalte2657"/>
    <tableColumn id="2675" xr3:uid="{E495D8AC-EB60-4FAB-895C-BC7C74249384}" name="Spalte2658"/>
    <tableColumn id="2676" xr3:uid="{05839AEE-7A28-41BD-83C9-4681ABA3E3D4}" name="Spalte2659"/>
    <tableColumn id="2677" xr3:uid="{C5D4BF08-2011-458C-A73B-8BCF0045E4E5}" name="Spalte2660"/>
    <tableColumn id="2678" xr3:uid="{8AE8D53F-E3F9-4A67-B6B2-C96C8FA326FA}" name="Spalte2661"/>
    <tableColumn id="2679" xr3:uid="{F3F5182C-8553-405B-BF82-749CC7E69974}" name="Spalte2662"/>
    <tableColumn id="2680" xr3:uid="{A0EA06FE-FB19-4C33-87B6-37CDC2DA9216}" name="Spalte2663"/>
    <tableColumn id="2681" xr3:uid="{C3C544A8-E11A-4134-8298-8C8BD8118E75}" name="Spalte2664"/>
    <tableColumn id="2682" xr3:uid="{2D1CAB95-44BE-4BC9-8D90-366990F03347}" name="Spalte2665"/>
    <tableColumn id="2683" xr3:uid="{8B684DEF-51F1-4E37-8FF6-6EFB89D8503D}" name="Spalte2666"/>
    <tableColumn id="2684" xr3:uid="{83E629B2-1B3C-40F3-AEB2-0400D94DA20C}" name="Spalte2667"/>
    <tableColumn id="2685" xr3:uid="{6AF23855-02A1-4709-9D29-79E834822A90}" name="Spalte2668"/>
    <tableColumn id="2686" xr3:uid="{6174B58B-261D-419A-9987-2F4A787C6544}" name="Spalte2669"/>
    <tableColumn id="2687" xr3:uid="{767310AA-0FB0-4642-8C06-7D628EE784FC}" name="Spalte2670"/>
    <tableColumn id="2688" xr3:uid="{09405736-41C8-467D-816E-6E27ECF78C61}" name="Spalte2671"/>
    <tableColumn id="2689" xr3:uid="{87D6A114-BBFB-46B7-A5C3-609D7ACF6052}" name="Spalte2672"/>
    <tableColumn id="2690" xr3:uid="{F4FC247F-5EB2-4F17-B92B-A9A221CB1DBC}" name="Spalte2673"/>
    <tableColumn id="2691" xr3:uid="{7BBC619B-D394-4B39-B7E2-85568B2703D3}" name="Spalte2674"/>
    <tableColumn id="2692" xr3:uid="{E321EDBE-8385-454A-A7CF-330BC8B937A2}" name="Spalte2675"/>
    <tableColumn id="2693" xr3:uid="{2D241DFA-8194-418B-9462-BBD169C24EF4}" name="Spalte2676"/>
    <tableColumn id="2694" xr3:uid="{872FE0E1-47A6-4F07-BAB4-EB2420796562}" name="Spalte2677"/>
    <tableColumn id="2695" xr3:uid="{810B2B18-09B9-4DFF-9886-CB714D0A0BDA}" name="Spalte2678"/>
    <tableColumn id="2696" xr3:uid="{A8C4E62A-28D9-417A-96BB-51F78E84B851}" name="Spalte2679"/>
    <tableColumn id="2697" xr3:uid="{F9E47895-F769-44ED-B47F-BE7CFF431118}" name="Spalte2680"/>
    <tableColumn id="2698" xr3:uid="{406FCEBC-456F-4759-9837-AF93D0C00E61}" name="Spalte2681"/>
    <tableColumn id="2699" xr3:uid="{FDF4A6C1-7C4B-407E-B7B0-44F058335508}" name="Spalte2682"/>
    <tableColumn id="2700" xr3:uid="{039B9D82-06EB-4390-88AD-26D6C0D000B8}" name="Spalte2683"/>
    <tableColumn id="2701" xr3:uid="{F545703E-ED4C-48E0-9C7E-194D54A0821D}" name="Spalte2684"/>
    <tableColumn id="2702" xr3:uid="{5F3A060B-B435-4508-BC4F-98D5088AAAED}" name="Spalte2685"/>
    <tableColumn id="2703" xr3:uid="{633E3DC5-294C-4085-8ADE-D12B6561CFC2}" name="Spalte2686"/>
    <tableColumn id="2704" xr3:uid="{1E554334-0302-4F47-8FE8-97C66C37BA44}" name="Spalte2687"/>
    <tableColumn id="2705" xr3:uid="{C7FEF30C-BF9C-4B7F-B474-9102EEF27E7A}" name="Spalte2688"/>
    <tableColumn id="2706" xr3:uid="{1C1B67BA-EC78-4490-9DD2-A17EF9A7CC7C}" name="Spalte2689"/>
    <tableColumn id="2707" xr3:uid="{DDD0FC76-B077-459E-A1FA-FF68895F11A2}" name="Spalte2690"/>
    <tableColumn id="2708" xr3:uid="{E0AEA6BE-A0D7-425F-A219-08780DDE2673}" name="Spalte2691"/>
    <tableColumn id="2709" xr3:uid="{40CFFA60-9FB2-4558-B812-D45F2EE3F5C1}" name="Spalte2692"/>
    <tableColumn id="2710" xr3:uid="{1B498401-DD62-47A8-A022-82A875213D1F}" name="Spalte2693"/>
    <tableColumn id="2711" xr3:uid="{8515EEC1-39DF-450F-8AA1-420F3BCE3161}" name="Spalte2694"/>
    <tableColumn id="2712" xr3:uid="{BEFA183F-0EEC-4F66-88DE-A534EA097B82}" name="Spalte2695"/>
    <tableColumn id="2713" xr3:uid="{08567755-13F3-4A70-A276-FAF5B641832B}" name="Spalte2696"/>
    <tableColumn id="2714" xr3:uid="{AE7358C8-C511-4E8C-AE4E-E4262B7226FA}" name="Spalte2697"/>
    <tableColumn id="2715" xr3:uid="{C63518F5-66C3-40CF-946B-229D2F9E7453}" name="Spalte2698"/>
    <tableColumn id="2716" xr3:uid="{53887C6B-2AAA-4427-A792-80AA2ADDFFA6}" name="Spalte2699"/>
    <tableColumn id="2717" xr3:uid="{4F673E3C-1E2E-4F77-9845-6F56F141A226}" name="Spalte2700"/>
    <tableColumn id="2718" xr3:uid="{17E11A1C-26E4-46E5-AFC3-75C524CAE430}" name="Spalte2701"/>
    <tableColumn id="2719" xr3:uid="{314BA088-8CFC-4404-AB4E-FA8361F6ABDF}" name="Spalte2702"/>
    <tableColumn id="2720" xr3:uid="{6D5A9C45-83B7-4C85-9B80-51EEBE6A758E}" name="Spalte2703"/>
    <tableColumn id="2721" xr3:uid="{92A5EB5D-2E19-4CEC-B432-08E11E579818}" name="Spalte2704"/>
    <tableColumn id="2722" xr3:uid="{D970C1E9-63F6-4BA3-845D-5F0048D56BE8}" name="Spalte2705"/>
    <tableColumn id="2723" xr3:uid="{95832259-C39A-43C5-BADC-5B58330CBB74}" name="Spalte2706"/>
    <tableColumn id="2724" xr3:uid="{2D866A62-3F77-4B7F-A994-56D764FD5E4F}" name="Spalte2707"/>
    <tableColumn id="2725" xr3:uid="{1073506E-5362-40B2-9B86-134F4AC04549}" name="Spalte2708"/>
    <tableColumn id="2726" xr3:uid="{10710604-CF72-496E-8C2B-35D8D107C654}" name="Spalte2709"/>
    <tableColumn id="2727" xr3:uid="{0EEA0B99-C9C9-4C34-84C5-5F0D7FFAD343}" name="Spalte2710"/>
    <tableColumn id="2728" xr3:uid="{34EF2B4F-6801-48AC-BE86-4784F81851A5}" name="Spalte2711"/>
    <tableColumn id="2729" xr3:uid="{75271214-F133-4CE5-ADEA-54096FE26D9F}" name="Spalte2712"/>
    <tableColumn id="2730" xr3:uid="{1D54D6F2-97D6-40E5-9E69-F4BABC2CCB4E}" name="Spalte2713"/>
    <tableColumn id="2731" xr3:uid="{E1A037EF-8356-4C1B-BFFC-89E52A10182F}" name="Spalte2714"/>
    <tableColumn id="2732" xr3:uid="{7107EB34-004D-44A1-B28D-BD38D4AB792F}" name="Spalte2715"/>
    <tableColumn id="2733" xr3:uid="{F7401D13-A99B-465C-A02F-AE8D858CF3B4}" name="Spalte2716"/>
    <tableColumn id="2734" xr3:uid="{21636F54-D6D8-4CCB-8CC6-BF0C0020AEC5}" name="Spalte2717"/>
    <tableColumn id="2735" xr3:uid="{F5CF931F-0C23-4B9B-BCE8-0238B85E0711}" name="Spalte2718"/>
    <tableColumn id="2736" xr3:uid="{277B44DC-5F14-4A08-9E7E-F76D7D5F5452}" name="Spalte2719"/>
    <tableColumn id="2737" xr3:uid="{AC397C05-F85F-4F06-9181-5F2D7A74337C}" name="Spalte2720"/>
    <tableColumn id="2738" xr3:uid="{599A208A-F13F-4E79-B940-23019688A868}" name="Spalte2721"/>
    <tableColumn id="2739" xr3:uid="{5227CD6E-CB9A-4A9C-A0EE-55359A20F1A8}" name="Spalte2722"/>
    <tableColumn id="2740" xr3:uid="{A0EF1ADC-FC6F-4696-B443-C0CCF1D503BD}" name="Spalte2723"/>
    <tableColumn id="2741" xr3:uid="{63C77BE4-355C-418E-8D84-5FD24B89DEF6}" name="Spalte2724"/>
    <tableColumn id="2742" xr3:uid="{C12BBA9F-AB67-46FA-89DC-6F2BBC8F1CEA}" name="Spalte2725"/>
    <tableColumn id="2743" xr3:uid="{E5D2B2D9-A085-4CA7-8F29-D022861E654A}" name="Spalte2726"/>
    <tableColumn id="2744" xr3:uid="{E8637F5F-1529-451D-BF27-7D4F6DF5BC58}" name="Spalte2727"/>
    <tableColumn id="2745" xr3:uid="{1FA4DFCA-9C91-4A75-B729-B15B7A850CF7}" name="Spalte2728"/>
    <tableColumn id="2746" xr3:uid="{E730EE21-FBB6-49AB-ADC2-E80E7813100A}" name="Spalte2729"/>
    <tableColumn id="2747" xr3:uid="{F6D56A88-13BC-4527-8BB6-C3640225340A}" name="Spalte2730"/>
    <tableColumn id="2748" xr3:uid="{8EDD8A7B-8D5E-4F0C-BF65-EC8974F83C90}" name="Spalte2731"/>
    <tableColumn id="2749" xr3:uid="{EAD02225-7E70-4D49-9C46-77BE907DC153}" name="Spalte2732"/>
    <tableColumn id="2750" xr3:uid="{CB3CE926-4CAF-4F3B-88F3-5D2D1DC782CE}" name="Spalte2733"/>
    <tableColumn id="2751" xr3:uid="{42E50F24-238D-4FBF-8ED0-F6ED88F9455E}" name="Spalte2734"/>
    <tableColumn id="2752" xr3:uid="{5BAAF210-FB11-49FA-B14C-1DDF42D1778D}" name="Spalte2735"/>
    <tableColumn id="2753" xr3:uid="{FB8DAF49-2F3A-4844-A83B-749491D42657}" name="Spalte2736"/>
    <tableColumn id="2754" xr3:uid="{5AF7D947-0195-4C9C-92D0-91FC93C28AFB}" name="Spalte2737"/>
    <tableColumn id="2755" xr3:uid="{F2E0E35F-C402-4A33-9FC7-07C41A1E3ED3}" name="Spalte2738"/>
    <tableColumn id="2756" xr3:uid="{B111DA66-67FD-423A-9D2F-64DC39061FF9}" name="Spalte2739"/>
    <tableColumn id="2757" xr3:uid="{92C6CD94-4E67-4863-9884-A8DEAEF1E437}" name="Spalte2740"/>
    <tableColumn id="2758" xr3:uid="{2E881AB3-174C-4BEE-8D41-4D2551AE80CB}" name="Spalte2741"/>
    <tableColumn id="2759" xr3:uid="{DF7BB1EE-3CB6-440C-B13F-60B1A969AC08}" name="Spalte2742"/>
    <tableColumn id="2760" xr3:uid="{E1825448-6035-4187-A79C-D63AC3AF7667}" name="Spalte2743"/>
    <tableColumn id="2761" xr3:uid="{493F6D2D-5A38-46FB-99B8-0E0DF333B10D}" name="Spalte2744"/>
    <tableColumn id="2762" xr3:uid="{C8749337-7E0B-43D5-8D16-900FDE65BFFB}" name="Spalte2745"/>
    <tableColumn id="2763" xr3:uid="{15FC2B3A-1519-43FB-A0C5-1A557013108B}" name="Spalte2746"/>
    <tableColumn id="2764" xr3:uid="{097DACE6-F843-4F92-B677-B5600E623B27}" name="Spalte2747"/>
    <tableColumn id="2765" xr3:uid="{DB62B967-354D-4CDC-B091-9C399FCF06F8}" name="Spalte2748"/>
    <tableColumn id="2766" xr3:uid="{027E5A4D-C025-4E6B-83D5-3AC05ACED58C}" name="Spalte2749"/>
    <tableColumn id="2767" xr3:uid="{5BCD3BA2-AB17-4A49-965C-96FAC8B63A35}" name="Spalte2750"/>
    <tableColumn id="2768" xr3:uid="{DAD65F4A-70BE-4146-8BBB-7FDCF3A99DF0}" name="Spalte2751"/>
    <tableColumn id="2769" xr3:uid="{CDDF1B03-E3CA-46AF-8DE3-166A3C46D1F9}" name="Spalte2752"/>
    <tableColumn id="2770" xr3:uid="{FFB96E4C-50C2-47E1-A747-F39FACA6520A}" name="Spalte2753"/>
    <tableColumn id="2771" xr3:uid="{3C26662D-7133-44A2-970A-4F2D24CE9266}" name="Spalte2754"/>
    <tableColumn id="2772" xr3:uid="{78B66728-ECDF-433C-98E8-37C536248887}" name="Spalte2755"/>
    <tableColumn id="2773" xr3:uid="{B7BA122E-1709-4566-BCBF-9E9E34EE9F74}" name="Spalte2756"/>
    <tableColumn id="2774" xr3:uid="{FD265535-C960-4A2B-9B87-E6CC3206659C}" name="Spalte2757"/>
    <tableColumn id="2775" xr3:uid="{628AA2C2-2A37-400D-9E66-793BB96D0DA7}" name="Spalte2758"/>
    <tableColumn id="2776" xr3:uid="{7D587263-B050-4469-807B-782F9D36A24B}" name="Spalte2759"/>
    <tableColumn id="2777" xr3:uid="{5D610FC9-D483-463C-8CAD-1301403C3900}" name="Spalte2760"/>
    <tableColumn id="2778" xr3:uid="{0E8B7384-F89C-4C98-B7E9-06D7E1296448}" name="Spalte2761"/>
    <tableColumn id="2779" xr3:uid="{5F759D47-E688-48CA-94D3-A3FF8113929F}" name="Spalte2762"/>
    <tableColumn id="2780" xr3:uid="{4564E889-E7F2-4FC6-B8DF-570559DCED71}" name="Spalte2763"/>
    <tableColumn id="2781" xr3:uid="{2EE6191F-8688-44BB-AF9C-1983A5897D10}" name="Spalte2764"/>
    <tableColumn id="2782" xr3:uid="{CC18B282-F10B-402E-B57A-E02EB7AC1391}" name="Spalte2765"/>
    <tableColumn id="2783" xr3:uid="{BB45C5C5-66B9-43A9-BAD6-437C26840291}" name="Spalte2766"/>
    <tableColumn id="2784" xr3:uid="{6C5F1665-1160-47A5-A76A-2EA6C8A970F0}" name="Spalte2767"/>
    <tableColumn id="2785" xr3:uid="{EACB05DE-E7D3-4D11-8BD1-A3E8D03CEC02}" name="Spalte2768"/>
    <tableColumn id="2786" xr3:uid="{72E2C4FA-DDCA-43B1-BD70-0050E469B351}" name="Spalte2769"/>
    <tableColumn id="2787" xr3:uid="{A670ACD0-6922-4A0A-8E4C-38EEABDD510F}" name="Spalte2770"/>
    <tableColumn id="2788" xr3:uid="{2335C442-3373-4D19-BC0D-918BB2029BFC}" name="Spalte2771"/>
    <tableColumn id="2789" xr3:uid="{F49BF3CA-AFEF-4420-AC0D-4D93C6C0AD27}" name="Spalte2772"/>
    <tableColumn id="2790" xr3:uid="{B171AF34-A7F3-4A0A-A995-DBF00D1C56F8}" name="Spalte2773"/>
    <tableColumn id="2791" xr3:uid="{E717DB78-99F1-4751-96CE-CDDB1230BEF2}" name="Spalte2774"/>
    <tableColumn id="2792" xr3:uid="{43D80EEF-A4A4-47BA-B64B-D7A63493D7E1}" name="Spalte2775"/>
    <tableColumn id="2793" xr3:uid="{C5B28E0E-3A25-4E39-9287-0CE75B948385}" name="Spalte2776"/>
    <tableColumn id="2794" xr3:uid="{A9D31474-5369-4E3B-82ED-8B2991CE8CAF}" name="Spalte2777"/>
    <tableColumn id="2795" xr3:uid="{8A7003A2-51CA-490E-85DD-65E4A629D186}" name="Spalte2778"/>
    <tableColumn id="2796" xr3:uid="{D5FF7DD1-0361-46D5-94FE-44509D70423D}" name="Spalte2779"/>
    <tableColumn id="2797" xr3:uid="{F9A4F57C-E91D-47E2-96FF-4A051CCAF6DB}" name="Spalte2780"/>
    <tableColumn id="2798" xr3:uid="{4C136EED-0FC7-4193-BEAD-04961E74D9E7}" name="Spalte2781"/>
    <tableColumn id="2799" xr3:uid="{59840E3B-CCC3-4DA1-BF64-AF1493F9D551}" name="Spalte2782"/>
    <tableColumn id="2800" xr3:uid="{6F446358-AACD-4D2F-B2D7-0E1520350215}" name="Spalte2783"/>
    <tableColumn id="2801" xr3:uid="{054FD220-3AF6-429A-864F-A145CD2B3D10}" name="Spalte2784"/>
    <tableColumn id="2802" xr3:uid="{ED152406-67BE-4FF2-9EC8-430C43BAC848}" name="Spalte2785"/>
    <tableColumn id="2803" xr3:uid="{41C021F3-1500-4FFD-9CAA-055088C8883F}" name="Spalte2786"/>
    <tableColumn id="2804" xr3:uid="{5250911A-6C82-45F6-91BB-3B3580D40318}" name="Spalte2787"/>
    <tableColumn id="2805" xr3:uid="{CC1428C6-B536-44DC-B405-FAF0552219B4}" name="Spalte2788"/>
    <tableColumn id="2806" xr3:uid="{ED856BB8-9A22-45F1-AA7B-C3B2B3ABA6CC}" name="Spalte2789"/>
    <tableColumn id="2807" xr3:uid="{88B364FE-9B05-4E7E-8940-5466321E28AA}" name="Spalte2790"/>
    <tableColumn id="2808" xr3:uid="{26FD51FF-435E-47FF-81E3-4EE19C90C3D8}" name="Spalte2791"/>
    <tableColumn id="2809" xr3:uid="{1DECA84C-9366-4533-A606-6A4B97A6C2A8}" name="Spalte2792"/>
    <tableColumn id="2810" xr3:uid="{152744CB-4ABB-44C2-9159-1674093C6A22}" name="Spalte2793"/>
    <tableColumn id="2811" xr3:uid="{9B1962E6-F633-410F-B8E0-1815B114480E}" name="Spalte2794"/>
    <tableColumn id="2812" xr3:uid="{9BB96E11-5B13-4218-9F7A-13914F2B7BF1}" name="Spalte2795"/>
    <tableColumn id="2813" xr3:uid="{A60161C3-4E1C-4EA9-A00E-80A38E425455}" name="Spalte2796"/>
    <tableColumn id="2814" xr3:uid="{3EE33161-C249-405B-8D4B-DC618C1159CA}" name="Spalte2797"/>
    <tableColumn id="2815" xr3:uid="{B0CD848B-A3E9-4F3F-B906-D8024237DB4E}" name="Spalte2798"/>
    <tableColumn id="2816" xr3:uid="{66FBA712-055F-48C0-A5FC-197B42195D27}" name="Spalte2799"/>
    <tableColumn id="2817" xr3:uid="{7ADA83FB-5B23-4C5B-93A4-613E7DED1A77}" name="Spalte2800"/>
    <tableColumn id="2818" xr3:uid="{7622A604-6162-409A-83FA-EC31B4305243}" name="Spalte2801"/>
    <tableColumn id="2819" xr3:uid="{C3CB4FEE-D8B5-4C57-A033-0D3DBE894C84}" name="Spalte2802"/>
    <tableColumn id="2820" xr3:uid="{DAB82D4E-F262-44CF-ADB4-DA3215D92A76}" name="Spalte2803"/>
    <tableColumn id="2821" xr3:uid="{0F537DA1-2C81-4592-BFA0-50FA4CA54C98}" name="Spalte2804"/>
    <tableColumn id="2822" xr3:uid="{6016C2E0-DC66-41F8-9477-755E6AF78F70}" name="Spalte2805"/>
    <tableColumn id="2823" xr3:uid="{8EECBC5E-F924-40D5-895F-B57F607A4203}" name="Spalte2806"/>
    <tableColumn id="2824" xr3:uid="{EF09F758-D72B-4FE1-82C3-2CCD35A81C6B}" name="Spalte2807"/>
    <tableColumn id="2825" xr3:uid="{E878A01F-0E98-4769-BB5A-97EC5375FA3F}" name="Spalte2808"/>
    <tableColumn id="2826" xr3:uid="{9DC2A62B-CCC8-4F2A-B99D-6AE3E7DE1869}" name="Spalte2809"/>
    <tableColumn id="2827" xr3:uid="{B0F3A915-99F6-4083-AC89-084EE5506E79}" name="Spalte2810"/>
    <tableColumn id="2828" xr3:uid="{B9C756E8-EDAA-4AA3-995D-EA0F4B1B16F5}" name="Spalte2811"/>
    <tableColumn id="2829" xr3:uid="{96EAC141-9075-4155-A676-90DF39732D2F}" name="Spalte2812"/>
    <tableColumn id="2830" xr3:uid="{4FA11A58-E2AC-456B-A8AA-134AEA1B25DE}" name="Spalte2813"/>
    <tableColumn id="2831" xr3:uid="{B8C3EDB3-02A6-4892-819D-D8FC93B6C044}" name="Spalte2814"/>
    <tableColumn id="2832" xr3:uid="{E2CEAD3B-1433-40CD-816D-F104D363F83D}" name="Spalte2815"/>
    <tableColumn id="2833" xr3:uid="{38933E4E-855A-44C0-9486-2D39B1B09B7F}" name="Spalte2816"/>
    <tableColumn id="2834" xr3:uid="{5D9B88D4-812D-4C24-B87A-22C5CA922DCF}" name="Spalte2817"/>
    <tableColumn id="2835" xr3:uid="{A6A84004-7CBC-403E-80A4-A9BB968E0131}" name="Spalte2818"/>
    <tableColumn id="2836" xr3:uid="{3B7E03E4-750A-463F-B58A-861BC1605388}" name="Spalte2819"/>
    <tableColumn id="2837" xr3:uid="{01F5CD34-6413-4BA3-9479-1BEA78D4AB9D}" name="Spalte2820"/>
    <tableColumn id="2838" xr3:uid="{EAA4B9D9-E03D-40BA-BADB-3D42A6C1177C}" name="Spalte2821"/>
    <tableColumn id="2839" xr3:uid="{127D9ECA-FDD0-4B33-AB9B-6A83690A5D83}" name="Spalte2822"/>
    <tableColumn id="2840" xr3:uid="{CD5B0D7B-0FD1-4475-815E-966485909BC4}" name="Spalte2823"/>
    <tableColumn id="2841" xr3:uid="{B407F074-17EE-4EDA-A9BB-161238BB22BA}" name="Spalte2824"/>
    <tableColumn id="2842" xr3:uid="{E6E4C711-D6D2-48BC-8B65-42D979F0EACE}" name="Spalte2825"/>
    <tableColumn id="2843" xr3:uid="{F77809AF-044C-419A-99D6-7ADAA62C07FD}" name="Spalte2826"/>
    <tableColumn id="2844" xr3:uid="{B88B794E-963F-478F-AEAD-D81335B2AB9C}" name="Spalte2827"/>
    <tableColumn id="2845" xr3:uid="{17F94F61-E429-449B-B696-37D04A1C73FA}" name="Spalte2828"/>
    <tableColumn id="2846" xr3:uid="{9302581B-5228-45BC-8B72-6A646827B09B}" name="Spalte2829"/>
    <tableColumn id="2847" xr3:uid="{777A4A58-9984-4DF8-997D-619F200405D8}" name="Spalte2830"/>
    <tableColumn id="2848" xr3:uid="{58DD3C70-3B0E-4E5C-AE62-EA35C5E2CE71}" name="Spalte2831"/>
    <tableColumn id="2849" xr3:uid="{215C7C70-5FC8-44BE-B23F-58F9A67969B5}" name="Spalte2832"/>
    <tableColumn id="2850" xr3:uid="{634BFE8B-19B6-46F8-93EA-1A73CE105ACD}" name="Spalte2833"/>
    <tableColumn id="2851" xr3:uid="{17DF1A27-4554-4228-87BD-C944F0F9070B}" name="Spalte2834"/>
    <tableColumn id="2852" xr3:uid="{EC9451F3-B459-4466-8F02-101A00D67DF5}" name="Spalte2835"/>
    <tableColumn id="2853" xr3:uid="{FB3F47BF-72C1-4794-8360-F9D5044BFAFC}" name="Spalte2836"/>
    <tableColumn id="2854" xr3:uid="{A63767C2-0EBA-4A0F-A30E-D59C43B952D4}" name="Spalte2837"/>
    <tableColumn id="2855" xr3:uid="{6DF10DD3-B57E-480A-BE15-78F348352BB0}" name="Spalte2838"/>
    <tableColumn id="2856" xr3:uid="{01DF9DEB-EBBA-49EC-B2B9-9FC239184C67}" name="Spalte2839"/>
    <tableColumn id="2857" xr3:uid="{8AAC78D5-61FC-4C76-97F7-EDB2602A4DB9}" name="Spalte2840"/>
    <tableColumn id="2858" xr3:uid="{E3CC912D-7673-4B3F-BAC3-61F7C10999BC}" name="Spalte2841"/>
    <tableColumn id="2859" xr3:uid="{C677E073-0866-4375-A805-FD2B49312696}" name="Spalte2842"/>
    <tableColumn id="2860" xr3:uid="{26A9E267-0EAC-41C0-BC16-DA3976B49C9F}" name="Spalte2843"/>
    <tableColumn id="2861" xr3:uid="{47BAB257-0319-4411-BF76-6A2BA6CE3AA4}" name="Spalte2844"/>
    <tableColumn id="2862" xr3:uid="{2F6AD1A3-2BDB-443A-BC9F-9664BA840C80}" name="Spalte2845"/>
    <tableColumn id="2863" xr3:uid="{4EC99E7F-680A-4D62-81CE-BE8DBCA8F459}" name="Spalte2846"/>
    <tableColumn id="2864" xr3:uid="{D4D19970-0B01-4400-93A5-78143B7911D7}" name="Spalte2847"/>
    <tableColumn id="2865" xr3:uid="{F3EB1292-4814-436A-9880-B7C24B48D189}" name="Spalte2848"/>
    <tableColumn id="2866" xr3:uid="{349C3A7B-29C5-4859-BA59-84391150C6E6}" name="Spalte2849"/>
    <tableColumn id="2867" xr3:uid="{90ABDCDF-5F44-485A-B1F7-F444D21D37F8}" name="Spalte2850"/>
    <tableColumn id="2868" xr3:uid="{F87963AD-F0BB-4C91-9C8A-DA7BAD7BC6BE}" name="Spalte2851"/>
    <tableColumn id="2869" xr3:uid="{5735115E-9BBA-47AA-95B4-CCE0583AC0C0}" name="Spalte2852"/>
    <tableColumn id="2870" xr3:uid="{B5F47BD9-1F0A-4DE9-A701-97CDD846FAE4}" name="Spalte2853"/>
    <tableColumn id="2871" xr3:uid="{6A9B7BE6-0925-4753-913A-C3693868FC69}" name="Spalte2854"/>
    <tableColumn id="2872" xr3:uid="{498B5059-2545-4AE7-8819-1E03B5E0BFD4}" name="Spalte2855"/>
    <tableColumn id="2873" xr3:uid="{0EE23884-9E0C-4948-8C68-6D3E60B2BDC7}" name="Spalte2856"/>
    <tableColumn id="2874" xr3:uid="{EDBDA1B3-911F-4335-88A5-B68D53410934}" name="Spalte2857"/>
    <tableColumn id="2875" xr3:uid="{30D2FEDD-65C5-4847-A768-A2C9AAF03B13}" name="Spalte2858"/>
    <tableColumn id="2876" xr3:uid="{BDD20BEA-99B3-4D5B-9EC7-CDC9CFC95F4C}" name="Spalte2859"/>
    <tableColumn id="2877" xr3:uid="{1DA90A36-B0EB-4D7E-9AD5-75CB3126F2D9}" name="Spalte2860"/>
    <tableColumn id="2878" xr3:uid="{DD891669-4340-461E-AA7B-9E3F19660A2D}" name="Spalte2861"/>
    <tableColumn id="2879" xr3:uid="{2302F02E-7CCE-4A26-A797-EE4D06E587C1}" name="Spalte2862"/>
    <tableColumn id="2880" xr3:uid="{9F9E6ACF-31F2-46E2-923C-8ECBC20596AF}" name="Spalte2863"/>
    <tableColumn id="2881" xr3:uid="{990E9FFE-C0A3-4335-8E45-C2790B1FD2CA}" name="Spalte2864"/>
    <tableColumn id="2882" xr3:uid="{B4D19D58-5739-4DA9-88CD-30C53F08E0AA}" name="Spalte2865"/>
    <tableColumn id="2883" xr3:uid="{54AA5C83-1235-4CDD-81A6-D738D532D069}" name="Spalte2866"/>
    <tableColumn id="2884" xr3:uid="{29F40A4C-EB10-445E-8346-B158E68E6ADE}" name="Spalte2867"/>
    <tableColumn id="2885" xr3:uid="{B1672733-08B9-4CF7-B5CD-9BE39722CA73}" name="Spalte2868"/>
    <tableColumn id="2886" xr3:uid="{C703B5C2-F192-4FBB-8F56-CD62137F3FE8}" name="Spalte2869"/>
    <tableColumn id="2887" xr3:uid="{A0A7A65F-3EBF-460D-87E7-52ECF1AD9AD7}" name="Spalte2870"/>
    <tableColumn id="2888" xr3:uid="{A1D7B6EB-EF96-4DD1-8B6B-CF4D4C0E4AD3}" name="Spalte2871"/>
    <tableColumn id="2889" xr3:uid="{D116B14E-6EEB-40CC-9A4B-C812EFFE28FD}" name="Spalte2872"/>
    <tableColumn id="2890" xr3:uid="{B2AC0FE1-C28B-4CF3-9DD1-19B8E480A83D}" name="Spalte2873"/>
    <tableColumn id="2891" xr3:uid="{0B97D6D8-682F-4E15-8FC9-21A751F27AAB}" name="Spalte2874"/>
    <tableColumn id="2892" xr3:uid="{2CFF84E6-2A6E-4FEF-A860-08A03CF2D318}" name="Spalte2875"/>
    <tableColumn id="2893" xr3:uid="{32C73872-CA81-45C6-9522-299BA2945A30}" name="Spalte2876"/>
    <tableColumn id="2894" xr3:uid="{6BCE5945-1C04-4A10-9A0E-898A35A513FB}" name="Spalte2877"/>
    <tableColumn id="2895" xr3:uid="{DF6D8CAE-F68C-47E0-8B7E-C163880109F5}" name="Spalte2878"/>
    <tableColumn id="2896" xr3:uid="{5CD8C499-0FA9-4650-9D65-BB84CAD9F23D}" name="Spalte2879"/>
    <tableColumn id="2897" xr3:uid="{04F4FFD4-7BC9-401A-9540-5504F2945FD7}" name="Spalte2880"/>
    <tableColumn id="2898" xr3:uid="{31908870-4C5A-4588-B603-2E07F61E110A}" name="Spalte2881"/>
    <tableColumn id="2899" xr3:uid="{8367F8DD-AA82-4FE7-A9C6-D3CF78201CAE}" name="Spalte2882"/>
    <tableColumn id="2900" xr3:uid="{B1C85A48-A7B7-4302-B724-8BCCE9E097CE}" name="Spalte2883"/>
    <tableColumn id="2901" xr3:uid="{971D87D3-3112-4A9E-BC79-36A51C290A63}" name="Spalte2884"/>
    <tableColumn id="2902" xr3:uid="{CF647265-75F0-413B-AD41-9EA9BCEC0CF3}" name="Spalte2885"/>
    <tableColumn id="2903" xr3:uid="{6743EF71-214B-4BE3-9B8C-CA3AE7F277F0}" name="Spalte2886"/>
    <tableColumn id="2904" xr3:uid="{7F90D55E-F099-4E02-9C51-4EC58D753280}" name="Spalte2887"/>
    <tableColumn id="2905" xr3:uid="{6B472FD4-6D11-4B23-86CC-8065A52734BF}" name="Spalte2888"/>
    <tableColumn id="2906" xr3:uid="{0CFED891-3107-4128-8555-BEFC0730387C}" name="Spalte2889"/>
    <tableColumn id="2907" xr3:uid="{B87BF44C-7AA5-4F68-B92C-88446E4393F3}" name="Spalte2890"/>
    <tableColumn id="2908" xr3:uid="{18F681CF-4DA5-4B33-B281-3688B5F9704B}" name="Spalte2891"/>
    <tableColumn id="2909" xr3:uid="{F25D7F13-2F79-457F-84A0-5DD8BB29A945}" name="Spalte2892"/>
    <tableColumn id="2910" xr3:uid="{FDB2C29E-4687-4D99-BC3D-F1B7A9592141}" name="Spalte2893"/>
    <tableColumn id="2911" xr3:uid="{3F25FBF8-AABE-476E-8480-DE34B3AE7804}" name="Spalte2894"/>
    <tableColumn id="2912" xr3:uid="{5A8B4ABE-C184-440C-B617-F9BD26FD29FB}" name="Spalte2895"/>
    <tableColumn id="2913" xr3:uid="{2D8D9C61-8944-4BEC-B99F-F76EB07D56E3}" name="Spalte2896"/>
    <tableColumn id="2914" xr3:uid="{8EF8D856-2DD5-4191-B9D3-67296070B975}" name="Spalte2897"/>
    <tableColumn id="2915" xr3:uid="{A1B1011B-5A1D-4A7E-84C6-EFAB1E6083DF}" name="Spalte2898"/>
    <tableColumn id="2916" xr3:uid="{A4D22CFE-D387-4B24-A3E1-821D55610E85}" name="Spalte2899"/>
    <tableColumn id="2917" xr3:uid="{022518CB-6D84-4622-85B0-1F049834AEDF}" name="Spalte2900"/>
    <tableColumn id="2918" xr3:uid="{9D2CC3F3-AC98-4AE8-9F0E-6955E6721189}" name="Spalte2901"/>
    <tableColumn id="2919" xr3:uid="{07BA197C-E967-4242-862F-BEC51525EB32}" name="Spalte2902"/>
    <tableColumn id="2920" xr3:uid="{04236545-0270-4994-9CD7-8657C4A8D6D9}" name="Spalte2903"/>
    <tableColumn id="2921" xr3:uid="{31B8ADC3-11E6-437F-B826-F2643DE3CB5B}" name="Spalte2904"/>
    <tableColumn id="2922" xr3:uid="{DB88360E-5E37-4C55-8B21-61E0EDDA79C6}" name="Spalte2905"/>
    <tableColumn id="2923" xr3:uid="{E0B44265-8FED-4CA3-A9AB-9C347CD6BF6F}" name="Spalte2906"/>
    <tableColumn id="2924" xr3:uid="{FB9920A1-6254-4FDC-AF93-552CC7A401E5}" name="Spalte2907"/>
    <tableColumn id="2925" xr3:uid="{E0B69AF4-EA58-49D6-9518-D748D0932BE4}" name="Spalte2908"/>
    <tableColumn id="2926" xr3:uid="{C87A428A-57B4-4892-9613-51F8EE694B1A}" name="Spalte2909"/>
    <tableColumn id="2927" xr3:uid="{F113CA06-5E49-4F59-9EA1-0E8567B0FFA0}" name="Spalte2910"/>
    <tableColumn id="2928" xr3:uid="{DA562192-182E-4557-BBD4-51A3279D2E78}" name="Spalte2911"/>
    <tableColumn id="2929" xr3:uid="{0CDF2154-3240-41EC-8C6A-78E7E53E4B7A}" name="Spalte2912"/>
    <tableColumn id="2930" xr3:uid="{9C4B1AF6-B440-4011-82CF-D5381FF11BF5}" name="Spalte2913"/>
    <tableColumn id="2931" xr3:uid="{DB3654CB-FABB-48AF-8723-FB88FD1557A1}" name="Spalte2914"/>
    <tableColumn id="2932" xr3:uid="{5AAF8439-7525-4505-B227-CD8E0B230A39}" name="Spalte2915"/>
    <tableColumn id="2933" xr3:uid="{CAD0FCBC-C883-4A31-B74B-B56C47548279}" name="Spalte2916"/>
    <tableColumn id="2934" xr3:uid="{EC81A236-3814-4B2B-A7F8-FB262FB3F857}" name="Spalte2917"/>
    <tableColumn id="2935" xr3:uid="{284722CE-D46D-473A-88EB-C0F62C994D5F}" name="Spalte2918"/>
    <tableColumn id="2936" xr3:uid="{96F685CA-6D96-4862-B873-1863DA265C1C}" name="Spalte2919"/>
    <tableColumn id="2937" xr3:uid="{2C8F6635-B672-4259-888D-B7A511804915}" name="Spalte2920"/>
    <tableColumn id="2938" xr3:uid="{45145F97-D089-4DED-B1D8-C1694F7CE162}" name="Spalte2921"/>
    <tableColumn id="2939" xr3:uid="{39DC9424-1B22-46BC-A5A3-7903711A525B}" name="Spalte2922"/>
    <tableColumn id="2940" xr3:uid="{350DCD6B-57E8-49E2-A86B-61E7360C09B9}" name="Spalte2923"/>
    <tableColumn id="2941" xr3:uid="{5B681839-8B71-4B52-9B80-DEF2F5FA83C5}" name="Spalte2924"/>
    <tableColumn id="2942" xr3:uid="{BA62B063-8EB0-4415-AC96-C29B7E0C4608}" name="Spalte2925"/>
    <tableColumn id="2943" xr3:uid="{B188EFA9-1506-4C5C-A69F-5735743CDDCD}" name="Spalte2926"/>
    <tableColumn id="2944" xr3:uid="{9C87ECF0-D6AF-4201-9210-040EDA02ADB2}" name="Spalte2927"/>
    <tableColumn id="2945" xr3:uid="{2887659E-5092-406D-929C-38266094305D}" name="Spalte2928"/>
    <tableColumn id="2946" xr3:uid="{1513C2F3-2ED0-460D-B6BF-A19A7AE3B865}" name="Spalte2929"/>
    <tableColumn id="2947" xr3:uid="{A30AE7F4-61B3-4153-BC12-5FFBADACB00E}" name="Spalte2930"/>
    <tableColumn id="2948" xr3:uid="{1FA20650-F8FA-4518-9058-5963D35C45CF}" name="Spalte2931"/>
    <tableColumn id="2949" xr3:uid="{BA167AB5-94EF-4ADB-B34D-0715012A8E91}" name="Spalte2932"/>
    <tableColumn id="2950" xr3:uid="{DFAF72D2-A242-4916-8554-9593CCF3D189}" name="Spalte2933"/>
    <tableColumn id="2951" xr3:uid="{51E2564F-5D3A-4003-B8D2-74E16DA3465A}" name="Spalte2934"/>
    <tableColumn id="2952" xr3:uid="{8DDDDDD3-66EE-4274-93D5-8481122F33CA}" name="Spalte2935"/>
    <tableColumn id="2953" xr3:uid="{64EEB113-62EB-4974-9DA7-FE9A0D800A72}" name="Spalte2936"/>
    <tableColumn id="2954" xr3:uid="{8084DAD8-DA43-4150-894E-94F42E1AC472}" name="Spalte2937"/>
    <tableColumn id="2955" xr3:uid="{A836B50E-A623-4A97-9F88-D01429EFABAC}" name="Spalte2938"/>
    <tableColumn id="2956" xr3:uid="{D5E2FAA6-CBB6-4FB2-9129-0AA34178B0AC}" name="Spalte2939"/>
    <tableColumn id="2957" xr3:uid="{F5515FF7-1051-49AA-BF69-25EED8FEE6AC}" name="Spalte2940"/>
    <tableColumn id="2958" xr3:uid="{576D261D-337D-4982-AB63-64964E43289B}" name="Spalte2941"/>
    <tableColumn id="2959" xr3:uid="{7D87AD15-F687-4632-8275-07E9B4A064B7}" name="Spalte2942"/>
    <tableColumn id="2960" xr3:uid="{3C3391D8-6290-4476-97C7-E74809531345}" name="Spalte2943"/>
    <tableColumn id="2961" xr3:uid="{F4AC7A7C-2B62-4C0C-A304-FE9AB4B706C0}" name="Spalte2944"/>
    <tableColumn id="2962" xr3:uid="{86F5C1FE-9632-4765-8D0C-667CCA790CB5}" name="Spalte2945"/>
    <tableColumn id="2963" xr3:uid="{B9675F0F-2FCE-49E1-96D9-8EA068B12257}" name="Spalte2946"/>
    <tableColumn id="2964" xr3:uid="{300A6885-B528-41BA-AEED-AF94E5300187}" name="Spalte2947"/>
    <tableColumn id="2965" xr3:uid="{8587A619-76AB-49A2-9C5B-5805A1744885}" name="Spalte2948"/>
    <tableColumn id="2966" xr3:uid="{A726C1F9-605A-4C56-8BCE-3FF6CF4B61EB}" name="Spalte2949"/>
    <tableColumn id="2967" xr3:uid="{77E2090B-1B93-44A4-813B-AF4D2C8B269C}" name="Spalte2950"/>
    <tableColumn id="2968" xr3:uid="{3C09953D-4DE3-4246-8E0D-D9B090389580}" name="Spalte2951"/>
    <tableColumn id="2969" xr3:uid="{D3BE539E-8B67-4D7A-B9B3-6021C4DAD64A}" name="Spalte2952"/>
    <tableColumn id="2970" xr3:uid="{6B29A2EC-F77D-4F6E-9D48-307F337DBBC7}" name="Spalte2953"/>
    <tableColumn id="2971" xr3:uid="{60C4D5C9-29AC-4017-9A81-83876D39ABD1}" name="Spalte2954"/>
    <tableColumn id="2972" xr3:uid="{8F980E47-FB93-4C9C-B9BA-1721A8453647}" name="Spalte2955"/>
    <tableColumn id="2973" xr3:uid="{9717A1B9-63E1-4878-A7E3-91968E147415}" name="Spalte2956"/>
    <tableColumn id="2974" xr3:uid="{13DC61D9-5D05-41A4-AB17-25A44F73822C}" name="Spalte2957"/>
    <tableColumn id="2975" xr3:uid="{551043CE-BE1B-4B8A-895B-EE8272A7A3D0}" name="Spalte2958"/>
    <tableColumn id="2976" xr3:uid="{6D1BCF37-9F88-44DD-8B9A-84AD4848AAC3}" name="Spalte2959"/>
    <tableColumn id="2977" xr3:uid="{35EDEB55-1EE0-4BCB-8D78-AC4A7DC330B6}" name="Spalte2960"/>
    <tableColumn id="2978" xr3:uid="{1A6A9129-3C0B-4C66-ACA8-7ECD957952BC}" name="Spalte2961"/>
    <tableColumn id="2979" xr3:uid="{311A033D-B22F-4513-94E2-A4AA894CD3F9}" name="Spalte2962"/>
    <tableColumn id="2980" xr3:uid="{4E15E263-D600-492F-B33A-8B1CBDDED6EE}" name="Spalte2963"/>
    <tableColumn id="2981" xr3:uid="{18FBAF79-E76F-408A-82CA-8E58BAEB76B6}" name="Spalte2964"/>
    <tableColumn id="2982" xr3:uid="{81EAFE16-3C1E-4481-9668-70004CE9A001}" name="Spalte2965"/>
    <tableColumn id="2983" xr3:uid="{377284AB-2A6B-4EFB-A69C-76F78396D9C4}" name="Spalte2966"/>
    <tableColumn id="2984" xr3:uid="{E4C1D21C-4167-407F-92C1-959361AA2CE8}" name="Spalte2967"/>
    <tableColumn id="2985" xr3:uid="{DB682548-1777-4678-AAA7-EAA75B97B427}" name="Spalte2968"/>
    <tableColumn id="2986" xr3:uid="{B1B3E4A6-66C4-4A25-8EFD-CBDF996EC4DF}" name="Spalte2969"/>
    <tableColumn id="2987" xr3:uid="{A0DB7E35-3F86-48D7-B4DA-363ACC7F26CE}" name="Spalte2970"/>
    <tableColumn id="2988" xr3:uid="{AE542097-A4F1-45CB-8A49-955C57427C08}" name="Spalte2971"/>
    <tableColumn id="2989" xr3:uid="{1561C0ED-93E6-407F-948C-B854B968A739}" name="Spalte2972"/>
    <tableColumn id="2990" xr3:uid="{42BD4F7E-425A-4F10-956A-AB28BEF3339F}" name="Spalte2973"/>
    <tableColumn id="2991" xr3:uid="{0ACEB8CA-8644-4959-8383-5DF3B6F30B62}" name="Spalte2974"/>
    <tableColumn id="2992" xr3:uid="{25ED05DF-1F8C-440D-A18C-E448A9FAE81E}" name="Spalte2975"/>
    <tableColumn id="2993" xr3:uid="{78135376-F886-4ECE-A6DC-ADA8203FC152}" name="Spalte2976"/>
    <tableColumn id="2994" xr3:uid="{1F15BFD4-A623-492C-BC7F-7E8A01D89247}" name="Spalte2977"/>
    <tableColumn id="2995" xr3:uid="{09AFC8E1-B5F5-4B24-80A6-90C414E73FC9}" name="Spalte2978"/>
    <tableColumn id="2996" xr3:uid="{51ED6A6F-2B1B-455F-B506-F82FF035E997}" name="Spalte2979"/>
    <tableColumn id="2997" xr3:uid="{795F74FA-0D69-4203-990E-73AB90FF5D78}" name="Spalte2980"/>
    <tableColumn id="2998" xr3:uid="{FE3E4645-428F-4896-9DCF-0548A1D020B9}" name="Spalte2981"/>
    <tableColumn id="2999" xr3:uid="{FCB500E7-EBAE-4592-947E-6F5CF547A292}" name="Spalte2982"/>
    <tableColumn id="3000" xr3:uid="{FB34ED26-0D5C-460A-A1F2-FC7B62224BDC}" name="Spalte2983"/>
    <tableColumn id="3001" xr3:uid="{0000F1DD-33C6-4102-92E1-90F8B33CD486}" name="Spalte2984"/>
    <tableColumn id="3002" xr3:uid="{20E70771-6F0D-4E46-AB6E-2CD5F5461E5F}" name="Spalte2985"/>
    <tableColumn id="3003" xr3:uid="{071F58C9-6742-45CA-A3B2-DC515BB88F20}" name="Spalte2986"/>
    <tableColumn id="3004" xr3:uid="{530D8278-7DF4-425B-90F4-8BADB36BEBA4}" name="Spalte2987"/>
    <tableColumn id="3005" xr3:uid="{8E1F59DD-1F8C-42CB-85C5-0D5A52E27A01}" name="Spalte2988"/>
    <tableColumn id="3006" xr3:uid="{831206AE-5F64-4963-98F6-D7F0F776C4D2}" name="Spalte2989"/>
    <tableColumn id="3007" xr3:uid="{0990E6C7-3E73-4D0C-AFFA-1550F9319E47}" name="Spalte2990"/>
    <tableColumn id="3008" xr3:uid="{BC8F9DAD-0591-4FAF-A508-3A0D457EB447}" name="Spalte2991"/>
    <tableColumn id="3009" xr3:uid="{2D31568A-A55A-4CDD-9769-D500A4D677D3}" name="Spalte2992"/>
    <tableColumn id="3010" xr3:uid="{BE7538D0-3470-4B0C-982E-24169C652987}" name="Spalte2993"/>
    <tableColumn id="3011" xr3:uid="{7A1D5D9A-4EF4-4B81-B65D-10F4FAA059B8}" name="Spalte2994"/>
    <tableColumn id="3012" xr3:uid="{3B974CF6-BDCF-40D3-B60B-BE1A624E145E}" name="Spalte2995"/>
    <tableColumn id="3013" xr3:uid="{2380A640-4DE3-4B0A-B070-250F20192161}" name="Spalte2996"/>
    <tableColumn id="3014" xr3:uid="{57A781D2-4749-4331-AEF7-20E20D489711}" name="Spalte2997"/>
    <tableColumn id="3015" xr3:uid="{765E0909-BB3E-47F1-8F64-8C80303B0293}" name="Spalte2998"/>
    <tableColumn id="3016" xr3:uid="{1B1AB348-4EAE-4072-9244-7C8516EF6E34}" name="Spalte2999"/>
    <tableColumn id="3017" xr3:uid="{1E3ADC0F-8A1A-4997-BD43-B7DD40EFDF92}" name="Spalte3000"/>
    <tableColumn id="3018" xr3:uid="{C549AA6E-4468-486E-A745-86E8B290ADAC}" name="Spalte3001"/>
    <tableColumn id="3019" xr3:uid="{52A27FF4-B8AB-48E1-92E8-4F003CE49DC0}" name="Spalte3002"/>
    <tableColumn id="3020" xr3:uid="{7F572C06-ED66-4C1F-A028-E421E7058450}" name="Spalte3003"/>
    <tableColumn id="3021" xr3:uid="{0FCFA0AA-1440-4650-9AE0-047B8B126ABE}" name="Spalte3004"/>
    <tableColumn id="3022" xr3:uid="{C03CBD0D-F5A7-42BD-A0E9-30E85E768827}" name="Spalte3005"/>
    <tableColumn id="3023" xr3:uid="{2F3FF152-ADBA-4028-8E07-1B3D936E61C3}" name="Spalte3006"/>
    <tableColumn id="3024" xr3:uid="{AB511FD0-C7EE-45FE-9BC0-74C1BBDAF943}" name="Spalte3007"/>
    <tableColumn id="3025" xr3:uid="{BC2A8726-0FE1-4388-BA74-738DAED366CA}" name="Spalte3008"/>
    <tableColumn id="3026" xr3:uid="{20A7AC95-A549-4BAE-9C53-27F87C6CE2DB}" name="Spalte3009"/>
    <tableColumn id="3027" xr3:uid="{93D06DFA-A185-4282-A65E-3EB2FFA45AAD}" name="Spalte3010"/>
    <tableColumn id="3028" xr3:uid="{44B40927-6839-4DE8-B366-A97886962FF7}" name="Spalte3011"/>
    <tableColumn id="3029" xr3:uid="{2AC8015D-9A05-4B6C-B487-D11ACDE6A195}" name="Spalte3012"/>
    <tableColumn id="3030" xr3:uid="{41A84846-6A07-4ED9-9207-F097876AAD5B}" name="Spalte3013"/>
    <tableColumn id="3031" xr3:uid="{E9E29958-DCA8-4E75-8E14-C907776BDA50}" name="Spalte3014"/>
    <tableColumn id="3032" xr3:uid="{5FEC2489-8839-440A-90D7-19686A6ACDB2}" name="Spalte3015"/>
    <tableColumn id="3033" xr3:uid="{F7FB9457-7061-4916-80EF-60D910732BC3}" name="Spalte3016"/>
    <tableColumn id="3034" xr3:uid="{E6570832-10CA-4B40-9037-61BDE68F0F0E}" name="Spalte3017"/>
    <tableColumn id="3035" xr3:uid="{84E7F3DB-1822-46AC-9F96-A932CF2C1684}" name="Spalte3018"/>
    <tableColumn id="3036" xr3:uid="{33A37B76-050A-4513-B4CE-F24DD0B85C20}" name="Spalte3019"/>
    <tableColumn id="3037" xr3:uid="{665A8BD7-538D-43AF-B183-52DBD7CB74C1}" name="Spalte3020"/>
    <tableColumn id="3038" xr3:uid="{4568A619-64BA-4F2D-A50D-FB1FAFFE584A}" name="Spalte3021"/>
    <tableColumn id="3039" xr3:uid="{A157F59A-AADE-4894-B398-8BF9182283F4}" name="Spalte3022"/>
    <tableColumn id="3040" xr3:uid="{48672506-C7D8-413A-8568-928B71BB04E8}" name="Spalte3023"/>
    <tableColumn id="3041" xr3:uid="{C9023097-4393-4613-AC74-8BAC26E56994}" name="Spalte3024"/>
    <tableColumn id="3042" xr3:uid="{99E90C9C-1A90-4733-8F37-870B562CD9A3}" name="Spalte3025"/>
    <tableColumn id="3043" xr3:uid="{E3AD887D-21D8-4609-928E-78F3BFA8D614}" name="Spalte3026"/>
    <tableColumn id="3044" xr3:uid="{17CCD3AD-F1E6-4B5F-9AB2-20E9C92A8E0F}" name="Spalte3027"/>
    <tableColumn id="3045" xr3:uid="{5610B346-8005-4DA4-B02C-BD24D4DBDD87}" name="Spalte3028"/>
    <tableColumn id="3046" xr3:uid="{79FE53A1-1704-4BDC-9EDC-2726FD54F663}" name="Spalte3029"/>
    <tableColumn id="3047" xr3:uid="{82926418-D5F8-40F9-B7E0-6DD0DA0C559D}" name="Spalte3030"/>
    <tableColumn id="3048" xr3:uid="{5318B35A-B92A-4E92-8D07-A7B151A0D0FD}" name="Spalte3031"/>
    <tableColumn id="3049" xr3:uid="{D2EFDDA4-B073-44B4-A000-D0CCC7422632}" name="Spalte3032"/>
    <tableColumn id="3050" xr3:uid="{93512DCB-E587-42A2-8759-D180011BD13C}" name="Spalte3033"/>
    <tableColumn id="3051" xr3:uid="{E2A3B935-9D64-4BFF-A21C-3F6BB04C12E4}" name="Spalte3034"/>
    <tableColumn id="3052" xr3:uid="{CAC95624-241B-4E99-90EB-9A081DCFA191}" name="Spalte3035"/>
    <tableColumn id="3053" xr3:uid="{5B0BC985-1498-48F8-84C4-696953734FCB}" name="Spalte3036"/>
    <tableColumn id="3054" xr3:uid="{EB4C5660-15E9-4EBD-8901-83490F985FCA}" name="Spalte3037"/>
    <tableColumn id="3055" xr3:uid="{E3C607FC-7563-41ED-9165-E112F505948C}" name="Spalte3038"/>
    <tableColumn id="3056" xr3:uid="{85516ADF-6564-401F-BC58-F39A35F94B24}" name="Spalte3039"/>
    <tableColumn id="3057" xr3:uid="{EBD9E94D-74A6-4A0D-BE58-9EF110A39017}" name="Spalte3040"/>
    <tableColumn id="3058" xr3:uid="{4679022A-A528-4BD2-9953-24BC2C66C498}" name="Spalte3041"/>
    <tableColumn id="3059" xr3:uid="{DADBAAD1-105A-4FA8-A419-6C7548F3FFFD}" name="Spalte3042"/>
    <tableColumn id="3060" xr3:uid="{1E34A5BA-0834-4E0B-BFF5-1AA8AF9C1F97}" name="Spalte3043"/>
    <tableColumn id="3061" xr3:uid="{4BD87027-4EC4-4AAF-A818-12F8AE27A213}" name="Spalte3044"/>
    <tableColumn id="3062" xr3:uid="{822F7A28-CC1E-4EBC-9DA3-C223A1A094BF}" name="Spalte3045"/>
    <tableColumn id="3063" xr3:uid="{1496811A-7BCD-4774-B1C9-B50C85D2680E}" name="Spalte3046"/>
    <tableColumn id="3064" xr3:uid="{8CFFFAA6-6B4A-4B52-BD55-1924B5336AB9}" name="Spalte3047"/>
    <tableColumn id="3065" xr3:uid="{F084355F-3770-40A3-95D3-17229B8F79FC}" name="Spalte3048"/>
    <tableColumn id="3066" xr3:uid="{472524D1-B295-489D-914B-D030CE797819}" name="Spalte3049"/>
    <tableColumn id="3067" xr3:uid="{047288A0-526A-4BD2-852B-2B4313C28730}" name="Spalte3050"/>
    <tableColumn id="3068" xr3:uid="{B331DA52-1C88-49AA-9518-43CAA68577CF}" name="Spalte3051"/>
    <tableColumn id="3069" xr3:uid="{978C5EDD-A824-42DE-80CD-668C30BABACC}" name="Spalte3052"/>
    <tableColumn id="3070" xr3:uid="{777DA6AA-2AC5-4A1F-A98B-42C581E03DDF}" name="Spalte3053"/>
    <tableColumn id="3071" xr3:uid="{E69B8877-CBF5-483B-8505-401BB4F4AF37}" name="Spalte3054"/>
    <tableColumn id="3072" xr3:uid="{9FFA75DB-159A-4820-A47F-6410BBFB577F}" name="Spalte3055"/>
    <tableColumn id="3073" xr3:uid="{27E31105-0693-4774-BC7C-DEBE6A9C6419}" name="Spalte3056"/>
    <tableColumn id="3074" xr3:uid="{4DCD9359-06A0-4376-A1C4-6833C428DA35}" name="Spalte3057"/>
    <tableColumn id="3075" xr3:uid="{7DA59616-7996-4B8C-A666-A0F6CF425093}" name="Spalte3058"/>
    <tableColumn id="3076" xr3:uid="{26A4362D-A171-43D7-AAC7-0CB78DC60879}" name="Spalte3059"/>
    <tableColumn id="3077" xr3:uid="{780DB724-4FDF-44CC-936E-A85867E9DA52}" name="Spalte3060"/>
    <tableColumn id="3078" xr3:uid="{A4F02064-4A72-4AE2-84DD-752AAEA65B6B}" name="Spalte3061"/>
    <tableColumn id="3079" xr3:uid="{96FA3DE5-94EC-4613-944C-3091A351C962}" name="Spalte3062"/>
    <tableColumn id="3080" xr3:uid="{78566241-B64D-49CF-8B28-F4BD5A9EF7A2}" name="Spalte3063"/>
    <tableColumn id="3081" xr3:uid="{78315F40-DE69-49A6-AEA8-CC536955E1A3}" name="Spalte3064"/>
    <tableColumn id="3082" xr3:uid="{28BCBB49-34E6-4E8B-B552-E7C38CEDBEBB}" name="Spalte3065"/>
    <tableColumn id="3083" xr3:uid="{E0D5DBCF-D9C4-4D1C-B5FC-0DEB7017C583}" name="Spalte3066"/>
    <tableColumn id="3084" xr3:uid="{03DAD381-7DB4-46E4-8AF2-8AE7F9D76DE2}" name="Spalte3067"/>
    <tableColumn id="3085" xr3:uid="{4C81FCCB-4991-42C9-9CDF-118B86DD7459}" name="Spalte3068"/>
    <tableColumn id="3086" xr3:uid="{5F460ECA-CFDF-48C1-98AE-D9434EB7E670}" name="Spalte3069"/>
    <tableColumn id="3087" xr3:uid="{4005063A-57B8-42E5-80F6-57F2C2CFCD22}" name="Spalte3070"/>
    <tableColumn id="3088" xr3:uid="{F2F4F7A6-2E5D-472B-AF95-8598C5CA3EFF}" name="Spalte3071"/>
    <tableColumn id="3089" xr3:uid="{1E9202B2-FEF7-41C1-8731-BE08CF556BA3}" name="Spalte3072"/>
    <tableColumn id="3090" xr3:uid="{601E5C31-E71C-4421-9372-9A580C13547B}" name="Spalte3073"/>
    <tableColumn id="3091" xr3:uid="{14787215-97F2-4434-BCBC-843CED296367}" name="Spalte3074"/>
    <tableColumn id="3092" xr3:uid="{54E5BF4A-2075-41AA-BCF8-EF0AB24AC35B}" name="Spalte3075"/>
    <tableColumn id="3093" xr3:uid="{AC1EFCF4-7E38-40A9-981E-537AA424D826}" name="Spalte3076"/>
    <tableColumn id="3094" xr3:uid="{2C3B4F6D-161C-4DA3-BE7D-2AD50A707BAB}" name="Spalte3077"/>
    <tableColumn id="3095" xr3:uid="{940D1D6A-9936-45D2-A015-D6A50B9A3E39}" name="Spalte3078"/>
    <tableColumn id="3096" xr3:uid="{4DDAFF63-A212-47FD-8AF6-D16FD7FA589C}" name="Spalte3079"/>
    <tableColumn id="3097" xr3:uid="{1640D83C-BD1B-44E6-B308-5500585099C3}" name="Spalte3080"/>
    <tableColumn id="3098" xr3:uid="{7D7C2111-EC4B-4C3C-94E2-A6DF12532718}" name="Spalte3081"/>
    <tableColumn id="3099" xr3:uid="{5782B5A5-1ED1-4906-A760-935DF9FDF5F1}" name="Spalte3082"/>
    <tableColumn id="3100" xr3:uid="{ABE3EA56-1CB5-410B-A2C5-BF941AF10686}" name="Spalte3083"/>
    <tableColumn id="3101" xr3:uid="{308BDA51-8C5E-41BF-BDEC-7BA6AC904E73}" name="Spalte3084"/>
    <tableColumn id="3102" xr3:uid="{3BE7F5A0-410B-4C49-9AC1-C0AB56DD4B1F}" name="Spalte3085"/>
    <tableColumn id="3103" xr3:uid="{5AEF12EF-B3A7-49D5-92A9-C44B8331BDF6}" name="Spalte3086"/>
    <tableColumn id="3104" xr3:uid="{61245597-A3EE-4472-8C6F-2254412DC619}" name="Spalte3087"/>
    <tableColumn id="3105" xr3:uid="{F5EE6F7A-C610-411F-9486-08AC35092CF0}" name="Spalte3088"/>
    <tableColumn id="3106" xr3:uid="{11142AB1-8BC4-48EE-9A6D-830D2066336E}" name="Spalte3089"/>
    <tableColumn id="3107" xr3:uid="{45B607C8-4FC0-40DD-B06A-E1756B719B52}" name="Spalte3090"/>
    <tableColumn id="3108" xr3:uid="{446B3B66-720A-4799-A82D-01AA2B6BFDBA}" name="Spalte3091"/>
    <tableColumn id="3109" xr3:uid="{51099C1F-C6C1-478B-A1E0-DB6C875AA1B6}" name="Spalte3092"/>
    <tableColumn id="3110" xr3:uid="{A5BDCA60-CD05-44F5-BA3A-4C99D9E864C0}" name="Spalte3093"/>
    <tableColumn id="3111" xr3:uid="{B8592FAC-EBFB-474A-B82E-690BE1ECE4A5}" name="Spalte3094"/>
    <tableColumn id="3112" xr3:uid="{C8ECE23A-7925-414D-A190-54E6C21893DB}" name="Spalte3095"/>
    <tableColumn id="3113" xr3:uid="{C3CA8DAC-0B9D-4464-978A-FAE0E8E77976}" name="Spalte3096"/>
    <tableColumn id="3114" xr3:uid="{D39AD07C-D21F-46C3-BD5D-532400F45906}" name="Spalte3097"/>
    <tableColumn id="3115" xr3:uid="{71245625-0831-420B-9274-C719678986C6}" name="Spalte3098"/>
    <tableColumn id="3116" xr3:uid="{A756C2BB-D898-495B-879D-ABEEBCF59173}" name="Spalte3099"/>
    <tableColumn id="3117" xr3:uid="{948F78A3-0698-44FF-896D-86413ED037A1}" name="Spalte3100"/>
    <tableColumn id="3118" xr3:uid="{3C35BB59-94D3-4303-B883-ADF9AEC3890D}" name="Spalte3101"/>
    <tableColumn id="3119" xr3:uid="{34438AA7-120B-4B37-9FC2-D61B1D3AAE0D}" name="Spalte3102"/>
    <tableColumn id="3120" xr3:uid="{3A2212B0-8F03-449E-AB5F-82E2410D8A33}" name="Spalte3103"/>
    <tableColumn id="3121" xr3:uid="{B3F4ABEC-EDF4-44B1-9250-8FE0C1936D18}" name="Spalte3104"/>
    <tableColumn id="3122" xr3:uid="{A5203545-A2E7-412B-9D14-73EC8CC3F125}" name="Spalte3105"/>
    <tableColumn id="3123" xr3:uid="{446312CA-C2B9-4B8F-A388-28E15051D98D}" name="Spalte3106"/>
    <tableColumn id="3124" xr3:uid="{1A77F405-DD8C-4B71-AC27-9ACF512D6ABF}" name="Spalte3107"/>
    <tableColumn id="3125" xr3:uid="{CCFA722C-0988-43CE-821E-81421AA5C562}" name="Spalte3108"/>
    <tableColumn id="3126" xr3:uid="{07D0D8E1-0ED5-40B3-9B9A-2543A17EBA42}" name="Spalte3109"/>
    <tableColumn id="3127" xr3:uid="{375A45CB-077B-4CF8-9C21-727D34F0C79F}" name="Spalte3110"/>
    <tableColumn id="3128" xr3:uid="{E4FF1C58-2C35-454B-967D-E66753CCA1AF}" name="Spalte3111"/>
    <tableColumn id="3129" xr3:uid="{E6522E91-9438-404B-9907-8A09C722E5D7}" name="Spalte3112"/>
    <tableColumn id="3130" xr3:uid="{FC13B189-3E4E-4CD8-AD03-D48D034FDAC1}" name="Spalte3113"/>
    <tableColumn id="3131" xr3:uid="{F172B546-DA62-44E6-854A-19224844A51E}" name="Spalte3114"/>
    <tableColumn id="3132" xr3:uid="{96620D82-4FDE-4312-8A75-97E601BC13AE}" name="Spalte3115"/>
    <tableColumn id="3133" xr3:uid="{CB181B32-6A88-4ADD-9F85-C26255BB9D43}" name="Spalte3116"/>
    <tableColumn id="3134" xr3:uid="{16B92379-9723-4C10-961D-CCADC3824B69}" name="Spalte3117"/>
    <tableColumn id="3135" xr3:uid="{FCDA835B-F2ED-4DD1-8621-0DE71C8BC590}" name="Spalte3118"/>
    <tableColumn id="3136" xr3:uid="{70BAE296-6886-4E7B-A30F-3D57FDA8B49C}" name="Spalte3119"/>
    <tableColumn id="3137" xr3:uid="{9D250A91-D475-48B5-90F6-AAAC6E176244}" name="Spalte3120"/>
    <tableColumn id="3138" xr3:uid="{64C969CC-9F71-402B-A085-7A7F1630991F}" name="Spalte3121"/>
    <tableColumn id="3139" xr3:uid="{136B6111-FE36-4FC9-B495-815B81A60ADB}" name="Spalte3122"/>
    <tableColumn id="3140" xr3:uid="{8C0B163B-E5AD-4D99-9715-8099C56F26F3}" name="Spalte3123"/>
    <tableColumn id="3141" xr3:uid="{0CB4F34D-7640-4F9C-9C79-27C5E2A6BD39}" name="Spalte3124"/>
    <tableColumn id="3142" xr3:uid="{350347DF-3890-4D0A-BE63-B3519F9AC4DE}" name="Spalte3125"/>
    <tableColumn id="3143" xr3:uid="{B7E701BB-B6CA-48BC-8A76-A53A54CC05F7}" name="Spalte3126"/>
    <tableColumn id="3144" xr3:uid="{8C36F2DD-63B5-4B93-9B5D-EEE7605D8ABE}" name="Spalte3127"/>
    <tableColumn id="3145" xr3:uid="{88EFC420-169C-4744-A076-910A49228A7B}" name="Spalte3128"/>
    <tableColumn id="3146" xr3:uid="{54173A27-1045-4A2C-B752-9C44F66EFD6E}" name="Spalte3129"/>
    <tableColumn id="3147" xr3:uid="{3FACB3C0-B049-41E6-A3C9-526A3152B599}" name="Spalte3130"/>
    <tableColumn id="3148" xr3:uid="{5C7606D7-10D8-43E2-B1F6-0B13FE0C3812}" name="Spalte3131"/>
    <tableColumn id="3149" xr3:uid="{08FC82C7-8EDE-4DD6-9DDC-37B063D5F97D}" name="Spalte3132"/>
    <tableColumn id="3150" xr3:uid="{53427673-4AF4-412B-AD08-BE3B763BAEE7}" name="Spalte3133"/>
    <tableColumn id="3151" xr3:uid="{F79DB3E7-99AD-4102-9471-4CB1B4BE8ACF}" name="Spalte3134"/>
    <tableColumn id="3152" xr3:uid="{755DE38B-35BF-4003-8BDE-BEAD73392B96}" name="Spalte3135"/>
    <tableColumn id="3153" xr3:uid="{29CA7096-3FB7-41DD-BE97-A1170F7253C9}" name="Spalte3136"/>
    <tableColumn id="3154" xr3:uid="{37FC409B-88D7-4877-A995-F0661110DCFE}" name="Spalte3137"/>
    <tableColumn id="3155" xr3:uid="{B81C5D56-41A8-4A8E-A875-A4DAC3033204}" name="Spalte3138"/>
    <tableColumn id="3156" xr3:uid="{22390D8F-AF9F-459F-BBE7-615D7953B5D7}" name="Spalte3139"/>
    <tableColumn id="3157" xr3:uid="{C0031DF7-5B23-400A-A319-51A73B6E7466}" name="Spalte3140"/>
    <tableColumn id="3158" xr3:uid="{369F8DEC-CFAC-4317-A950-113FB8F73058}" name="Spalte3141"/>
    <tableColumn id="3159" xr3:uid="{63F80C48-0F94-4E57-B5C8-40A36E8A4753}" name="Spalte3142"/>
    <tableColumn id="3160" xr3:uid="{02306640-DA99-4A33-A6C3-161230637584}" name="Spalte3143"/>
    <tableColumn id="3161" xr3:uid="{0C4AC0F5-8CAC-4F63-930C-8BB4345899F4}" name="Spalte3144"/>
    <tableColumn id="3162" xr3:uid="{16FD42CB-4EC0-4B1F-BC72-CC8421A66CD0}" name="Spalte3145"/>
    <tableColumn id="3163" xr3:uid="{EA8F0857-9696-4751-8CB8-808AC1E2E435}" name="Spalte3146"/>
    <tableColumn id="3164" xr3:uid="{D3D5403A-A0B7-4E6E-B7C8-58347238DDDE}" name="Spalte3147"/>
    <tableColumn id="3165" xr3:uid="{AB3CD848-7FDC-464E-8A35-4ACF88331044}" name="Spalte3148"/>
    <tableColumn id="3166" xr3:uid="{893214EB-53AE-4D8C-90AC-FB4C0A24CE5B}" name="Spalte3149"/>
    <tableColumn id="3167" xr3:uid="{C382C33D-2BB5-47BF-91E8-4D495D30761F}" name="Spalte3150"/>
    <tableColumn id="3168" xr3:uid="{679153BB-8783-4405-B27C-45EEC5079291}" name="Spalte3151"/>
    <tableColumn id="3169" xr3:uid="{1FF238E3-4E0C-4A5D-A869-CB21867B0CE2}" name="Spalte3152"/>
    <tableColumn id="3170" xr3:uid="{D6E971C3-9B36-45FE-BF2A-E4EC90389B69}" name="Spalte3153"/>
    <tableColumn id="3171" xr3:uid="{DAAE6A65-01DB-4E3E-A37F-FE6B65E9764B}" name="Spalte3154"/>
    <tableColumn id="3172" xr3:uid="{20AB3491-1B8C-4252-8138-6786659BC469}" name="Spalte3155"/>
    <tableColumn id="3173" xr3:uid="{EC37BADC-CF75-47C5-9ED2-8DBBF3121E4D}" name="Spalte3156"/>
    <tableColumn id="3174" xr3:uid="{2D1A3C16-EB2C-4F5E-BAA8-307E7B85B7DF}" name="Spalte3157"/>
    <tableColumn id="3175" xr3:uid="{E221B10A-4416-4CB2-98E0-7741D3C76819}" name="Spalte3158"/>
    <tableColumn id="3176" xr3:uid="{7EB721F8-E14F-4819-B444-CF14AE7F92F5}" name="Spalte3159"/>
    <tableColumn id="3177" xr3:uid="{C98B7951-35B0-44B4-BBD3-1609E9A08ADC}" name="Spalte3160"/>
    <tableColumn id="3178" xr3:uid="{CC105E37-F172-471C-BB13-51E17E8662B6}" name="Spalte3161"/>
    <tableColumn id="3179" xr3:uid="{963F8814-1E50-4BF3-B1EC-FDF102861890}" name="Spalte3162"/>
    <tableColumn id="3180" xr3:uid="{01AFEBAB-49DB-4F8C-8564-48D9407F0E8A}" name="Spalte3163"/>
    <tableColumn id="3181" xr3:uid="{BF309D5D-8B00-4B08-9FD4-65D46E975CAE}" name="Spalte3164"/>
    <tableColumn id="3182" xr3:uid="{2190F9ED-B1BF-4C36-8B6A-FE36D7BC52E4}" name="Spalte3165"/>
    <tableColumn id="3183" xr3:uid="{9109C636-0551-4FEC-B27D-2482B2C2B4F3}" name="Spalte3166"/>
    <tableColumn id="3184" xr3:uid="{62797908-54B1-48B6-A592-18E1FBCB670B}" name="Spalte3167"/>
    <tableColumn id="3185" xr3:uid="{500A205F-77AF-4342-8712-01CD1F51905B}" name="Spalte3168"/>
    <tableColumn id="3186" xr3:uid="{6A3B81C6-598C-4C79-A9DC-CC13C0449485}" name="Spalte3169"/>
    <tableColumn id="3187" xr3:uid="{8830C259-D70F-47F2-9EA1-6835B0BFD384}" name="Spalte3170"/>
    <tableColumn id="3188" xr3:uid="{0AC3ECF0-2B2F-487B-9D6B-75F076026750}" name="Spalte3171"/>
    <tableColumn id="3189" xr3:uid="{BD934F4A-310A-4B5F-B1BA-4D7EC84A7B91}" name="Spalte3172"/>
    <tableColumn id="3190" xr3:uid="{5C5B68E8-1436-4F0A-B724-BA35805DEE0B}" name="Spalte3173"/>
    <tableColumn id="3191" xr3:uid="{330BB68B-A851-4F44-B985-4F3921522927}" name="Spalte3174"/>
    <tableColumn id="3192" xr3:uid="{D2CAA083-28F2-4D3D-81FE-25CA425F74E6}" name="Spalte3175"/>
    <tableColumn id="3193" xr3:uid="{A2EF1482-A89F-4BF7-8BBB-1D74F692D700}" name="Spalte3176"/>
    <tableColumn id="3194" xr3:uid="{608BA677-D2D7-4FED-8DDA-128559C0C3D1}" name="Spalte3177"/>
    <tableColumn id="3195" xr3:uid="{6768659C-12CA-4F82-83F3-9C0B00FE48F5}" name="Spalte3178"/>
    <tableColumn id="3196" xr3:uid="{2AB3DA8E-614F-46B3-A66D-3D70A7ABDDE4}" name="Spalte3179"/>
    <tableColumn id="3197" xr3:uid="{DD961065-9906-4370-923F-6AFBBB82DAF4}" name="Spalte3180"/>
    <tableColumn id="3198" xr3:uid="{9A0C1D6E-6DD1-4A57-878E-511B1C353790}" name="Spalte3181"/>
    <tableColumn id="3199" xr3:uid="{C74FC994-85B2-4D87-AD1B-A67408E4249E}" name="Spalte3182"/>
    <tableColumn id="3200" xr3:uid="{001D3E40-AD00-4BB0-BECE-9087C6CDC46F}" name="Spalte3183"/>
    <tableColumn id="3201" xr3:uid="{A1FDA9AC-6B3F-4BF0-9221-49880165FF33}" name="Spalte3184"/>
    <tableColumn id="3202" xr3:uid="{855F2332-7680-44EA-BD31-F08CF58518F2}" name="Spalte3185"/>
    <tableColumn id="3203" xr3:uid="{16D78239-47CF-4925-945A-EBEE99E8DBF9}" name="Spalte3186"/>
    <tableColumn id="3204" xr3:uid="{02796A29-2A1D-4EF4-848F-C9E705618579}" name="Spalte3187"/>
    <tableColumn id="3205" xr3:uid="{217025AC-DC38-41C0-9085-F31D1FFD8013}" name="Spalte3188"/>
    <tableColumn id="3206" xr3:uid="{372580F4-FDA6-4281-8417-1CDA0BE7BAF3}" name="Spalte3189"/>
    <tableColumn id="3207" xr3:uid="{D94C5178-F0B1-4994-9297-8B6B9E01C7B1}" name="Spalte3190"/>
    <tableColumn id="3208" xr3:uid="{854DDB1D-1703-498D-A198-39C357CB3010}" name="Spalte3191"/>
    <tableColumn id="3209" xr3:uid="{9B49212A-8238-4C67-8094-38B9C1584FEC}" name="Spalte3192"/>
    <tableColumn id="3210" xr3:uid="{B607BAE7-9B5A-4D11-8C6E-C3F9CD5681C0}" name="Spalte3193"/>
    <tableColumn id="3211" xr3:uid="{39A2CBDA-C0EB-4502-A1E8-6BFA5EDC721D}" name="Spalte3194"/>
    <tableColumn id="3212" xr3:uid="{8F9BDB55-4F42-4F7A-9D3E-C874BD0D7FAF}" name="Spalte3195"/>
    <tableColumn id="3213" xr3:uid="{467E1291-A95E-44AE-92A6-3B40A965E091}" name="Spalte3196"/>
    <tableColumn id="3214" xr3:uid="{5421EFE9-E453-4BFC-AFB0-9E6EF3B735C4}" name="Spalte3197"/>
    <tableColumn id="3215" xr3:uid="{DB9F57CC-28C9-4711-9B89-A724E74CE678}" name="Spalte3198"/>
    <tableColumn id="3216" xr3:uid="{766D6F06-2789-498E-991C-F00872FF95F5}" name="Spalte3199"/>
    <tableColumn id="3217" xr3:uid="{1292BD64-6E0E-4E80-B88E-69AB48ECB3F5}" name="Spalte3200"/>
    <tableColumn id="3218" xr3:uid="{F36F3C7E-F0D8-4E57-A728-1A16164B2FF4}" name="Spalte3201"/>
    <tableColumn id="3219" xr3:uid="{F3818958-873E-482D-9B01-BF3682C3B5C7}" name="Spalte3202"/>
    <tableColumn id="3220" xr3:uid="{F880935F-133C-4F42-B371-598CCE22DDED}" name="Spalte3203"/>
    <tableColumn id="3221" xr3:uid="{E9650CF4-3FC9-45DF-A432-5AB3651205C6}" name="Spalte3204"/>
    <tableColumn id="3222" xr3:uid="{9E6FE24B-66D7-4AA0-ABCC-C817490FFBE2}" name="Spalte3205"/>
    <tableColumn id="3223" xr3:uid="{5CBFE420-90F4-4CC6-A844-CFB6B37A8C84}" name="Spalte3206"/>
    <tableColumn id="3224" xr3:uid="{10B26D3E-544A-4EDE-BCED-FAD6C33149A4}" name="Spalte3207"/>
    <tableColumn id="3225" xr3:uid="{D5FEE169-5F98-4D10-89DB-3EBA623FC1ED}" name="Spalte3208"/>
    <tableColumn id="3226" xr3:uid="{2DFEF0A8-C212-47B8-9607-2EC7866F81E6}" name="Spalte3209"/>
    <tableColumn id="3227" xr3:uid="{8A14554A-AC4C-4405-8A3C-52647B05BE28}" name="Spalte3210"/>
    <tableColumn id="3228" xr3:uid="{78E902AC-0280-498E-9991-56605A4359F2}" name="Spalte3211"/>
    <tableColumn id="3229" xr3:uid="{95AE726F-A5C6-4893-8DD6-99CDDCDB8A9A}" name="Spalte3212"/>
    <tableColumn id="3230" xr3:uid="{579C1E1E-F011-43AD-A6FF-C194AF3FE4DC}" name="Spalte3213"/>
    <tableColumn id="3231" xr3:uid="{21952B58-2E0F-4967-9D76-0C867ECDD2BC}" name="Spalte3214"/>
    <tableColumn id="3232" xr3:uid="{0D02D80B-A9D1-4CC6-9E68-7B79B1C19B8D}" name="Spalte3215"/>
    <tableColumn id="3233" xr3:uid="{FD83C04E-7E1D-447F-8BD3-13C9B2310E19}" name="Spalte3216"/>
    <tableColumn id="3234" xr3:uid="{736A2E0C-4C33-49FE-A2D9-413FFB44B216}" name="Spalte3217"/>
    <tableColumn id="3235" xr3:uid="{30998568-9A2C-48AE-98F6-5A29E173BBA6}" name="Spalte3218"/>
    <tableColumn id="3236" xr3:uid="{5CEF009A-7C56-413F-A1B5-FA1619BF2041}" name="Spalte3219"/>
    <tableColumn id="3237" xr3:uid="{96C0E9D0-2DE8-432D-BABF-80E28836F529}" name="Spalte3220"/>
    <tableColumn id="3238" xr3:uid="{9B31A641-6738-4081-A439-3BD1D61118EF}" name="Spalte3221"/>
    <tableColumn id="3239" xr3:uid="{0E174119-A326-4590-9047-FBD84D58FEB7}" name="Spalte3222"/>
    <tableColumn id="3240" xr3:uid="{CF1AE59D-4C1A-4838-B788-AA521A452A98}" name="Spalte3223"/>
    <tableColumn id="3241" xr3:uid="{7F782F0F-5AFE-4DEA-9015-052974588CA3}" name="Spalte3224"/>
    <tableColumn id="3242" xr3:uid="{FE3C08DC-EA5C-4ED5-9151-D00CE53E28E1}" name="Spalte3225"/>
    <tableColumn id="3243" xr3:uid="{BFF885EE-43D5-4101-8ADE-EF35C90C4779}" name="Spalte3226"/>
    <tableColumn id="3244" xr3:uid="{40B53EAE-7895-4B5C-A08D-92109A77D081}" name="Spalte3227"/>
    <tableColumn id="3245" xr3:uid="{34A8920F-2C44-432C-A555-DCFE025D9527}" name="Spalte3228"/>
    <tableColumn id="3246" xr3:uid="{AEEA0803-9B57-4716-9ECF-E424FB6639B1}" name="Spalte3229"/>
    <tableColumn id="3247" xr3:uid="{FF220EDB-6614-4A0A-8A19-C973DBDC7BD2}" name="Spalte3230"/>
    <tableColumn id="3248" xr3:uid="{5F3C3950-43D1-4E05-90AC-3B1C88C463F2}" name="Spalte3231"/>
    <tableColumn id="3249" xr3:uid="{DB410ED0-92BA-4578-833B-939E1F4FADA8}" name="Spalte3232"/>
    <tableColumn id="3250" xr3:uid="{2C8A17AC-DD0F-434A-9AF0-A5F2F9994E47}" name="Spalte3233"/>
    <tableColumn id="3251" xr3:uid="{E247357E-A4AB-40B3-8426-88EAE2C89C91}" name="Spalte3234"/>
    <tableColumn id="3252" xr3:uid="{C146E383-E581-43D9-939B-B5129D6D4C8B}" name="Spalte3235"/>
    <tableColumn id="3253" xr3:uid="{B506440E-5EF6-4621-B401-D832E2DE7DC0}" name="Spalte3236"/>
    <tableColumn id="3254" xr3:uid="{6F6EB075-AECA-43C6-BA4F-E39CF6002B19}" name="Spalte3237"/>
    <tableColumn id="3255" xr3:uid="{D77C8052-74C7-4F90-A9B6-57CDD28040A9}" name="Spalte3238"/>
    <tableColumn id="3256" xr3:uid="{7EA13D02-ADEC-445D-A033-8B22C5D90C1D}" name="Spalte3239"/>
    <tableColumn id="3257" xr3:uid="{41B40BFD-AE99-4AC9-B4E1-7ACA5258B2B1}" name="Spalte3240"/>
    <tableColumn id="3258" xr3:uid="{21CB77A5-D304-40A1-86D3-F8B03974963A}" name="Spalte3241"/>
    <tableColumn id="3259" xr3:uid="{2D927C0F-7C6A-4C62-8900-BEF4008727BB}" name="Spalte3242"/>
    <tableColumn id="3260" xr3:uid="{1A4743D4-2BBF-4B92-9CBF-90C31B60783F}" name="Spalte3243"/>
    <tableColumn id="3261" xr3:uid="{D2620960-763C-482A-8D4D-8EB7AB04F6AC}" name="Spalte3244"/>
    <tableColumn id="3262" xr3:uid="{BCB53577-B24C-4DB5-8B19-DFEE69CF6F9B}" name="Spalte3245"/>
    <tableColumn id="3263" xr3:uid="{E5BE4122-4FDE-436B-B552-8738DCEC322F}" name="Spalte3246"/>
    <tableColumn id="3264" xr3:uid="{4F58FF2B-CAAE-4C80-860F-B1856722558D}" name="Spalte3247"/>
    <tableColumn id="3265" xr3:uid="{C0707A54-EAE2-4C7E-A080-321A588F8D02}" name="Spalte3248"/>
    <tableColumn id="3266" xr3:uid="{E6787EF6-3F79-4748-9DA2-42CDCB93C734}" name="Spalte3249"/>
    <tableColumn id="3267" xr3:uid="{2D16C25C-3649-442D-B7E2-127269C261A1}" name="Spalte3250"/>
    <tableColumn id="3268" xr3:uid="{4ECD0CE5-1DB9-4DB5-90F8-F30B8B544DFB}" name="Spalte3251"/>
    <tableColumn id="3269" xr3:uid="{24C7EA56-6E3B-4E56-9931-550F205C100C}" name="Spalte3252"/>
    <tableColumn id="3270" xr3:uid="{9A87662F-FC9F-499C-8E5B-FD21FDC21C91}" name="Spalte3253"/>
    <tableColumn id="3271" xr3:uid="{788A51CC-1783-4111-B33F-E395299EE680}" name="Spalte3254"/>
    <tableColumn id="3272" xr3:uid="{80C89B0A-A8F3-4939-B1DE-6B8E550308B7}" name="Spalte3255"/>
    <tableColumn id="3273" xr3:uid="{ABA39061-64A8-4D0E-89AB-8B6584715227}" name="Spalte3256"/>
    <tableColumn id="3274" xr3:uid="{A5AF3726-AD16-46A5-BF4E-083DE44E79F4}" name="Spalte3257"/>
    <tableColumn id="3275" xr3:uid="{21B60A25-9758-4298-B2BA-B288D13CBEC8}" name="Spalte3258"/>
    <tableColumn id="3276" xr3:uid="{A912581F-87E5-440E-B703-C86C06F9A6A7}" name="Spalte3259"/>
    <tableColumn id="3277" xr3:uid="{6970203E-90D4-408F-82D6-2CCCEC93683B}" name="Spalte3260"/>
    <tableColumn id="3278" xr3:uid="{59C75E86-8D6F-4190-BAD9-788F9D1B87B2}" name="Spalte3261"/>
    <tableColumn id="3279" xr3:uid="{1F8AFBEB-B150-4C0A-BC7F-25854A81EE8C}" name="Spalte3262"/>
    <tableColumn id="3280" xr3:uid="{B1472F6A-2BD3-41E5-993A-2E625C197135}" name="Spalte3263"/>
    <tableColumn id="3281" xr3:uid="{99255608-B06E-4F3D-985A-59F0F74C218A}" name="Spalte3264"/>
    <tableColumn id="3282" xr3:uid="{6D151B74-CC7E-4095-ABA9-FC78C38A3C23}" name="Spalte3265"/>
    <tableColumn id="3283" xr3:uid="{9558710B-80C6-4666-AC16-BCF3C9289C1B}" name="Spalte3266"/>
    <tableColumn id="3284" xr3:uid="{81CD0FE9-C561-49A0-8C22-105B7C63BFCB}" name="Spalte3267"/>
    <tableColumn id="3285" xr3:uid="{E6E8F2FF-7B62-4804-A9BB-6DA5B9127985}" name="Spalte3268"/>
    <tableColumn id="3286" xr3:uid="{52DD0E19-FFA1-486C-A119-B36F9DE9793F}" name="Spalte3269"/>
    <tableColumn id="3287" xr3:uid="{B28CC70C-36D2-4B0C-AFAF-A456A220CFD4}" name="Spalte3270"/>
    <tableColumn id="3288" xr3:uid="{23B3E080-ADA7-4793-B04B-0F02FA31EF76}" name="Spalte3271"/>
    <tableColumn id="3289" xr3:uid="{5CF8E811-52D1-4F1E-B19C-63E1FB0C609C}" name="Spalte3272"/>
    <tableColumn id="3290" xr3:uid="{0E66CFA0-68AF-496E-88FC-8BF98E45E481}" name="Spalte3273"/>
    <tableColumn id="3291" xr3:uid="{2C7829D9-7FF5-4163-8875-67672F2A36B1}" name="Spalte3274"/>
    <tableColumn id="3292" xr3:uid="{05A5242F-4BDE-406C-A187-0F763E01DD80}" name="Spalte3275"/>
    <tableColumn id="3293" xr3:uid="{561F7F87-DAF5-46FB-9B26-79068E61A232}" name="Spalte3276"/>
    <tableColumn id="3294" xr3:uid="{B4D8A522-78F3-42A9-9460-7149794B1606}" name="Spalte3277"/>
    <tableColumn id="3295" xr3:uid="{781E4473-E9E4-4D05-AEE0-681EA46DF35E}" name="Spalte3278"/>
    <tableColumn id="3296" xr3:uid="{3039353D-7D4C-40FA-ACF7-D177BFDA621F}" name="Spalte3279"/>
    <tableColumn id="3297" xr3:uid="{33867D2B-C919-4D5B-AF74-EB135794CE01}" name="Spalte3280"/>
    <tableColumn id="3298" xr3:uid="{D65F76CE-2796-406C-B9D4-EED9F948708D}" name="Spalte3281"/>
    <tableColumn id="3299" xr3:uid="{132D6579-E87E-45F2-9A1D-9312EAC4BE6B}" name="Spalte3282"/>
    <tableColumn id="3300" xr3:uid="{589B7EA3-9AD6-4F52-BBFA-604B5B863B3B}" name="Spalte3283"/>
    <tableColumn id="3301" xr3:uid="{2368ACC3-0F1A-459B-8C5F-B38697EBFFE7}" name="Spalte3284"/>
    <tableColumn id="3302" xr3:uid="{DD88D93A-946E-4EF9-BC8D-F9B2F6A34F2A}" name="Spalte3285"/>
    <tableColumn id="3303" xr3:uid="{5E5057C4-DEA6-4102-8372-81D853766828}" name="Spalte3286"/>
    <tableColumn id="3304" xr3:uid="{7AF006FC-A265-4876-BB82-D9AE957478BC}" name="Spalte3287"/>
    <tableColumn id="3305" xr3:uid="{A192B387-CAB4-4A79-9469-25B671965F04}" name="Spalte3288"/>
    <tableColumn id="3306" xr3:uid="{C8A8F0A5-16D2-4CA4-882A-C8284192113A}" name="Spalte3289"/>
    <tableColumn id="3307" xr3:uid="{00FB5B2C-C3A4-42CB-9B7B-F7F33C0EEE0E}" name="Spalte3290"/>
    <tableColumn id="3308" xr3:uid="{7B4D4AB1-A381-40C0-B6CE-06BC337B4BE4}" name="Spalte3291"/>
    <tableColumn id="3309" xr3:uid="{BE91882C-DCE9-4F03-B9C0-C5861235E412}" name="Spalte3292"/>
    <tableColumn id="3310" xr3:uid="{3CADBB74-4842-4BC7-9558-0CF78C354CD1}" name="Spalte3293"/>
    <tableColumn id="3311" xr3:uid="{D33C3C13-1EB8-4F71-83D9-F406767D7B0B}" name="Spalte3294"/>
    <tableColumn id="3312" xr3:uid="{77ED127E-59DD-4608-8C7E-8462EE5B3FE6}" name="Spalte3295"/>
    <tableColumn id="3313" xr3:uid="{C1D7F18E-9A73-40F5-99DB-0430881708C3}" name="Spalte3296"/>
    <tableColumn id="3314" xr3:uid="{5008391A-10AA-4BE2-B8CA-556333A88D51}" name="Spalte3297"/>
    <tableColumn id="3315" xr3:uid="{663505CE-29C5-425A-8125-B4D72E85D935}" name="Spalte3298"/>
    <tableColumn id="3316" xr3:uid="{9637A413-64E4-454F-88E1-F7C7DF4CDF75}" name="Spalte3299"/>
    <tableColumn id="3317" xr3:uid="{58C9FA0B-77A0-4AB5-983B-DA36FB1BD860}" name="Spalte3300"/>
    <tableColumn id="3318" xr3:uid="{F6048440-A54F-430A-84EA-81A838B01498}" name="Spalte3301"/>
    <tableColumn id="3319" xr3:uid="{953DC155-CF31-4349-8EB1-5DEDD8D53006}" name="Spalte3302"/>
    <tableColumn id="3320" xr3:uid="{C72E911E-8DEE-4065-A0B7-FC4BF7CE291A}" name="Spalte3303"/>
    <tableColumn id="3321" xr3:uid="{26BA7F50-76C2-4FE5-BB14-FC7BDF0B765F}" name="Spalte3304"/>
    <tableColumn id="3322" xr3:uid="{5DE3C746-9E72-4A4E-9B10-C717CA0E655A}" name="Spalte3305"/>
    <tableColumn id="3323" xr3:uid="{D500EC5F-482E-48DF-8D74-4EFBB3F9AE63}" name="Spalte3306"/>
    <tableColumn id="3324" xr3:uid="{8DA96CBB-D2C7-45CA-B272-2E4291C5CB0A}" name="Spalte3307"/>
    <tableColumn id="3325" xr3:uid="{86034577-FF3F-41D4-B2C4-14591D53052E}" name="Spalte3308"/>
    <tableColumn id="3326" xr3:uid="{6B07FB83-DA3E-4878-A180-924CF86486ED}" name="Spalte3309"/>
    <tableColumn id="3327" xr3:uid="{87578744-30FF-46C0-A97B-F19EEAA23777}" name="Spalte3310"/>
    <tableColumn id="3328" xr3:uid="{8DB99B8E-E021-452E-84B6-F58820DAF0A1}" name="Spalte3311"/>
    <tableColumn id="3329" xr3:uid="{FECA3422-917A-4C24-9DBA-C6E2BF4DE0EB}" name="Spalte3312"/>
    <tableColumn id="3330" xr3:uid="{AD7AF15A-9355-436E-B3EC-218CBC7784C9}" name="Spalte3313"/>
    <tableColumn id="3331" xr3:uid="{808D27C2-8DD0-42C6-9F65-A84911C775E0}" name="Spalte3314"/>
    <tableColumn id="3332" xr3:uid="{5EE5C71D-970D-4ED1-B30D-B3E04776BF42}" name="Spalte3315"/>
    <tableColumn id="3333" xr3:uid="{29768D44-2724-4E02-A577-E2A786DA5C00}" name="Spalte3316"/>
    <tableColumn id="3334" xr3:uid="{93CFE22E-EDA9-442D-AFE4-79D26C41EFBE}" name="Spalte3317"/>
    <tableColumn id="3335" xr3:uid="{8A6D1BED-093D-49E7-85F9-CFEEC218220E}" name="Spalte3318"/>
    <tableColumn id="3336" xr3:uid="{4762458A-55F9-4B84-B49D-2E1E63C88CBA}" name="Spalte3319"/>
    <tableColumn id="3337" xr3:uid="{C7FEDE60-0C51-4289-A71C-112FDBB832F7}" name="Spalte3320"/>
    <tableColumn id="3338" xr3:uid="{4F03A09C-2900-469B-96C6-733385E08B3A}" name="Spalte3321"/>
    <tableColumn id="3339" xr3:uid="{268AEBB3-C5C3-4EA8-94FC-9071F7E7566A}" name="Spalte3322"/>
    <tableColumn id="3340" xr3:uid="{53E9074D-A22C-45BA-86F8-B9EEE815BB9F}" name="Spalte3323"/>
    <tableColumn id="3341" xr3:uid="{FAC4C064-20B8-4843-B919-22B970860C6A}" name="Spalte3324"/>
    <tableColumn id="3342" xr3:uid="{CE612C7D-5D86-4087-AB10-B27E99B23B14}" name="Spalte3325"/>
    <tableColumn id="3343" xr3:uid="{9B76AF08-498B-4A4E-B2D8-135B29AD7D07}" name="Spalte3326"/>
    <tableColumn id="3344" xr3:uid="{DC563661-310F-49D6-8124-3BAC2BEE8512}" name="Spalte3327"/>
    <tableColumn id="3345" xr3:uid="{322E2BAC-081A-48F2-A65A-08A6BDCEA54E}" name="Spalte3328"/>
    <tableColumn id="3346" xr3:uid="{07D08120-5C20-4FF7-BA6E-6EAE5FF75B93}" name="Spalte3329"/>
    <tableColumn id="3347" xr3:uid="{C59999DB-EFAD-409C-9111-464D40F114D7}" name="Spalte3330"/>
    <tableColumn id="3348" xr3:uid="{E9D154B9-00C6-47EE-A223-E3645E769B42}" name="Spalte3331"/>
    <tableColumn id="3349" xr3:uid="{CB5B73CA-4395-483D-B1D2-DA96B879614F}" name="Spalte3332"/>
    <tableColumn id="3350" xr3:uid="{FF082D1D-A09E-411B-A668-90702F2B21A7}" name="Spalte3333"/>
    <tableColumn id="3351" xr3:uid="{5377BAA9-CC7E-473D-94BB-A4F3A1C77A04}" name="Spalte3334"/>
    <tableColumn id="3352" xr3:uid="{AA8EE939-A612-4D1F-8C73-DB9EF0B26591}" name="Spalte3335"/>
    <tableColumn id="3353" xr3:uid="{44F7BF84-4C67-4817-AA99-C9A4012D5415}" name="Spalte3336"/>
    <tableColumn id="3354" xr3:uid="{C06BE8E6-C0D8-457D-AF9E-B8ADDB646766}" name="Spalte3337"/>
    <tableColumn id="3355" xr3:uid="{08135D10-8BFF-40AC-BC1C-BFB1D464F696}" name="Spalte3338"/>
    <tableColumn id="3356" xr3:uid="{5B8E87AA-CEB5-4B7E-886A-76265CC16272}" name="Spalte3339"/>
    <tableColumn id="3357" xr3:uid="{E3165338-4533-4364-A23C-188468793C49}" name="Spalte3340"/>
    <tableColumn id="3358" xr3:uid="{35F64EE8-2890-4728-A65A-C3CBD99387DA}" name="Spalte3341"/>
    <tableColumn id="3359" xr3:uid="{E3D9842C-A20A-4BF0-AD4B-EE27AC7495BE}" name="Spalte3342"/>
    <tableColumn id="3360" xr3:uid="{DE42BD0D-05FB-4995-AFC0-E1B0EE081468}" name="Spalte3343"/>
    <tableColumn id="3361" xr3:uid="{BF00D751-A8F3-4EDE-8C04-04700B02E681}" name="Spalte3344"/>
    <tableColumn id="3362" xr3:uid="{A63CBD94-68D8-4BF0-903E-C632B08CAEC7}" name="Spalte3345"/>
    <tableColumn id="3363" xr3:uid="{67B9BC81-6E1F-465F-8F84-F5FE33E92172}" name="Spalte3346"/>
    <tableColumn id="3364" xr3:uid="{48DDF6FA-7588-40ED-89C1-076CFAF2EBD4}" name="Spalte3347"/>
    <tableColumn id="3365" xr3:uid="{FED83986-6492-4523-AD00-5803EAC025F0}" name="Spalte3348"/>
    <tableColumn id="3366" xr3:uid="{A7D86FA4-E6BC-4B0A-8729-E2D7D4DFEF5B}" name="Spalte3349"/>
    <tableColumn id="3367" xr3:uid="{3C925A81-D59E-4AF7-8861-89A28FFEB110}" name="Spalte3350"/>
    <tableColumn id="3368" xr3:uid="{63B9E246-FEDA-4573-BF65-646D953DB3E5}" name="Spalte3351"/>
    <tableColumn id="3369" xr3:uid="{00D023E7-5017-4216-85CD-B0B70B5C54D4}" name="Spalte3352"/>
    <tableColumn id="3370" xr3:uid="{9E37EAC3-78D9-402C-9718-A3CA16BBFBF1}" name="Spalte3353"/>
    <tableColumn id="3371" xr3:uid="{5CD39EBA-7AD9-4E74-937B-156D8C91C6B7}" name="Spalte3354"/>
    <tableColumn id="3372" xr3:uid="{F1B3409D-A6B9-48E8-9B9B-0E55FB26D212}" name="Spalte3355"/>
    <tableColumn id="3373" xr3:uid="{B02FB818-773A-4609-93AF-2C55B7F1D803}" name="Spalte3356"/>
    <tableColumn id="3374" xr3:uid="{9E38BF8E-C647-4CD2-BA73-614DF627581E}" name="Spalte3357"/>
    <tableColumn id="3375" xr3:uid="{F7D9C171-EA40-42AC-86DA-48F88094E43F}" name="Spalte3358"/>
    <tableColumn id="3376" xr3:uid="{42CDC4EA-6DE6-406F-BC84-2BD544F83560}" name="Spalte3359"/>
    <tableColumn id="3377" xr3:uid="{432CA5D9-9856-45CB-B287-3C028CA2A4DF}" name="Spalte3360"/>
    <tableColumn id="3378" xr3:uid="{435B3030-4367-49FF-BE6C-C4E80AE53795}" name="Spalte3361"/>
    <tableColumn id="3379" xr3:uid="{CFD280F8-AD5F-4248-A491-BABF837018DC}" name="Spalte3362"/>
    <tableColumn id="3380" xr3:uid="{56D9E664-F0C2-4176-9B73-5CF30F32C535}" name="Spalte3363"/>
    <tableColumn id="3381" xr3:uid="{FC61BC6B-7796-4C3C-863F-75C755239619}" name="Spalte3364"/>
    <tableColumn id="3382" xr3:uid="{3700C5DA-7C55-4EF7-8384-EC2443D3A894}" name="Spalte3365"/>
    <tableColumn id="3383" xr3:uid="{5BCC03B8-6AD0-4B38-9C5C-A417C4A686B6}" name="Spalte3366"/>
    <tableColumn id="3384" xr3:uid="{3A519B25-7FE3-4BCB-B9E4-C6F2C5C65881}" name="Spalte3367"/>
    <tableColumn id="3385" xr3:uid="{DDF1BAB2-20C6-44A1-B415-D5054504CF4F}" name="Spalte3368"/>
    <tableColumn id="3386" xr3:uid="{045809A8-B5C7-4989-858E-3D392B521F29}" name="Spalte3369"/>
    <tableColumn id="3387" xr3:uid="{937C7E06-732F-4C60-9A96-BD46F7E37B56}" name="Spalte3370"/>
    <tableColumn id="3388" xr3:uid="{8CFC39D4-4A7C-4850-B5B0-3F9D23E8A004}" name="Spalte3371"/>
    <tableColumn id="3389" xr3:uid="{CD03E19E-D7B8-42F3-8EFA-3214779301E0}" name="Spalte3372"/>
    <tableColumn id="3390" xr3:uid="{37A62A10-6490-4128-BE7B-ED56B31449BA}" name="Spalte3373"/>
    <tableColumn id="3391" xr3:uid="{04E4A875-C5FE-43CE-B3F7-260B175363DB}" name="Spalte3374"/>
    <tableColumn id="3392" xr3:uid="{D32763DF-B37D-498A-9D3C-7550F2EABE8D}" name="Spalte3375"/>
    <tableColumn id="3393" xr3:uid="{F0CD5595-0FA1-4E52-894D-5E4EBB5B2289}" name="Spalte3376"/>
    <tableColumn id="3394" xr3:uid="{7BC3004D-03AC-413B-81F7-30740EF3D329}" name="Spalte3377"/>
    <tableColumn id="3395" xr3:uid="{6D6B1B4C-524D-4883-B46D-CB631F4CD7C9}" name="Spalte3378"/>
    <tableColumn id="3396" xr3:uid="{72C37AC2-5CF6-4ADA-A3CF-14FD01152C5C}" name="Spalte3379"/>
    <tableColumn id="3397" xr3:uid="{D770B287-33A6-417C-89F8-C6D564E69FA0}" name="Spalte3380"/>
    <tableColumn id="3398" xr3:uid="{9A9E33F5-D14C-4E6B-BEA5-644A46CF3E1E}" name="Spalte3381"/>
    <tableColumn id="3399" xr3:uid="{C4E4407A-B21E-4448-8BFB-259A81047E96}" name="Spalte3382"/>
    <tableColumn id="3400" xr3:uid="{4E924FBD-89C8-43A1-8B07-D7E562200692}" name="Spalte3383"/>
    <tableColumn id="3401" xr3:uid="{8C34A852-387C-4A85-9795-169A92895283}" name="Spalte3384"/>
    <tableColumn id="3402" xr3:uid="{6D9FAC83-0CCF-4630-8647-3D0AF06D23EA}" name="Spalte3385"/>
    <tableColumn id="3403" xr3:uid="{ADE44DCB-43AE-4E18-9E10-B6F5D03DFFB3}" name="Spalte3386"/>
    <tableColumn id="3404" xr3:uid="{A3C20D17-4F27-41A0-B269-C313C2D370B4}" name="Spalte3387"/>
    <tableColumn id="3405" xr3:uid="{70CA22FC-7F94-4AB0-ABB9-CD58662A9A4D}" name="Spalte3388"/>
    <tableColumn id="3406" xr3:uid="{05E95E92-3AAF-4FFD-8D76-16E9BDE167FC}" name="Spalte3389"/>
    <tableColumn id="3407" xr3:uid="{09C7BE66-1FD5-462B-8AEE-CFAF7FC0ACFF}" name="Spalte3390"/>
    <tableColumn id="3408" xr3:uid="{93213FA4-5535-4461-AA10-1D8706976D4D}" name="Spalte3391"/>
    <tableColumn id="3409" xr3:uid="{4308C4AB-E214-454C-83D2-6172E88350C1}" name="Spalte3392"/>
    <tableColumn id="3410" xr3:uid="{687B588D-F7B1-4122-BA2C-76533F233A7E}" name="Spalte3393"/>
    <tableColumn id="3411" xr3:uid="{1D260E38-571B-4A47-AF7B-AC3C6FF33178}" name="Spalte3394"/>
    <tableColumn id="3412" xr3:uid="{2E37F152-4FB8-447B-BC07-ED8D5B3EC796}" name="Spalte3395"/>
    <tableColumn id="3413" xr3:uid="{7DCAE5AC-1411-4B7F-9E1B-7667D806108E}" name="Spalte3396"/>
    <tableColumn id="3414" xr3:uid="{FFB1728F-1407-47EA-BFF7-56F07F4C1DFF}" name="Spalte3397"/>
    <tableColumn id="3415" xr3:uid="{99466E07-25FB-4613-8996-50AE70D190B4}" name="Spalte3398"/>
    <tableColumn id="3416" xr3:uid="{AAF12E9D-37E9-47E9-8D94-E9E88DA764CF}" name="Spalte3399"/>
    <tableColumn id="3417" xr3:uid="{530AAA93-364F-4FB3-BF4F-32B3A4C35E0C}" name="Spalte3400"/>
    <tableColumn id="3418" xr3:uid="{8A6B2819-7653-44C2-A84D-60B589AEBF03}" name="Spalte3401"/>
    <tableColumn id="3419" xr3:uid="{1861A61D-1177-4D03-A2A3-F308DE920CEE}" name="Spalte3402"/>
    <tableColumn id="3420" xr3:uid="{8ECBDB6B-0C2F-4661-BF35-F19B18A63A4B}" name="Spalte3403"/>
    <tableColumn id="3421" xr3:uid="{1C49DAFE-0512-4DD8-A35A-50B59BB14CF3}" name="Spalte3404"/>
    <tableColumn id="3422" xr3:uid="{29ECCD60-98FD-4576-86F7-7431218C3009}" name="Spalte3405"/>
    <tableColumn id="3423" xr3:uid="{88D584EA-BBE3-4BF5-9232-3F93D72230D5}" name="Spalte3406"/>
    <tableColumn id="3424" xr3:uid="{19EBB42F-AF9F-4CE0-AFD0-08D19E406ED4}" name="Spalte3407"/>
    <tableColumn id="3425" xr3:uid="{E5C2C404-CD08-4F6F-9ED0-05EDF1FFA97C}" name="Spalte3408"/>
    <tableColumn id="3426" xr3:uid="{C1C9D429-9595-409D-B559-22E0BA00F60E}" name="Spalte3409"/>
    <tableColumn id="3427" xr3:uid="{B9332250-5680-4159-A834-4A6FE6D9BD3D}" name="Spalte3410"/>
    <tableColumn id="3428" xr3:uid="{7729E069-A4E4-4BB4-9D8E-C882855D2869}" name="Spalte3411"/>
    <tableColumn id="3429" xr3:uid="{0D896D5D-6A52-4C1F-B522-62EC93674D98}" name="Spalte3412"/>
    <tableColumn id="3430" xr3:uid="{EEB67DF2-E1C6-4130-932E-7272B51D907B}" name="Spalte3413"/>
    <tableColumn id="3431" xr3:uid="{ACBF4263-3F89-49C9-A2B0-72DF42CF6EFC}" name="Spalte3414"/>
    <tableColumn id="3432" xr3:uid="{391FC884-F346-448E-8CD0-096C1E5128D2}" name="Spalte3415"/>
    <tableColumn id="3433" xr3:uid="{6260C986-52B1-4D85-9B05-9A4139E9CFEA}" name="Spalte3416"/>
    <tableColumn id="3434" xr3:uid="{19F7037B-A598-424D-BAAB-EAADEEF976C2}" name="Spalte3417"/>
    <tableColumn id="3435" xr3:uid="{A20A8CC9-F020-4A76-8E08-352C40BB7A06}" name="Spalte3418"/>
    <tableColumn id="3436" xr3:uid="{75675E3D-4A85-43BE-8783-0DE7B5112BD5}" name="Spalte3419"/>
    <tableColumn id="3437" xr3:uid="{5F1C63D9-EF44-4D00-B252-CCACDB8133F0}" name="Spalte3420"/>
    <tableColumn id="3438" xr3:uid="{0CAEB52E-FF13-4041-BF8C-2C1ECA5DC3D0}" name="Spalte3421"/>
    <tableColumn id="3439" xr3:uid="{2B89B4C7-256B-4C5A-AEEF-A543F069CE5E}" name="Spalte3422"/>
    <tableColumn id="3440" xr3:uid="{9ACA5063-8476-425B-898B-AA98D5A4652E}" name="Spalte3423"/>
    <tableColumn id="3441" xr3:uid="{94754AAB-7760-4F33-9451-217801894D26}" name="Spalte3424"/>
    <tableColumn id="3442" xr3:uid="{9757FD4F-833A-452F-8B14-894D8AD7E767}" name="Spalte3425"/>
    <tableColumn id="3443" xr3:uid="{A2374EA2-5566-4B5E-AFC6-27F34235A8E8}" name="Spalte3426"/>
    <tableColumn id="3444" xr3:uid="{64670E30-AC5A-4097-A418-A408C81DE8D2}" name="Spalte3427"/>
    <tableColumn id="3445" xr3:uid="{82E1F5AF-4CF9-4674-827C-9759D2CB6494}" name="Spalte3428"/>
    <tableColumn id="3446" xr3:uid="{EE312148-3EFE-4E28-8511-B1A946BED15E}" name="Spalte3429"/>
    <tableColumn id="3447" xr3:uid="{95898F62-ED45-4F83-8811-88932F1A3557}" name="Spalte3430"/>
    <tableColumn id="3448" xr3:uid="{DB6E9961-419F-4733-991E-4470D9A933FB}" name="Spalte3431"/>
    <tableColumn id="3449" xr3:uid="{845C99ED-B59E-430A-8F7D-51671D2BF841}" name="Spalte3432"/>
    <tableColumn id="3450" xr3:uid="{94C182C7-B1CA-45DD-A146-6C2D6160A483}" name="Spalte3433"/>
    <tableColumn id="3451" xr3:uid="{F194F6F7-026F-492A-9E3D-EDF77A5377AD}" name="Spalte3434"/>
    <tableColumn id="3452" xr3:uid="{6306A175-71E5-4F17-8D8D-DC5C9B1A43BB}" name="Spalte3435"/>
    <tableColumn id="3453" xr3:uid="{A02FFA74-C098-4882-915F-BC43E4398ED8}" name="Spalte3436"/>
    <tableColumn id="3454" xr3:uid="{06AC6891-B142-4E07-8FEF-6A2696750B13}" name="Spalte3437"/>
    <tableColumn id="3455" xr3:uid="{54EDE38C-51E0-4EC0-A6D6-E045F471A3FA}" name="Spalte3438"/>
    <tableColumn id="3456" xr3:uid="{F81F2702-4F46-46BF-AEE6-590ACA6132F6}" name="Spalte3439"/>
    <tableColumn id="3457" xr3:uid="{ECE4EB6C-692A-4374-9316-3308BB429C74}" name="Spalte3440"/>
    <tableColumn id="3458" xr3:uid="{ECB27D05-219E-4645-9826-5970D3185069}" name="Spalte3441"/>
    <tableColumn id="3459" xr3:uid="{B904428C-586C-4AD3-81B2-72561D949991}" name="Spalte3442"/>
    <tableColumn id="3460" xr3:uid="{4FA5EF0C-719D-4738-BBAC-6258AC17838C}" name="Spalte3443"/>
    <tableColumn id="3461" xr3:uid="{9C8CC878-EC70-4B2C-B5F7-0F8567D7D098}" name="Spalte3444"/>
    <tableColumn id="3462" xr3:uid="{B4DC0A2B-BA37-4436-A034-445B5EEB24C9}" name="Spalte3445"/>
    <tableColumn id="3463" xr3:uid="{67160B14-99A8-4C6C-9447-A798F56244B2}" name="Spalte3446"/>
    <tableColumn id="3464" xr3:uid="{D19F927D-B6E3-45DB-AAF5-098BD8A23F72}" name="Spalte3447"/>
    <tableColumn id="3465" xr3:uid="{438407BC-C45D-4B35-ADDB-01169B8ABF96}" name="Spalte3448"/>
    <tableColumn id="3466" xr3:uid="{619461F5-C1E1-465C-B1B8-B54BE032247A}" name="Spalte3449"/>
    <tableColumn id="3467" xr3:uid="{153E02B3-116A-4382-90D2-F3D7BAC21E3F}" name="Spalte3450"/>
    <tableColumn id="3468" xr3:uid="{E9D9826E-7E06-4489-AE91-DD7F16CB3038}" name="Spalte3451"/>
    <tableColumn id="3469" xr3:uid="{317D06AB-990F-49B2-8BF5-4632BAF19D38}" name="Spalte3452"/>
    <tableColumn id="3470" xr3:uid="{0908FC5B-79FE-4272-9A38-8E7A88C5EB29}" name="Spalte3453"/>
    <tableColumn id="3471" xr3:uid="{244F781D-B757-433C-B805-043823673A41}" name="Spalte3454"/>
    <tableColumn id="3472" xr3:uid="{F40F7784-0934-4055-A16B-789445FF8651}" name="Spalte3455"/>
    <tableColumn id="3473" xr3:uid="{AE6ACFBF-4B1D-4851-A844-44B86A12F889}" name="Spalte3456"/>
    <tableColumn id="3474" xr3:uid="{3690B4B0-9EB3-49FC-9D81-27A834ED4DD4}" name="Spalte3457"/>
    <tableColumn id="3475" xr3:uid="{C785DE81-ABC2-4EDC-8D5F-3D2312A45573}" name="Spalte3458"/>
    <tableColumn id="3476" xr3:uid="{DFC3751F-67DF-47DD-819D-C6C0B6EA0B27}" name="Spalte3459"/>
    <tableColumn id="3477" xr3:uid="{B2C6602F-5881-47C3-8366-68C7382C0D3F}" name="Spalte3460"/>
    <tableColumn id="3478" xr3:uid="{B5058D91-42D0-4D4C-B913-B08146E39E11}" name="Spalte3461"/>
    <tableColumn id="3479" xr3:uid="{246DD9D0-6999-485B-B4D3-F7706E71F11A}" name="Spalte3462"/>
    <tableColumn id="3480" xr3:uid="{D7F936BE-B47D-4945-BC3B-6823A0EC36DC}" name="Spalte3463"/>
    <tableColumn id="3481" xr3:uid="{1537BA44-D381-4F34-B636-7B2087E3E0A2}" name="Spalte3464"/>
    <tableColumn id="3482" xr3:uid="{5D6196DA-1069-4581-A229-656BEAEA2F42}" name="Spalte3465"/>
    <tableColumn id="3483" xr3:uid="{9A0D8D4B-ECEB-401F-87BF-222FACA25CE1}" name="Spalte3466"/>
    <tableColumn id="3484" xr3:uid="{75616E33-3D0D-4323-BFC8-F138892E0714}" name="Spalte3467"/>
    <tableColumn id="3485" xr3:uid="{963A22EA-1A62-418F-800C-48F3BA1AF87A}" name="Spalte3468"/>
    <tableColumn id="3486" xr3:uid="{5407C6E6-DF5D-4A47-A2BF-CEA868C28840}" name="Spalte3469"/>
    <tableColumn id="3487" xr3:uid="{44D2A035-546E-410D-AA4E-6F96ACCF087C}" name="Spalte3470"/>
    <tableColumn id="3488" xr3:uid="{5F990A12-0E89-4AD3-8D83-BCCEF4E84FC4}" name="Spalte3471"/>
    <tableColumn id="3489" xr3:uid="{013CDFC9-9863-4780-A5CA-2FB92FD6FFA7}" name="Spalte3472"/>
    <tableColumn id="3490" xr3:uid="{29AB2DBA-3BF1-4341-BD2C-9AD11F1CC808}" name="Spalte3473"/>
    <tableColumn id="3491" xr3:uid="{B0F657D1-45A9-41C5-B39B-F982ACF3B215}" name="Spalte3474"/>
    <tableColumn id="3492" xr3:uid="{A19E41E9-A4E6-45BF-B9D0-057EDE1A71FB}" name="Spalte3475"/>
    <tableColumn id="3493" xr3:uid="{22AC4CC5-0F86-4139-B89E-989CEAE8EEC8}" name="Spalte3476"/>
    <tableColumn id="3494" xr3:uid="{9B2678FE-0197-4EE9-A47C-98B0303F7EE6}" name="Spalte3477"/>
    <tableColumn id="3495" xr3:uid="{A76D4B59-760C-40B2-A6EE-992EB656DF37}" name="Spalte3478"/>
    <tableColumn id="3496" xr3:uid="{24B834F7-F729-4049-94EC-7E27720D7BD7}" name="Spalte3479"/>
    <tableColumn id="3497" xr3:uid="{D98F719D-D54E-464C-8C82-0EE256A99DCE}" name="Spalte3480"/>
    <tableColumn id="3498" xr3:uid="{4D185E69-07E9-4F21-9333-F8D5172B9F00}" name="Spalte3481"/>
    <tableColumn id="3499" xr3:uid="{E799D8C0-B0F2-4ECA-B696-50CE44CFFF2E}" name="Spalte3482"/>
    <tableColumn id="3500" xr3:uid="{2C911D5F-B61E-4CC5-9784-2A35D8FC4002}" name="Spalte3483"/>
    <tableColumn id="3501" xr3:uid="{FEC5D890-36C2-43ED-9D10-592F029B8674}" name="Spalte3484"/>
    <tableColumn id="3502" xr3:uid="{FB9A3A07-5D52-45A8-A538-34469B292FD0}" name="Spalte3485"/>
    <tableColumn id="3503" xr3:uid="{B92049AD-3F5B-490B-9DAA-F360F75E163A}" name="Spalte3486"/>
    <tableColumn id="3504" xr3:uid="{F0278A31-4C20-4617-A5E7-52352B6D6209}" name="Spalte3487"/>
    <tableColumn id="3505" xr3:uid="{36DAFE4C-6E26-4BB0-98B0-CC0FDCC3C262}" name="Spalte3488"/>
    <tableColumn id="3506" xr3:uid="{D6AC25E5-5885-4E60-815F-70A2A6492BAA}" name="Spalte3489"/>
    <tableColumn id="3507" xr3:uid="{04D2F88A-3FEF-4574-AC6F-8613A2FF7F60}" name="Spalte3490"/>
    <tableColumn id="3508" xr3:uid="{E1530EAF-B962-45F2-9182-DFE0EED03F4A}" name="Spalte3491"/>
    <tableColumn id="3509" xr3:uid="{5F814574-C20B-4FFB-85D1-8D3F944321AC}" name="Spalte3492"/>
    <tableColumn id="3510" xr3:uid="{19957AC3-9FEC-42C8-8793-EF0FA7486129}" name="Spalte3493"/>
    <tableColumn id="3511" xr3:uid="{5B32680B-4EF1-4A61-A6B9-B8F6B3F28499}" name="Spalte3494"/>
    <tableColumn id="3512" xr3:uid="{21C12D01-2CDD-4B38-B8D6-8CA862C0AC27}" name="Spalte3495"/>
    <tableColumn id="3513" xr3:uid="{362B7C96-314C-471F-AB39-5DA1FA37E4CE}" name="Spalte3496"/>
    <tableColumn id="3514" xr3:uid="{198F0996-1BE0-42E3-8243-0EFC93891C29}" name="Spalte3497"/>
    <tableColumn id="3515" xr3:uid="{3CC1771F-54BB-4F18-8A53-DCDBAB971F67}" name="Spalte3498"/>
    <tableColumn id="3516" xr3:uid="{2D2D886E-9374-424A-9E9F-9A43179A78C4}" name="Spalte3499"/>
    <tableColumn id="3517" xr3:uid="{D515CD3F-320B-4833-93B7-03B656BFC61B}" name="Spalte3500"/>
    <tableColumn id="3518" xr3:uid="{A23D2DC9-F15D-4629-9879-0B7D4C7A70C6}" name="Spalte3501"/>
    <tableColumn id="3519" xr3:uid="{2B1D05EA-F60D-4748-A7DF-7CD958683B6B}" name="Spalte3502"/>
    <tableColumn id="3520" xr3:uid="{0551E9CE-38CB-400C-AB73-D6350AE1BF72}" name="Spalte3503"/>
    <tableColumn id="3521" xr3:uid="{D645B8D5-5050-4116-B670-5560DBF77A2C}" name="Spalte3504"/>
    <tableColumn id="3522" xr3:uid="{81884D5A-535C-4E98-B677-875A552F23D7}" name="Spalte3505"/>
    <tableColumn id="3523" xr3:uid="{42EF472A-7AAD-4A20-82E4-A6C23F97AA76}" name="Spalte3506"/>
    <tableColumn id="3524" xr3:uid="{50C74F3B-4CF1-4D14-88FF-CAE7366EC5FA}" name="Spalte3507"/>
    <tableColumn id="3525" xr3:uid="{E94D60F6-1316-42F2-B30F-85089B5CAACB}" name="Spalte3508"/>
    <tableColumn id="3526" xr3:uid="{D4ED026C-B45A-4C4E-BEE5-CDC61623AF38}" name="Spalte3509"/>
    <tableColumn id="3527" xr3:uid="{877A05C3-E3DD-44E2-BC5E-B46C07DCF515}" name="Spalte3510"/>
    <tableColumn id="3528" xr3:uid="{0FC50DBD-C9D4-4537-8F47-E8121F534CA2}" name="Spalte3511"/>
    <tableColumn id="3529" xr3:uid="{993AEA4A-809F-4685-9BC5-209E583775EE}" name="Spalte3512"/>
    <tableColumn id="3530" xr3:uid="{1135262D-BDFE-40EC-B7D3-FCBEDCE5DB08}" name="Spalte3513"/>
    <tableColumn id="3531" xr3:uid="{E66CE1DB-A7AD-4242-B3F2-69021FC429F7}" name="Spalte3514"/>
    <tableColumn id="3532" xr3:uid="{AD831E78-BB05-46AF-966C-F800CB73F7EC}" name="Spalte3515"/>
    <tableColumn id="3533" xr3:uid="{F2D39D74-2D39-4B21-8982-C2C813C6A1D9}" name="Spalte3516"/>
    <tableColumn id="3534" xr3:uid="{D993ECDC-DAED-449E-A3D7-BF5FB5DA50C4}" name="Spalte3517"/>
    <tableColumn id="3535" xr3:uid="{AE04E7B3-412E-4E86-9C72-AA208F180B52}" name="Spalte3518"/>
    <tableColumn id="3536" xr3:uid="{96EFD455-B3B5-420A-BC97-2C6FAB13BCF9}" name="Spalte3519"/>
    <tableColumn id="3537" xr3:uid="{CD8555EE-A9B7-44DD-9206-22E30570D98F}" name="Spalte3520"/>
    <tableColumn id="3538" xr3:uid="{F8EDB4FA-9896-4C8D-8F08-25EE556009BD}" name="Spalte3521"/>
    <tableColumn id="3539" xr3:uid="{A89C486F-11FE-4903-8C3E-9CDCB862B243}" name="Spalte3522"/>
    <tableColumn id="3540" xr3:uid="{C353B6DB-A47C-4D03-B00E-96C6E667D1E6}" name="Spalte3523"/>
    <tableColumn id="3541" xr3:uid="{36C0B27C-FED1-4A3E-A581-3D219372A10C}" name="Spalte3524"/>
    <tableColumn id="3542" xr3:uid="{60EB0702-D33F-46E6-AD36-C1449561114E}" name="Spalte3525"/>
    <tableColumn id="3543" xr3:uid="{7D1CCEA4-02E6-4535-96A6-16F9C52609F5}" name="Spalte3526"/>
    <tableColumn id="3544" xr3:uid="{5A434E8E-EFA8-4002-9DA3-951253C8D342}" name="Spalte3527"/>
    <tableColumn id="3545" xr3:uid="{921D5C2A-FB56-4572-AD77-FEE16859D21D}" name="Spalte3528"/>
    <tableColumn id="3546" xr3:uid="{7BD1598A-963E-4BBA-8155-8D3226460F85}" name="Spalte3529"/>
    <tableColumn id="3547" xr3:uid="{5F945F3C-49B3-49A9-9284-5C1AD08B4B00}" name="Spalte3530"/>
    <tableColumn id="3548" xr3:uid="{2F28891D-BB93-44AB-824C-5BE9F2C7BC83}" name="Spalte3531"/>
    <tableColumn id="3549" xr3:uid="{1C063413-7282-43BB-B22C-7DE7578C5AB1}" name="Spalte3532"/>
    <tableColumn id="3550" xr3:uid="{0640098D-4754-4EC2-AE24-6BB6D82AEBAE}" name="Spalte3533"/>
    <tableColumn id="3551" xr3:uid="{725E2242-C557-4F70-8590-5667940B03E6}" name="Spalte3534"/>
    <tableColumn id="3552" xr3:uid="{59DC127D-5ED7-496A-80F5-E49236A55992}" name="Spalte3535"/>
    <tableColumn id="3553" xr3:uid="{63C57818-92F4-41B8-A220-C8BF05E77D3F}" name="Spalte3536"/>
    <tableColumn id="3554" xr3:uid="{0B817478-B51A-4AB8-BF32-FADF4A99FB21}" name="Spalte3537"/>
    <tableColumn id="3555" xr3:uid="{6E3FFDEE-4D55-489D-83BD-DCD7AD306837}" name="Spalte3538"/>
    <tableColumn id="3556" xr3:uid="{269C6622-E5B0-4E20-B7F4-FC1DECD21F1B}" name="Spalte3539"/>
    <tableColumn id="3557" xr3:uid="{DA5D16D3-4CC0-4CEB-97EF-EF675866F91C}" name="Spalte3540"/>
    <tableColumn id="3558" xr3:uid="{CE069B1B-CD0C-4E0A-B6E4-DE048167118F}" name="Spalte3541"/>
    <tableColumn id="3559" xr3:uid="{46930F7B-7A4E-428D-9FD0-10B902DB38E7}" name="Spalte3542"/>
    <tableColumn id="3560" xr3:uid="{F4B2A2AB-1652-403F-8460-C3B708A138C8}" name="Spalte3543"/>
    <tableColumn id="3561" xr3:uid="{A6414D7F-92BF-41E4-B46D-B027783E67D7}" name="Spalte3544"/>
    <tableColumn id="3562" xr3:uid="{C3E16164-E4F5-4816-BBE2-894BB9BABE55}" name="Spalte3545"/>
    <tableColumn id="3563" xr3:uid="{0E3D8EC4-4E85-48BE-927C-AC38374BB46F}" name="Spalte3546"/>
    <tableColumn id="3564" xr3:uid="{3B22BA12-97DF-4353-BCCF-7ADDAA4AF557}" name="Spalte3547"/>
    <tableColumn id="3565" xr3:uid="{CCC710C7-B928-47AE-BE42-1F66C3C0ACA6}" name="Spalte3548"/>
    <tableColumn id="3566" xr3:uid="{9275B00A-BAB5-4AF4-A274-E969C411650D}" name="Spalte3549"/>
    <tableColumn id="3567" xr3:uid="{0F7ED698-F399-41BC-9361-ED44689B3739}" name="Spalte3550"/>
    <tableColumn id="3568" xr3:uid="{F155351C-B8EC-4B91-BABB-00C7FEC11521}" name="Spalte3551"/>
    <tableColumn id="3569" xr3:uid="{0816DDB4-2A98-400D-9DE6-4E253E4C6E1B}" name="Spalte3552"/>
    <tableColumn id="3570" xr3:uid="{77DB3BA9-1404-4FE1-8795-12A7F347E5C5}" name="Spalte3553"/>
    <tableColumn id="3571" xr3:uid="{80777004-B2BD-4521-AD60-92E3A413E15D}" name="Spalte3554"/>
    <tableColumn id="3572" xr3:uid="{97B8203B-073F-4DE3-AED9-6FFF0D2B69AC}" name="Spalte3555"/>
    <tableColumn id="3573" xr3:uid="{49453446-32E6-4917-8C52-5A81B7A9B768}" name="Spalte3556"/>
    <tableColumn id="3574" xr3:uid="{233FAB47-8455-4114-A34F-5BCD6575ED64}" name="Spalte3557"/>
    <tableColumn id="3575" xr3:uid="{B824453A-D4B5-4B6E-AF25-325A4418C7A2}" name="Spalte3558"/>
    <tableColumn id="3576" xr3:uid="{58051F8F-946D-490F-9D09-4B2D979377E0}" name="Spalte3559"/>
    <tableColumn id="3577" xr3:uid="{AA2239B0-4BBC-44EA-80F2-CA360AD109A7}" name="Spalte3560"/>
    <tableColumn id="3578" xr3:uid="{A4B8364F-A70E-4410-AE77-7599946580EE}" name="Spalte3561"/>
    <tableColumn id="3579" xr3:uid="{8BA9B7F4-F1BC-4A5B-BFE7-960D21AC6E09}" name="Spalte3562"/>
    <tableColumn id="3580" xr3:uid="{1098C0BC-6C73-4B24-BBCD-1F4A4C438498}" name="Spalte3563"/>
    <tableColumn id="3581" xr3:uid="{0539EB36-C7D2-4A02-B2B1-05E61E582487}" name="Spalte3564"/>
    <tableColumn id="3582" xr3:uid="{727B6D9A-7A4F-482D-BAAE-B2FC54101A35}" name="Spalte3565"/>
    <tableColumn id="3583" xr3:uid="{6D50D822-2985-4DE2-951C-E02E5B3D890A}" name="Spalte3566"/>
    <tableColumn id="3584" xr3:uid="{40E19E05-A0A2-41B5-83E8-45086C76C94A}" name="Spalte3567"/>
    <tableColumn id="3585" xr3:uid="{380D5C8A-3860-4941-9CD1-D3B984E20B21}" name="Spalte3568"/>
    <tableColumn id="3586" xr3:uid="{C7BD27B7-93E3-428A-884B-5CC3127A3954}" name="Spalte3569"/>
    <tableColumn id="3587" xr3:uid="{EAFA878D-F144-4E4D-AE78-91CA9463DDAE}" name="Spalte3570"/>
    <tableColumn id="3588" xr3:uid="{3C4D70C4-FA48-44F9-873A-8DAE67FCB0FA}" name="Spalte3571"/>
    <tableColumn id="3589" xr3:uid="{2A107A24-F7C7-42EB-85DE-18B40277B296}" name="Spalte3572"/>
    <tableColumn id="3590" xr3:uid="{576E0B42-ECA0-48C9-B881-297411CCF958}" name="Spalte3573"/>
    <tableColumn id="3591" xr3:uid="{F9649CDD-79E8-4AE3-A14F-7A54703B28FA}" name="Spalte3574"/>
    <tableColumn id="3592" xr3:uid="{E15A3D6F-054D-4B9A-B979-166968A38640}" name="Spalte3575"/>
    <tableColumn id="3593" xr3:uid="{CEAFB3C6-F650-4733-86EC-8B47B2819EC6}" name="Spalte3576"/>
    <tableColumn id="3594" xr3:uid="{906D39B0-4571-457C-8285-791F17A20444}" name="Spalte3577"/>
    <tableColumn id="3595" xr3:uid="{9078351C-A5D0-4EF5-BE5E-180040A22345}" name="Spalte3578"/>
    <tableColumn id="3596" xr3:uid="{9E9808D7-1DE9-420A-BDF9-039E0C54EADD}" name="Spalte3579"/>
    <tableColumn id="3597" xr3:uid="{1CB9673A-631E-4B5C-A440-58A060C6D676}" name="Spalte3580"/>
    <tableColumn id="3598" xr3:uid="{01D88919-E4CC-4343-B36B-64149B0BEAAA}" name="Spalte3581"/>
    <tableColumn id="3599" xr3:uid="{11C9B6A8-2596-4E0F-9BC4-196A5C00B785}" name="Spalte3582"/>
    <tableColumn id="3600" xr3:uid="{E3BA1E6A-16E8-48D0-82A1-994623268D87}" name="Spalte3583"/>
    <tableColumn id="3601" xr3:uid="{DCAAAA0A-CB82-4ABC-BA26-7CF29836258E}" name="Spalte3584"/>
    <tableColumn id="3602" xr3:uid="{AD12CBBF-4FD4-45F1-BE36-E9FFBDA6C46E}" name="Spalte3585"/>
    <tableColumn id="3603" xr3:uid="{B5032D57-6CF6-4C0E-AA2E-D75B30B4AE05}" name="Spalte3586"/>
    <tableColumn id="3604" xr3:uid="{B9EE239D-C72E-4DAD-AECE-FB5985E85EFD}" name="Spalte3587"/>
    <tableColumn id="3605" xr3:uid="{87B37452-45A8-4D6B-909F-06F871819C8E}" name="Spalte3588"/>
    <tableColumn id="3606" xr3:uid="{6DCED7D0-1508-4054-9DA1-C2133BCD0C91}" name="Spalte3589"/>
    <tableColumn id="3607" xr3:uid="{7741DF36-90A2-4687-8E19-5A00C98E33D6}" name="Spalte3590"/>
    <tableColumn id="3608" xr3:uid="{0F901036-6C7F-4AFC-B5CC-3E49E43F2450}" name="Spalte3591"/>
    <tableColumn id="3609" xr3:uid="{4EEB7806-49B8-43D5-864B-54D3D50EB700}" name="Spalte3592"/>
    <tableColumn id="3610" xr3:uid="{DF9848B9-9B51-4649-A7B6-D8FF37EEF0C4}" name="Spalte3593"/>
    <tableColumn id="3611" xr3:uid="{91F47F00-DD92-4F10-A983-8E2988A48FCA}" name="Spalte3594"/>
    <tableColumn id="3612" xr3:uid="{5A747487-F695-4511-A42B-465F3B528508}" name="Spalte3595"/>
    <tableColumn id="3613" xr3:uid="{6D26A51D-B93E-42D0-859C-5D69621A2231}" name="Spalte3596"/>
    <tableColumn id="3614" xr3:uid="{13B922CA-B2E6-4289-A204-C54307C092FD}" name="Spalte3597"/>
    <tableColumn id="3615" xr3:uid="{A38ACC92-23BE-4D62-8CA1-2FFE2F23F07A}" name="Spalte3598"/>
    <tableColumn id="3616" xr3:uid="{A02A9ED4-8261-4319-B50D-F41B599605A1}" name="Spalte3599"/>
    <tableColumn id="3617" xr3:uid="{2074C5C7-A095-421D-8C4A-8BAE0092FC7C}" name="Spalte3600"/>
    <tableColumn id="3618" xr3:uid="{15966C2E-C570-4203-8907-9301388EBA73}" name="Spalte3601"/>
    <tableColumn id="3619" xr3:uid="{446CEF7C-F80C-480D-97FE-AD0DDD2BE3A0}" name="Spalte3602"/>
    <tableColumn id="3620" xr3:uid="{A7AA22E4-5E39-490B-89D0-71661F31C7C6}" name="Spalte3603"/>
    <tableColumn id="3621" xr3:uid="{E31CD404-A0A3-4E5E-9F89-5448CF65F27B}" name="Spalte3604"/>
    <tableColumn id="3622" xr3:uid="{3ACF26CC-E3AA-4B25-B5A7-11F9A54E8F5A}" name="Spalte3605"/>
    <tableColumn id="3623" xr3:uid="{37A6FF18-4CBA-40A1-A684-9C70BB2B770D}" name="Spalte3606"/>
    <tableColumn id="3624" xr3:uid="{5A663E66-904E-4700-9D10-8E227C11E5DC}" name="Spalte3607"/>
    <tableColumn id="3625" xr3:uid="{F2C9E33C-BD59-41B3-87D9-A84706EEC55E}" name="Spalte3608"/>
    <tableColumn id="3626" xr3:uid="{F3350574-B65C-4B6A-B69F-9DAD44E947FE}" name="Spalte3609"/>
    <tableColumn id="3627" xr3:uid="{5DF8B316-DE3C-4042-9074-356085D68A32}" name="Spalte3610"/>
    <tableColumn id="3628" xr3:uid="{4E7BCD4E-B16A-4CCF-932E-AEFD2416FF66}" name="Spalte3611"/>
    <tableColumn id="3629" xr3:uid="{234A6801-7D2A-4847-BD2B-3D1F77B36B24}" name="Spalte3612"/>
    <tableColumn id="3630" xr3:uid="{E2D201C2-7D8F-4540-A092-4B431CE73695}" name="Spalte3613"/>
    <tableColumn id="3631" xr3:uid="{F9351F0D-2C8C-4360-9F40-5EA1553FA8AC}" name="Spalte3614"/>
    <tableColumn id="3632" xr3:uid="{6C5B666D-5F4B-46C2-A314-5168E05ACE08}" name="Spalte3615"/>
    <tableColumn id="3633" xr3:uid="{6620372D-C2B7-4803-9F2E-533C690D48D5}" name="Spalte3616"/>
    <tableColumn id="3634" xr3:uid="{5CFC2F7A-690A-48AA-8773-1AB15F9F42EB}" name="Spalte3617"/>
    <tableColumn id="3635" xr3:uid="{C90959FC-5BAB-4A84-9DC6-31427305080D}" name="Spalte3618"/>
    <tableColumn id="3636" xr3:uid="{DD7E43FD-5FD5-4715-B3E2-51B1878D2785}" name="Spalte3619"/>
    <tableColumn id="3637" xr3:uid="{9E6F12FB-3357-4115-9631-0A5E0B6239D7}" name="Spalte3620"/>
    <tableColumn id="3638" xr3:uid="{46C10DD0-9B35-4063-9FF6-83AD492CFFCC}" name="Spalte3621"/>
    <tableColumn id="3639" xr3:uid="{746A22DA-5E1E-4B96-9F9E-1718900534A8}" name="Spalte3622"/>
    <tableColumn id="3640" xr3:uid="{99005B16-CE92-4969-9BFE-CCC8E78F37CA}" name="Spalte3623"/>
    <tableColumn id="3641" xr3:uid="{F6D3EA1C-EF7B-4621-9F2F-6C3EA4F6412F}" name="Spalte3624"/>
    <tableColumn id="3642" xr3:uid="{4E6F5C55-A4AF-44A5-97E6-52C3D55EE302}" name="Spalte3625"/>
    <tableColumn id="3643" xr3:uid="{D22A9CE9-27E9-46C6-8463-83D97043536C}" name="Spalte3626"/>
    <tableColumn id="3644" xr3:uid="{E1710C6F-0D55-4A2B-BF21-A9CC8D2F4568}" name="Spalte3627"/>
    <tableColumn id="3645" xr3:uid="{DECA01C4-F8DA-4DAE-963A-B309E53F3F02}" name="Spalte3628"/>
    <tableColumn id="3646" xr3:uid="{A62DBAC3-3228-414F-8820-12402C087228}" name="Spalte3629"/>
    <tableColumn id="3647" xr3:uid="{D0ECE692-F3E5-47BD-BB84-E50ACFC9B128}" name="Spalte3630"/>
    <tableColumn id="3648" xr3:uid="{EAEF574B-11F2-4826-9F7A-681E6809544B}" name="Spalte3631"/>
    <tableColumn id="3649" xr3:uid="{63C9235E-8BF4-43BD-8FB6-AE1A7B5A9CEB}" name="Spalte3632"/>
    <tableColumn id="3650" xr3:uid="{6DFF6B06-241C-4717-A947-66C2EA1BA14B}" name="Spalte3633"/>
    <tableColumn id="3651" xr3:uid="{2E5EBF10-D61C-4E28-9B91-B0E3DA34FEE3}" name="Spalte3634"/>
    <tableColumn id="3652" xr3:uid="{DC25594A-644F-42C2-8EA0-D29516EB2FDA}" name="Spalte3635"/>
    <tableColumn id="3653" xr3:uid="{74817760-DA97-4FAE-853A-2CA7AD8C3C20}" name="Spalte3636"/>
    <tableColumn id="3654" xr3:uid="{4BF46FE6-0924-4056-93DE-BE48FA874A56}" name="Spalte3637"/>
    <tableColumn id="3655" xr3:uid="{2F88C9B9-3C62-4069-9A1A-CB32BA8DCB11}" name="Spalte3638"/>
    <tableColumn id="3656" xr3:uid="{446A4C8D-80F3-447A-BC5E-39F070096CAF}" name="Spalte3639"/>
    <tableColumn id="3657" xr3:uid="{BA2B7D76-DAE9-4165-B2E7-6175804FA6ED}" name="Spalte3640"/>
    <tableColumn id="3658" xr3:uid="{67D96EB0-EBE0-4142-948B-7CF889CB66BE}" name="Spalte3641"/>
    <tableColumn id="3659" xr3:uid="{E4EDD7BE-D173-42AE-BD8D-B8CA23375B41}" name="Spalte3642"/>
    <tableColumn id="3660" xr3:uid="{03955971-9575-4A1A-A196-1FDED79A5A53}" name="Spalte3643"/>
    <tableColumn id="3661" xr3:uid="{680B8D94-CDDA-4170-8E75-01C3959C165C}" name="Spalte3644"/>
    <tableColumn id="3662" xr3:uid="{8A302D4D-8BA2-42CB-B3E2-E0D4F7E2D3E4}" name="Spalte3645"/>
    <tableColumn id="3663" xr3:uid="{79F0CCD7-932E-4AE6-9991-5EB3EDBC4057}" name="Spalte3646"/>
    <tableColumn id="3664" xr3:uid="{80E2C834-C81E-4D46-B5A8-712A3EACCBDC}" name="Spalte3647"/>
    <tableColumn id="3665" xr3:uid="{EA1CA025-8E1A-4EE7-A3FE-AFC32A707322}" name="Spalte3648"/>
    <tableColumn id="3666" xr3:uid="{781E3EEE-E924-4A56-9470-5DFDFE86BAF7}" name="Spalte3649"/>
    <tableColumn id="3667" xr3:uid="{54169AD8-61E5-442D-9823-BBF2180591F7}" name="Spalte3650"/>
    <tableColumn id="3668" xr3:uid="{E65BA494-87D9-4365-8DF2-CDF53CF68DF0}" name="Spalte3651"/>
    <tableColumn id="3669" xr3:uid="{0316E35D-1A6A-4929-9C5A-0364F56CA66C}" name="Spalte3652"/>
    <tableColumn id="3670" xr3:uid="{0FC8A1D0-77F8-4C17-8668-5A828448936B}" name="Spalte3653"/>
    <tableColumn id="3671" xr3:uid="{06A59383-80E5-445B-9E4E-3D3CE213EC58}" name="Spalte3654"/>
    <tableColumn id="3672" xr3:uid="{EA159847-ECCF-4E50-8450-41035679CA47}" name="Spalte3655"/>
    <tableColumn id="3673" xr3:uid="{99B0DC4D-5013-48A9-9A89-161C6627E3CC}" name="Spalte3656"/>
    <tableColumn id="3674" xr3:uid="{24ACC861-904D-4E53-A1B5-6C228F756C4E}" name="Spalte3657"/>
    <tableColumn id="3675" xr3:uid="{B41D4412-8074-41C2-834D-8CE2B691C958}" name="Spalte3658"/>
    <tableColumn id="3676" xr3:uid="{7B48ABEC-9AC4-4D92-A817-0AF2D2AA8BAD}" name="Spalte3659"/>
    <tableColumn id="3677" xr3:uid="{D5BE56F2-DB68-41F3-8559-3B687E5CB8AD}" name="Spalte3660"/>
    <tableColumn id="3678" xr3:uid="{FC36AFBB-330C-4A67-BD15-3BCC45182825}" name="Spalte3661"/>
    <tableColumn id="3679" xr3:uid="{2654139B-E870-4FEB-8030-63AF78BF40BC}" name="Spalte3662"/>
    <tableColumn id="3680" xr3:uid="{5650848E-3EC4-47B1-BB38-E9BD6BC4904B}" name="Spalte3663"/>
    <tableColumn id="3681" xr3:uid="{A7AEA4F9-0D08-49B8-BEEC-3588FD3FD03F}" name="Spalte3664"/>
    <tableColumn id="3682" xr3:uid="{E156EB76-8FE9-4E8D-99A8-02BDFC09CA6F}" name="Spalte3665"/>
    <tableColumn id="3683" xr3:uid="{D15C385C-10F3-409B-8194-D9DF02579A63}" name="Spalte3666"/>
    <tableColumn id="3684" xr3:uid="{6A907133-4E19-4D65-93CE-25B553C273AF}" name="Spalte3667"/>
    <tableColumn id="3685" xr3:uid="{6DEC7B6E-8081-4217-A3FB-026BCF12C848}" name="Spalte3668"/>
    <tableColumn id="3686" xr3:uid="{26433D7E-F62A-4A50-8D17-95039CDD4059}" name="Spalte3669"/>
    <tableColumn id="3687" xr3:uid="{9DDF75F1-601B-4821-8CEB-83CF846B7392}" name="Spalte3670"/>
    <tableColumn id="3688" xr3:uid="{B4C3A8B6-13E5-4FE5-9374-6256BEAC1905}" name="Spalte3671"/>
    <tableColumn id="3689" xr3:uid="{36D73FF0-C7B7-4456-BF05-2C90250320B6}" name="Spalte3672"/>
    <tableColumn id="3690" xr3:uid="{1B2D5C68-CE53-46C0-B918-57C8CF0D3235}" name="Spalte3673"/>
    <tableColumn id="3691" xr3:uid="{9E0CB44C-05A4-4E30-996B-D5D2079DD5B3}" name="Spalte3674"/>
    <tableColumn id="3692" xr3:uid="{5A074DC3-9751-4393-8773-86C902AD052C}" name="Spalte3675"/>
    <tableColumn id="3693" xr3:uid="{8B9175A2-09FC-496A-8780-C22A840C5681}" name="Spalte3676"/>
    <tableColumn id="3694" xr3:uid="{2BBF696E-F079-4B09-8391-EA5F70872307}" name="Spalte3677"/>
    <tableColumn id="3695" xr3:uid="{6EF9A873-300D-42EB-A806-8A195003BE79}" name="Spalte3678"/>
    <tableColumn id="3696" xr3:uid="{7E5C1698-C789-4015-8808-329458D875FB}" name="Spalte3679"/>
    <tableColumn id="3697" xr3:uid="{0E812E21-9CF4-41C3-96E3-DB6AA291C926}" name="Spalte3680"/>
    <tableColumn id="3698" xr3:uid="{90A9ACD1-37DD-434E-904C-38384634B1A9}" name="Spalte3681"/>
    <tableColumn id="3699" xr3:uid="{5AD0A345-0D91-4500-90E5-2280045B1843}" name="Spalte3682"/>
    <tableColumn id="3700" xr3:uid="{4E484957-C470-4EDB-AB96-94E3345C6317}" name="Spalte3683"/>
    <tableColumn id="3701" xr3:uid="{1F55C55C-4CA1-4B54-9076-9EA171B472E5}" name="Spalte3684"/>
    <tableColumn id="3702" xr3:uid="{AF650417-82B0-4452-917C-DB6C36740EF6}" name="Spalte3685"/>
    <tableColumn id="3703" xr3:uid="{3D593DF1-DCA3-4D70-B113-DA0C3DF46136}" name="Spalte3686"/>
    <tableColumn id="3704" xr3:uid="{3BEC4636-DFAD-4E3E-A3A5-C8848E46397F}" name="Spalte3687"/>
    <tableColumn id="3705" xr3:uid="{E1474C00-11B8-4B85-A98C-89961508458E}" name="Spalte3688"/>
    <tableColumn id="3706" xr3:uid="{46C9C14C-C82E-4F09-8F2F-546788CFC736}" name="Spalte3689"/>
    <tableColumn id="3707" xr3:uid="{7C48A470-E47A-4A42-896C-37493F79A9C2}" name="Spalte3690"/>
    <tableColumn id="3708" xr3:uid="{4F90F324-E72D-489D-ACC6-06E9265ED2E6}" name="Spalte3691"/>
    <tableColumn id="3709" xr3:uid="{415CA05F-491C-4F0E-8043-81911D03AF4C}" name="Spalte3692"/>
    <tableColumn id="3710" xr3:uid="{2E215687-4CAA-4740-85EE-56DC50E9B979}" name="Spalte3693"/>
    <tableColumn id="3711" xr3:uid="{83F16F55-E785-4F7B-8ECD-BB9C01957D43}" name="Spalte3694"/>
    <tableColumn id="3712" xr3:uid="{B060E730-EC11-4AAB-A2DE-A22ABA872A6A}" name="Spalte3695"/>
    <tableColumn id="3713" xr3:uid="{BD8D6464-02C2-4843-A7F1-99A4C88A740D}" name="Spalte3696"/>
    <tableColumn id="3714" xr3:uid="{0E242DAF-AC6A-4424-9FE2-EDA21BBA8FBA}" name="Spalte3697"/>
    <tableColumn id="3715" xr3:uid="{B57F7690-31F4-4962-8285-E09E5E45F019}" name="Spalte3698"/>
    <tableColumn id="3716" xr3:uid="{0A4FB46A-0274-44F5-BAB5-E7D98F1A30AA}" name="Spalte3699"/>
    <tableColumn id="3717" xr3:uid="{F408AD01-8674-4BB4-B569-F9D3707556E0}" name="Spalte3700"/>
    <tableColumn id="3718" xr3:uid="{E800F640-503C-45B7-BB10-58D7C716BCA7}" name="Spalte3701"/>
    <tableColumn id="3719" xr3:uid="{D562FE14-20B2-4BE1-B386-87588075BC2A}" name="Spalte3702"/>
    <tableColumn id="3720" xr3:uid="{DAB6A8F0-481A-4AAA-AD85-AEFF113A495F}" name="Spalte3703"/>
    <tableColumn id="3721" xr3:uid="{EB681396-FF96-4F2C-A014-20A97DF40B8C}" name="Spalte3704"/>
    <tableColumn id="3722" xr3:uid="{D4F71D3B-52BE-43C7-B0E1-87BA16E19BBB}" name="Spalte3705"/>
    <tableColumn id="3723" xr3:uid="{3A884EE2-82BF-4B70-90C5-BEB3253A1F4D}" name="Spalte3706"/>
    <tableColumn id="3724" xr3:uid="{4E81E4BF-6943-4140-880A-04C14597C7EE}" name="Spalte3707"/>
    <tableColumn id="3725" xr3:uid="{ADB55DDF-881B-4C1F-B133-1163D8AB8BB7}" name="Spalte3708"/>
    <tableColumn id="3726" xr3:uid="{52602E72-B083-44D9-A907-C64AB4843777}" name="Spalte3709"/>
    <tableColumn id="3727" xr3:uid="{33C64F84-8008-4D45-AB40-34CE13DBFA78}" name="Spalte3710"/>
    <tableColumn id="3728" xr3:uid="{21770D2B-770D-498B-880B-995F394C14C6}" name="Spalte3711"/>
    <tableColumn id="3729" xr3:uid="{E63F4B27-39AB-40D1-9A31-7EF6818FE89D}" name="Spalte3712"/>
    <tableColumn id="3730" xr3:uid="{3FBF674E-7C8A-4FEF-9378-6CC7A6CCB124}" name="Spalte3713"/>
    <tableColumn id="3731" xr3:uid="{6B1050D4-52EB-4B18-B934-6EE8672C3CAB}" name="Spalte3714"/>
    <tableColumn id="3732" xr3:uid="{4C8FC68F-1E1A-4A7E-8119-46C50C901BB8}" name="Spalte3715"/>
    <tableColumn id="3733" xr3:uid="{9DB11582-5637-4163-B2D4-14BCFCCA34EB}" name="Spalte3716"/>
    <tableColumn id="3734" xr3:uid="{C86D0C9E-0075-45CF-AEBF-EB0B2C8FA033}" name="Spalte3717"/>
    <tableColumn id="3735" xr3:uid="{92C15463-E198-4A01-B4C1-2AF35C4A34CB}" name="Spalte3718"/>
    <tableColumn id="3736" xr3:uid="{9326E3EA-EB8F-4AC6-A398-3EA41701B72A}" name="Spalte3719"/>
    <tableColumn id="3737" xr3:uid="{BDA9A58E-C21C-4B57-BEB9-301DB6AB8C10}" name="Spalte3720"/>
    <tableColumn id="3738" xr3:uid="{6547AEC6-B401-4998-AE19-6C790A09A97B}" name="Spalte3721"/>
    <tableColumn id="3739" xr3:uid="{8ED2C30F-411B-4231-A17D-BE98C2FA4BDC}" name="Spalte3722"/>
    <tableColumn id="3740" xr3:uid="{7E9A3686-857D-457A-B6BB-9062D3C3FE75}" name="Spalte3723"/>
    <tableColumn id="3741" xr3:uid="{B8202541-5022-4C88-93F8-DB45855A44DA}" name="Spalte3724"/>
    <tableColumn id="3742" xr3:uid="{B7419730-17DE-4A3B-B321-2C1E17E33420}" name="Spalte3725"/>
    <tableColumn id="3743" xr3:uid="{0F865A7A-F7A1-4CF1-BAD9-9C78A1BBDDDD}" name="Spalte3726"/>
    <tableColumn id="3744" xr3:uid="{A17BBD24-4239-4266-A3EE-E7ADB6017CCC}" name="Spalte3727"/>
    <tableColumn id="3745" xr3:uid="{159BCB3F-0387-4F06-B2F9-D33D43CD8B53}" name="Spalte3728"/>
    <tableColumn id="3746" xr3:uid="{98727D87-F999-420D-A9C2-C0BB4D6D2B29}" name="Spalte3729"/>
    <tableColumn id="3747" xr3:uid="{0C836698-FB0F-49F2-8337-C6921764CF54}" name="Spalte3730"/>
    <tableColumn id="3748" xr3:uid="{149306C8-B9E3-466A-BEAA-3E4CF6EF76F3}" name="Spalte3731"/>
    <tableColumn id="3749" xr3:uid="{16300A37-584D-4CE5-A9D6-4FD5592AF262}" name="Spalte3732"/>
    <tableColumn id="3750" xr3:uid="{4B13D612-3094-43E1-BF3E-C03331E9D4AF}" name="Spalte3733"/>
    <tableColumn id="3751" xr3:uid="{C02F045B-DE02-4D29-87FF-521133D12D49}" name="Spalte3734"/>
    <tableColumn id="3752" xr3:uid="{9CE5C6A7-7D08-40F3-8274-9296EA063A9E}" name="Spalte3735"/>
    <tableColumn id="3753" xr3:uid="{5C0BD957-4459-4C83-90BE-B1163674E016}" name="Spalte3736"/>
    <tableColumn id="3754" xr3:uid="{7BD853F1-2A44-4355-94E9-4DCF0A138501}" name="Spalte3737"/>
    <tableColumn id="3755" xr3:uid="{3020E849-FF2B-4BD0-BD05-61106AAE77A1}" name="Spalte3738"/>
    <tableColumn id="3756" xr3:uid="{B7A7D3AB-B1F6-4CA0-B3D2-A1177506AFE3}" name="Spalte3739"/>
    <tableColumn id="3757" xr3:uid="{74946D85-4B0B-453D-B9B7-446E579A8BD2}" name="Spalte3740"/>
    <tableColumn id="3758" xr3:uid="{D173D2CA-92D7-4D97-86D8-864250B2D874}" name="Spalte3741"/>
    <tableColumn id="3759" xr3:uid="{F5C79202-5986-4B73-BC05-59319F8E1A6F}" name="Spalte3742"/>
    <tableColumn id="3760" xr3:uid="{E3F4E9ED-A8B4-4540-B2D7-0086526C4E3A}" name="Spalte3743"/>
    <tableColumn id="3761" xr3:uid="{B9BF6472-373C-405F-B90D-79D2B7EE19B3}" name="Spalte3744"/>
    <tableColumn id="3762" xr3:uid="{07C922FC-FC72-4968-AA09-2E40B4837517}" name="Spalte3745"/>
    <tableColumn id="3763" xr3:uid="{16ECF12D-61CA-4365-8BC8-C049A39B6976}" name="Spalte3746"/>
    <tableColumn id="3764" xr3:uid="{72711429-3198-442F-ADC5-6555353340A0}" name="Spalte3747"/>
    <tableColumn id="3765" xr3:uid="{4F52E95D-AAEF-4D34-8E32-073EA6C5890D}" name="Spalte3748"/>
    <tableColumn id="3766" xr3:uid="{1E81D730-6716-4781-93EB-A8AAF08894BF}" name="Spalte3749"/>
    <tableColumn id="3767" xr3:uid="{13C30B70-AD19-4B84-99F2-E12287558980}" name="Spalte3750"/>
    <tableColumn id="3768" xr3:uid="{38363B76-343D-4C5A-B13A-768F3542F3CA}" name="Spalte3751"/>
    <tableColumn id="3769" xr3:uid="{CCBA18ED-B7E8-40F5-AC3B-8ADF3E800468}" name="Spalte3752"/>
    <tableColumn id="3770" xr3:uid="{453D8F77-62B4-4F32-B401-4A1174E12DCC}" name="Spalte3753"/>
    <tableColumn id="3771" xr3:uid="{5178427F-1843-4BED-8D2C-C4DC4D385CFA}" name="Spalte3754"/>
    <tableColumn id="3772" xr3:uid="{7B5DCA11-BD5B-4C1F-8CE7-233E863B688F}" name="Spalte3755"/>
    <tableColumn id="3773" xr3:uid="{3B5422CE-B2C6-4555-BC3D-0BE6D0DCAE08}" name="Spalte3756"/>
    <tableColumn id="3774" xr3:uid="{3DE8A25D-4F70-481E-BB9A-405D2DFEA143}" name="Spalte3757"/>
    <tableColumn id="3775" xr3:uid="{FE946565-5AFA-413D-BEAD-365513119BD1}" name="Spalte3758"/>
    <tableColumn id="3776" xr3:uid="{C9E5F2F5-A8A5-46C6-81DB-462354A4F0AA}" name="Spalte3759"/>
    <tableColumn id="3777" xr3:uid="{88EFBDEA-B704-4094-AC05-82B353AB0C62}" name="Spalte3760"/>
    <tableColumn id="3778" xr3:uid="{501631D4-9490-4A68-A58F-72CE47D7F2EA}" name="Spalte3761"/>
    <tableColumn id="3779" xr3:uid="{864C74A3-6EA9-4102-9036-F6A28E55D5D6}" name="Spalte3762"/>
    <tableColumn id="3780" xr3:uid="{D2690CA0-2256-4CCB-BB7D-C2A0A6BC1411}" name="Spalte3763"/>
    <tableColumn id="3781" xr3:uid="{D15A31AF-03EE-43F8-84C5-CC7525A9347D}" name="Spalte3764"/>
    <tableColumn id="3782" xr3:uid="{0F859881-4227-4BA5-8724-309B59E682C3}" name="Spalte3765"/>
    <tableColumn id="3783" xr3:uid="{10CABC8B-5940-485B-8DF5-AB72A7028080}" name="Spalte3766"/>
    <tableColumn id="3784" xr3:uid="{4CEF0481-6915-45D2-A067-B50F673CCF40}" name="Spalte3767"/>
    <tableColumn id="3785" xr3:uid="{53FF11C0-10A0-4300-B245-25993C2E07BC}" name="Spalte3768"/>
    <tableColumn id="3786" xr3:uid="{73601125-602A-49B9-AD92-F6B7F90C8473}" name="Spalte3769"/>
    <tableColumn id="3787" xr3:uid="{F0CD0CB3-013B-4E00-AF53-C8B991BF0C84}" name="Spalte3770"/>
    <tableColumn id="3788" xr3:uid="{1F88BB0D-B6DB-46BD-ADBD-85927FC31CAA}" name="Spalte3771"/>
    <tableColumn id="3789" xr3:uid="{77059A95-8209-442B-A16C-0A3CA239AFA8}" name="Spalte3772"/>
    <tableColumn id="3790" xr3:uid="{24F504FF-BB0F-4DD8-A883-B04DFC3A19F4}" name="Spalte3773"/>
    <tableColumn id="3791" xr3:uid="{4659688E-11E2-4297-9F68-42073E2B4FD0}" name="Spalte3774"/>
    <tableColumn id="3792" xr3:uid="{677DD469-57AE-48F2-885D-3E50057A7D33}" name="Spalte3775"/>
    <tableColumn id="3793" xr3:uid="{1BB0E821-973C-447D-B5F2-869303FDA403}" name="Spalte3776"/>
    <tableColumn id="3794" xr3:uid="{15143E3D-7698-41E9-8E80-21B8DC36F87E}" name="Spalte3777"/>
    <tableColumn id="3795" xr3:uid="{D6A115A4-3EBD-4DAB-8F46-6B98A5B59BB7}" name="Spalte3778"/>
    <tableColumn id="3796" xr3:uid="{24556F28-F007-4205-99F0-52FB1F90768B}" name="Spalte3779"/>
    <tableColumn id="3797" xr3:uid="{1C127277-EEBB-4BC1-BDB3-4ED1B12257FD}" name="Spalte3780"/>
    <tableColumn id="3798" xr3:uid="{A5DFA6A5-0689-4245-B706-F64C1FD49420}" name="Spalte3781"/>
    <tableColumn id="3799" xr3:uid="{7EF96730-214D-45D9-8C16-4F37399B2D0C}" name="Spalte3782"/>
    <tableColumn id="3800" xr3:uid="{CEA541D7-6CAB-446A-B4BD-1754A6457078}" name="Spalte3783"/>
    <tableColumn id="3801" xr3:uid="{1E346B2A-36E4-449C-ABBD-791395F43CC7}" name="Spalte3784"/>
    <tableColumn id="3802" xr3:uid="{8649E8B5-8F68-4F68-B836-1287DAF148F0}" name="Spalte3785"/>
    <tableColumn id="3803" xr3:uid="{F85E939D-192B-4540-9EE0-DEBE8124A472}" name="Spalte3786"/>
    <tableColumn id="3804" xr3:uid="{DB7F3196-BC36-4CB7-B364-B9A68121ED08}" name="Spalte3787"/>
    <tableColumn id="3805" xr3:uid="{F30DA3D5-BBF7-4AF9-9053-0B8DEB2C0002}" name="Spalte3788"/>
    <tableColumn id="3806" xr3:uid="{756CE404-9588-47D5-A63E-ED8DEC800DB8}" name="Spalte3789"/>
    <tableColumn id="3807" xr3:uid="{B8E6BACF-C884-4F08-B0F5-1284536482DB}" name="Spalte3790"/>
    <tableColumn id="3808" xr3:uid="{70168E6A-7785-457C-B864-A01F060B0A7E}" name="Spalte3791"/>
    <tableColumn id="3809" xr3:uid="{F2F21417-9ABA-490F-B57E-9ECAA70B4724}" name="Spalte3792"/>
    <tableColumn id="3810" xr3:uid="{52674C43-5D55-47F5-B021-114973BE543B}" name="Spalte3793"/>
    <tableColumn id="3811" xr3:uid="{86753D09-7510-4B4B-92E1-549375652771}" name="Spalte3794"/>
    <tableColumn id="3812" xr3:uid="{C7B80DBA-EE8A-467D-AD4B-3C747ADDC870}" name="Spalte3795"/>
    <tableColumn id="3813" xr3:uid="{15FE4BDA-EBBB-4E60-9702-82B56E5B28AF}" name="Spalte3796"/>
    <tableColumn id="3814" xr3:uid="{384C1971-0E1C-4AFA-91E7-AF06B1C2F508}" name="Spalte3797"/>
    <tableColumn id="3815" xr3:uid="{89A7FC72-0E69-4B08-96E2-63DA64980ED9}" name="Spalte3798"/>
    <tableColumn id="3816" xr3:uid="{E1BBBF20-4258-4F48-B23D-DA17F3283576}" name="Spalte3799"/>
    <tableColumn id="3817" xr3:uid="{C713B0C7-2102-494E-A724-5C9C0E8F7674}" name="Spalte3800"/>
    <tableColumn id="3818" xr3:uid="{FD88A41C-66A1-44DE-93C8-F06AEA33EEC8}" name="Spalte3801"/>
    <tableColumn id="3819" xr3:uid="{4A6AE7CE-FB69-4E9F-A6D8-B72B9E2ECC2F}" name="Spalte3802"/>
    <tableColumn id="3820" xr3:uid="{EE9DA6CA-AD21-4AB8-8431-62D51C8FBBF0}" name="Spalte3803"/>
    <tableColumn id="3821" xr3:uid="{AE9BF3E6-EC72-468E-AD2D-DB8E8F63488F}" name="Spalte3804"/>
    <tableColumn id="3822" xr3:uid="{4464B84E-AA11-4694-B920-B95B877ED594}" name="Spalte3805"/>
    <tableColumn id="3823" xr3:uid="{261E0368-1B2F-40C9-995F-F745C9A2B27A}" name="Spalte3806"/>
    <tableColumn id="3824" xr3:uid="{9F67C3D1-864A-4F2E-8E8B-D023313242BC}" name="Spalte3807"/>
    <tableColumn id="3825" xr3:uid="{0138C91D-507F-44EF-9BF3-5E392806FE0C}" name="Spalte3808"/>
    <tableColumn id="3826" xr3:uid="{900B6D57-4659-45A2-82A3-B8D0FF337D33}" name="Spalte3809"/>
    <tableColumn id="3827" xr3:uid="{7D7E18DA-E525-425F-8587-AF57E66D4D71}" name="Spalte3810"/>
    <tableColumn id="3828" xr3:uid="{4D6F0EA5-20BA-4289-A325-233D14CD8A1E}" name="Spalte3811"/>
    <tableColumn id="3829" xr3:uid="{8EEEDC75-084D-44EA-89DC-EE675A1396DE}" name="Spalte3812"/>
    <tableColumn id="3830" xr3:uid="{37EC7BD6-BA08-43DA-9F52-3A3FD181519B}" name="Spalte3813"/>
    <tableColumn id="3831" xr3:uid="{78E1E70F-8C46-410E-8A7D-577A330AD926}" name="Spalte3814"/>
    <tableColumn id="3832" xr3:uid="{25E3973E-C1DF-4100-B272-BF989F7AD2D2}" name="Spalte3815"/>
    <tableColumn id="3833" xr3:uid="{F030FCC8-DA66-430C-A52E-2DDDE22EFF58}" name="Spalte3816"/>
    <tableColumn id="3834" xr3:uid="{B91B8498-DAC5-4A6F-BAB4-A28D35C9C244}" name="Spalte3817"/>
    <tableColumn id="3835" xr3:uid="{C3BD11B9-80CA-456B-89E4-657FB0BC60A2}" name="Spalte3818"/>
    <tableColumn id="3836" xr3:uid="{40396B37-D9A9-49A3-A649-2BBBC478C4C4}" name="Spalte3819"/>
    <tableColumn id="3837" xr3:uid="{0ABFE420-03D1-44F6-AD17-9BE84AFDED9A}" name="Spalte3820"/>
    <tableColumn id="3838" xr3:uid="{2874E312-4F26-440D-90A2-CE7CFC5D8163}" name="Spalte3821"/>
    <tableColumn id="3839" xr3:uid="{40E7CB39-11AA-4898-B66E-8749D1F01B6E}" name="Spalte3822"/>
    <tableColumn id="3840" xr3:uid="{F67BF7F1-7CCB-4DF0-94F9-EFD43C2F252C}" name="Spalte3823"/>
    <tableColumn id="3841" xr3:uid="{5DE601E0-6AFF-4E39-B38F-9BCBB9C8100C}" name="Spalte3824"/>
    <tableColumn id="3842" xr3:uid="{22EFD88F-8DC4-4E86-8358-1CB61E5BF974}" name="Spalte3825"/>
    <tableColumn id="3843" xr3:uid="{BD7D18BD-AE9B-4269-AE18-B7B63DF304DC}" name="Spalte3826"/>
    <tableColumn id="3844" xr3:uid="{57AAEE2E-C2C7-41A4-A285-51CCAC323554}" name="Spalte3827"/>
    <tableColumn id="3845" xr3:uid="{410EC988-D407-4E49-A15C-5994C123FD1C}" name="Spalte3828"/>
    <tableColumn id="3846" xr3:uid="{5BCB9B30-7905-4CD7-ACF8-ACA67BFB4ACC}" name="Spalte3829"/>
    <tableColumn id="3847" xr3:uid="{278CFF62-784E-477D-A066-1D50BF1CE5D3}" name="Spalte3830"/>
    <tableColumn id="3848" xr3:uid="{614D225C-C005-4385-93C4-8B28CE403610}" name="Spalte3831"/>
    <tableColumn id="3849" xr3:uid="{74910C34-2B6E-4AD7-8BC0-B4CF35731226}" name="Spalte3832"/>
    <tableColumn id="3850" xr3:uid="{3832EFF1-F849-4A59-A467-CD18DFB8D247}" name="Spalte3833"/>
    <tableColumn id="3851" xr3:uid="{AE45AD27-17A4-4DD2-9294-FB81721BE71B}" name="Spalte3834"/>
    <tableColumn id="3852" xr3:uid="{6C5297A9-9E8C-4F15-AD36-C544D5B4308F}" name="Spalte3835"/>
    <tableColumn id="3853" xr3:uid="{3FBF97EC-2D16-4B46-A69D-E27DC869A56B}" name="Spalte3836"/>
    <tableColumn id="3854" xr3:uid="{ED3A12B2-DEF6-4607-9FB1-136081A30563}" name="Spalte3837"/>
    <tableColumn id="3855" xr3:uid="{3B1BC23A-A706-4719-AB60-194C73B49DEC}" name="Spalte3838"/>
    <tableColumn id="3856" xr3:uid="{7534016A-6497-4222-94A3-4FC26AB32F5B}" name="Spalte3839"/>
    <tableColumn id="3857" xr3:uid="{279598A0-BFAE-48B0-A20B-110E001401DE}" name="Spalte3840"/>
    <tableColumn id="3858" xr3:uid="{15E6D0DF-C002-49B0-93B3-58616CE90C02}" name="Spalte3841"/>
    <tableColumn id="3859" xr3:uid="{7D75EC6E-3870-4DAC-AF4F-E65D9C1C413E}" name="Spalte3842"/>
    <tableColumn id="3860" xr3:uid="{080812E6-5DB2-448B-9F18-27AD2201861B}" name="Spalte3843"/>
    <tableColumn id="3861" xr3:uid="{2E4A5C42-0F4C-435D-809F-9BA4D5198FCC}" name="Spalte3844"/>
    <tableColumn id="3862" xr3:uid="{0D810366-288F-45B3-8029-63902F45B24B}" name="Spalte3845"/>
    <tableColumn id="3863" xr3:uid="{6D931D1B-EC15-4B21-81C1-66332E5155FA}" name="Spalte3846"/>
    <tableColumn id="3864" xr3:uid="{68D5D97B-B86A-4889-A240-EE91383408E4}" name="Spalte3847"/>
    <tableColumn id="3865" xr3:uid="{9F76D308-16E1-49FB-A4C4-21D4665CD09E}" name="Spalte3848"/>
    <tableColumn id="3866" xr3:uid="{8B95E443-8885-46DC-BC75-A939494BCD26}" name="Spalte3849"/>
    <tableColumn id="3867" xr3:uid="{76E23FAC-1D52-4CF9-8310-D66DFD29BDB3}" name="Spalte3850"/>
    <tableColumn id="3868" xr3:uid="{24397EB9-63CA-415B-9554-993C8D3F341F}" name="Spalte3851"/>
    <tableColumn id="3869" xr3:uid="{5455B90B-D78E-43C3-81C0-67A73E943988}" name="Spalte3852"/>
    <tableColumn id="3870" xr3:uid="{D30C1064-50D5-4234-8F41-B747FE4845F5}" name="Spalte3853"/>
    <tableColumn id="3871" xr3:uid="{8B1C7C74-7571-4281-BCD2-B12AFAD859E2}" name="Spalte3854"/>
    <tableColumn id="3872" xr3:uid="{5E874109-D1FA-440D-90AB-86B77F7BCC88}" name="Spalte3855"/>
    <tableColumn id="3873" xr3:uid="{FDE21265-DD8A-4A12-815E-6A40B5CEFC74}" name="Spalte3856"/>
    <tableColumn id="3874" xr3:uid="{7A2FBA39-1A63-4298-95F8-9CEFCD1C40A0}" name="Spalte3857"/>
    <tableColumn id="3875" xr3:uid="{779B7F7E-3468-4A8F-8018-1563CCD646C1}" name="Spalte3858"/>
    <tableColumn id="3876" xr3:uid="{73AFD364-0320-48DB-A6D3-3FCD5734DB36}" name="Spalte3859"/>
    <tableColumn id="3877" xr3:uid="{F4A4F04D-7626-4A07-B5EB-5BAC7F6D1466}" name="Spalte3860"/>
    <tableColumn id="3878" xr3:uid="{D2EE409A-D65C-4631-A411-CD4334FA1049}" name="Spalte3861"/>
    <tableColumn id="3879" xr3:uid="{0EF90DBD-1C09-4D23-8287-1692BD87B9F7}" name="Spalte3862"/>
    <tableColumn id="3880" xr3:uid="{6B10734E-4134-44AA-8578-3FE42C4670B8}" name="Spalte3863"/>
    <tableColumn id="3881" xr3:uid="{FCF23646-A529-4E95-B641-AC28498633DC}" name="Spalte3864"/>
    <tableColumn id="3882" xr3:uid="{23B33425-54C3-4BC1-A4D4-E1855EEDA96D}" name="Spalte3865"/>
    <tableColumn id="3883" xr3:uid="{58548420-954D-4CC1-9000-FF52DECB19DD}" name="Spalte3866"/>
    <tableColumn id="3884" xr3:uid="{596EA5BB-96FF-4AB9-AEB2-E36A44874C66}" name="Spalte3867"/>
    <tableColumn id="3885" xr3:uid="{BB6AFDEC-8953-4575-BFEA-403E76CF78A5}" name="Spalte3868"/>
    <tableColumn id="3886" xr3:uid="{5FF6EB05-AF11-4009-943E-929D1AE3A5AB}" name="Spalte3869"/>
    <tableColumn id="3887" xr3:uid="{7D273E8D-0C8E-4155-AD6E-EB0E9612267F}" name="Spalte3870"/>
    <tableColumn id="3888" xr3:uid="{493B7803-7A5E-46F4-AE6F-D5E5AF5A92AA}" name="Spalte3871"/>
    <tableColumn id="3889" xr3:uid="{6B462071-C724-4C51-B4B4-52726769540D}" name="Spalte3872"/>
    <tableColumn id="3890" xr3:uid="{0B8941C1-BF2A-41E8-B33A-559DF4561DE5}" name="Spalte3873"/>
    <tableColumn id="3891" xr3:uid="{280FA9B5-A3ED-4270-A49E-01D0A0E5FBD8}" name="Spalte3874"/>
    <tableColumn id="3892" xr3:uid="{B3137146-DED3-4B2B-AF8A-643869252565}" name="Spalte3875"/>
    <tableColumn id="3893" xr3:uid="{5542B37C-BE7D-40D4-B758-9BBFC84F59A7}" name="Spalte3876"/>
    <tableColumn id="3894" xr3:uid="{CE5B96C3-CF54-4F1B-ADFF-B6BF1D11DD04}" name="Spalte3877"/>
    <tableColumn id="3895" xr3:uid="{2F67E801-B156-48DA-AEB0-D7317A78B22F}" name="Spalte3878"/>
    <tableColumn id="3896" xr3:uid="{BFED7CEC-2EDF-448C-9215-9A255C9A20D2}" name="Spalte3879"/>
    <tableColumn id="3897" xr3:uid="{AB73A2FB-4764-4F04-AA2E-107DBDFABE88}" name="Spalte3880"/>
    <tableColumn id="3898" xr3:uid="{6ADF61F0-656E-404E-88A0-70C1D3C66CE9}" name="Spalte3881"/>
    <tableColumn id="3899" xr3:uid="{B64130D1-5F0C-4761-B9CF-0ACC9C4A67C1}" name="Spalte3882"/>
    <tableColumn id="3900" xr3:uid="{88061445-30A0-45BC-BA64-E62F7D5BE01E}" name="Spalte3883"/>
    <tableColumn id="3901" xr3:uid="{7BA0ABCE-FF6D-4666-B16B-0A632548D010}" name="Spalte3884"/>
    <tableColumn id="3902" xr3:uid="{98F47483-AB7A-4761-A6FE-DA4CC168E1FD}" name="Spalte3885"/>
    <tableColumn id="3903" xr3:uid="{2EC4F452-0909-42D0-897C-27F66F6ECC5F}" name="Spalte3886"/>
    <tableColumn id="3904" xr3:uid="{C95ACE87-2701-4BFB-873F-31FC10D2E76C}" name="Spalte3887"/>
    <tableColumn id="3905" xr3:uid="{4051EE69-434E-4D2C-98FE-01217D3DA4C0}" name="Spalte3888"/>
    <tableColumn id="3906" xr3:uid="{35D08998-CB4B-4AB4-9893-DE8FCD123B46}" name="Spalte3889"/>
    <tableColumn id="3907" xr3:uid="{A7B86FFD-6BF7-4575-83DE-1D69005D8D52}" name="Spalte3890"/>
    <tableColumn id="3908" xr3:uid="{234861E0-69DC-4636-A471-5DE511658DBD}" name="Spalte3891"/>
    <tableColumn id="3909" xr3:uid="{DE2058E9-B52B-4515-B40B-322BF8218830}" name="Spalte3892"/>
    <tableColumn id="3910" xr3:uid="{FECF91A2-B2EC-40E4-93DF-E35839F2CAFE}" name="Spalte3893"/>
    <tableColumn id="3911" xr3:uid="{AB9DDAF8-E1BB-44C7-8251-61FC515A4285}" name="Spalte3894"/>
    <tableColumn id="3912" xr3:uid="{05C7E540-2987-417B-AB15-684CCA535D9F}" name="Spalte3895"/>
    <tableColumn id="3913" xr3:uid="{733D4738-E706-4190-B80F-2C80622E2C0B}" name="Spalte3896"/>
    <tableColumn id="3914" xr3:uid="{B270F34B-4417-42CE-A38B-29B226656374}" name="Spalte3897"/>
    <tableColumn id="3915" xr3:uid="{9FC9C452-AA29-434B-8593-7ED85584F3C9}" name="Spalte3898"/>
    <tableColumn id="3916" xr3:uid="{D1DB61F3-5DB9-4170-B5EA-D87025134610}" name="Spalte3899"/>
    <tableColumn id="3917" xr3:uid="{B3D5877D-791A-4152-98EE-FF6BACC5B60B}" name="Spalte3900"/>
    <tableColumn id="3918" xr3:uid="{B0EB83B6-3C7C-4D56-A4E8-C13EF9EA3346}" name="Spalte3901"/>
    <tableColumn id="3919" xr3:uid="{34644859-39B6-4E25-A901-A677BA339F0D}" name="Spalte3902"/>
    <tableColumn id="3920" xr3:uid="{6B92E813-DAD2-489D-BDA5-75F33C8CE8BD}" name="Spalte3903"/>
    <tableColumn id="3921" xr3:uid="{0939859A-770E-40F8-9F02-09A50EFB5C07}" name="Spalte3904"/>
    <tableColumn id="3922" xr3:uid="{EE54BF70-E9D7-4FB0-90FF-F94EFD1386D2}" name="Spalte3905"/>
    <tableColumn id="3923" xr3:uid="{160D51F2-CCEF-420A-8CAA-0EF5285A9A5C}" name="Spalte3906"/>
    <tableColumn id="3924" xr3:uid="{28263CBD-637D-442D-A35A-9A4867F5EAC5}" name="Spalte3907"/>
    <tableColumn id="3925" xr3:uid="{26AA5370-AE0F-4DFD-8834-C131F5838A96}" name="Spalte3908"/>
    <tableColumn id="3926" xr3:uid="{867DBC31-2DBD-4FF1-AE60-84597052BE17}" name="Spalte3909"/>
    <tableColumn id="3927" xr3:uid="{FCF12574-55C0-4FAE-BB1E-0700A4B9263E}" name="Spalte3910"/>
    <tableColumn id="3928" xr3:uid="{548EE849-FC2C-4D30-89BC-A8743FB38F11}" name="Spalte3911"/>
    <tableColumn id="3929" xr3:uid="{A52BD0E1-B72E-44F9-A554-E62B91FB6EC7}" name="Spalte3912"/>
    <tableColumn id="3930" xr3:uid="{24794F43-5CFF-4E0B-8B01-83554ED5D4C4}" name="Spalte3913"/>
    <tableColumn id="3931" xr3:uid="{27E723FE-C711-4BCA-959A-2106974F7B32}" name="Spalte3914"/>
    <tableColumn id="3932" xr3:uid="{C4EFC7AA-6743-4D55-83FB-A3325FF4BF1C}" name="Spalte3915"/>
    <tableColumn id="3933" xr3:uid="{DF5C17AD-2B30-4E76-AC83-FB0E6162D7F9}" name="Spalte3916"/>
    <tableColumn id="3934" xr3:uid="{273C2398-1E78-456A-84F6-8AFCD654FE9B}" name="Spalte3917"/>
    <tableColumn id="3935" xr3:uid="{F6254D1B-7159-476F-948B-5C77A8A9C2BD}" name="Spalte3918"/>
    <tableColumn id="3936" xr3:uid="{1D1FC826-9206-4AE1-8737-84FA5A3FAAD4}" name="Spalte3919"/>
    <tableColumn id="3937" xr3:uid="{E9539012-D738-47DA-910D-70B528650874}" name="Spalte3920"/>
    <tableColumn id="3938" xr3:uid="{DF3F3CAE-0678-4983-B8AC-3F50F72F70D3}" name="Spalte3921"/>
    <tableColumn id="3939" xr3:uid="{6B9A6A29-5BF3-40A3-AEA3-14F6D035A831}" name="Spalte3922"/>
    <tableColumn id="3940" xr3:uid="{99C69358-4E41-4697-AD21-B8465C6A5D2D}" name="Spalte3923"/>
    <tableColumn id="3941" xr3:uid="{C23BE68C-51C6-4995-9B53-D84144D7E6BD}" name="Spalte3924"/>
    <tableColumn id="3942" xr3:uid="{C48F2A11-5E02-4E33-9918-A7F35E60CD32}" name="Spalte3925"/>
    <tableColumn id="3943" xr3:uid="{70D1557C-799A-4E00-B322-DB9A8F47E820}" name="Spalte3926"/>
    <tableColumn id="3944" xr3:uid="{341004E8-DC62-42B0-B035-D0E201ABB3D7}" name="Spalte3927"/>
    <tableColumn id="3945" xr3:uid="{BBB82035-C708-47BD-B49C-F11FF27D17B5}" name="Spalte3928"/>
    <tableColumn id="3946" xr3:uid="{E8E2F564-74DB-463C-8708-2F3D85987A39}" name="Spalte3929"/>
    <tableColumn id="3947" xr3:uid="{C62F0C04-F26A-43CD-B350-3F70924C169F}" name="Spalte3930"/>
    <tableColumn id="3948" xr3:uid="{AB0CBB49-4D87-4BDF-A59A-CDCF14D50BB1}" name="Spalte3931"/>
    <tableColumn id="3949" xr3:uid="{DE7E4246-9098-467C-9BE9-0211828F03AC}" name="Spalte3932"/>
    <tableColumn id="3950" xr3:uid="{2F51CC03-316A-4A89-ACE7-842A36DBC6A4}" name="Spalte3933"/>
    <tableColumn id="3951" xr3:uid="{AD2808B8-CFC6-47B5-B8F5-7BE816FA65CB}" name="Spalte3934"/>
    <tableColumn id="3952" xr3:uid="{D3CE135C-810A-4226-8D0B-E24A7343A3CB}" name="Spalte3935"/>
    <tableColumn id="3953" xr3:uid="{B0960798-13F8-4834-8EC0-269939E6F667}" name="Spalte3936"/>
    <tableColumn id="3954" xr3:uid="{4EDE8AEE-3BB9-436F-BF07-DF902BEE5290}" name="Spalte3937"/>
    <tableColumn id="3955" xr3:uid="{2426A188-9DE1-4D00-AFA9-B565A7905212}" name="Spalte3938"/>
    <tableColumn id="3956" xr3:uid="{6517EF38-BD82-4333-8D81-055100B283CD}" name="Spalte3939"/>
    <tableColumn id="3957" xr3:uid="{69E24430-8E3A-4E9D-99EC-428EBB1591EA}" name="Spalte3940"/>
    <tableColumn id="3958" xr3:uid="{CFA27072-04D2-411A-9E08-B1AB4F594EFB}" name="Spalte3941"/>
    <tableColumn id="3959" xr3:uid="{5CE751B9-4B66-4B7A-8974-C3247EF9285D}" name="Spalte3942"/>
    <tableColumn id="3960" xr3:uid="{F8502104-5721-4330-896D-AEB67B274F2B}" name="Spalte3943"/>
    <tableColumn id="3961" xr3:uid="{D2F37E0A-8C90-4AD8-9731-301877E753E4}" name="Spalte3944"/>
    <tableColumn id="3962" xr3:uid="{A3970420-5D10-45F3-BA38-85B8DEC18CFD}" name="Spalte3945"/>
    <tableColumn id="3963" xr3:uid="{03A3A40E-E3F1-4670-916F-0CD1BB7E3E3D}" name="Spalte3946"/>
    <tableColumn id="3964" xr3:uid="{519836D8-49C7-487D-AF54-07DADC862AEB}" name="Spalte3947"/>
    <tableColumn id="3965" xr3:uid="{D2004675-0631-42B6-89E6-B26C324DA257}" name="Spalte3948"/>
    <tableColumn id="3966" xr3:uid="{1FF09597-C9ED-46B5-ABAA-AC039A0E6387}" name="Spalte3949"/>
    <tableColumn id="3967" xr3:uid="{42B7AE6A-3024-4DC9-A550-F9B2069A41ED}" name="Spalte3950"/>
    <tableColumn id="3968" xr3:uid="{063495CD-C0F2-4F4D-8347-52ABEAF56B48}" name="Spalte3951"/>
    <tableColumn id="3969" xr3:uid="{1FDACF05-3F3D-49AF-A099-1EEC4CA1873E}" name="Spalte3952"/>
    <tableColumn id="3970" xr3:uid="{3855462A-7915-4596-BA15-CDFAF9072D8A}" name="Spalte3953"/>
    <tableColumn id="3971" xr3:uid="{916C5668-5B35-4298-80A1-1DA71ADA436D}" name="Spalte3954"/>
    <tableColumn id="3972" xr3:uid="{BA8AC146-27DE-4D5C-BC00-2F2B24E9BEF2}" name="Spalte3955"/>
    <tableColumn id="3973" xr3:uid="{CB0B88AB-D104-49D2-B204-A2A52C2F8394}" name="Spalte3956"/>
    <tableColumn id="3974" xr3:uid="{7A3B7784-2E76-4F39-AA2A-E97D1D5010F9}" name="Spalte3957"/>
    <tableColumn id="3975" xr3:uid="{DE19BC70-F6FD-4C68-996C-9C4E45A543E2}" name="Spalte3958"/>
    <tableColumn id="3976" xr3:uid="{06FA03F5-67C8-461B-8B78-B27D55EAC034}" name="Spalte3959"/>
    <tableColumn id="3977" xr3:uid="{A600A0F1-DD6B-43AA-8B57-D522DFF190A9}" name="Spalte3960"/>
    <tableColumn id="3978" xr3:uid="{F29BCFE4-C737-4A7A-BC40-D6532DF5A083}" name="Spalte3961"/>
    <tableColumn id="3979" xr3:uid="{2ED278A6-59F3-4763-97DB-FCE67AE98AC0}" name="Spalte3962"/>
    <tableColumn id="3980" xr3:uid="{A3673A25-25F0-4173-847F-5E89BC61F4CE}" name="Spalte3963"/>
    <tableColumn id="3981" xr3:uid="{CAD9E779-D7CF-4DAC-813A-318C98CA3BDE}" name="Spalte3964"/>
    <tableColumn id="3982" xr3:uid="{475C1E17-B160-45A7-8D8D-47113DF6F8B8}" name="Spalte3965"/>
    <tableColumn id="3983" xr3:uid="{9C9362B6-95A4-4228-85CC-702C61108868}" name="Spalte3966"/>
    <tableColumn id="3984" xr3:uid="{F336487E-D094-40D8-9494-5B24BC81DF0F}" name="Spalte3967"/>
    <tableColumn id="3985" xr3:uid="{16E1D545-7891-4CC6-8C33-55F726E87A7A}" name="Spalte3968"/>
    <tableColumn id="3986" xr3:uid="{020E3808-0919-47FE-B8F3-D7CFE3C71985}" name="Spalte3969"/>
    <tableColumn id="3987" xr3:uid="{37AA04CD-273B-4191-A8AB-8E9ADD23E9C2}" name="Spalte3970"/>
    <tableColumn id="3988" xr3:uid="{4924D064-7557-47DB-B702-6D3806F6B5E5}" name="Spalte3971"/>
    <tableColumn id="3989" xr3:uid="{F18AF030-46C1-4208-BCAC-59C9C0417777}" name="Spalte3972"/>
    <tableColumn id="3990" xr3:uid="{73AE82C0-A0C5-4186-BD15-080929212306}" name="Spalte3973"/>
    <tableColumn id="3991" xr3:uid="{A490F6C7-4D17-4D04-898F-1F9BC6C9686E}" name="Spalte3974"/>
    <tableColumn id="3992" xr3:uid="{E40C8F90-597F-4B81-804E-8CC14B1BC61F}" name="Spalte3975"/>
    <tableColumn id="3993" xr3:uid="{F56CADCD-BAB5-4DA6-B954-4B497EB14B76}" name="Spalte3976"/>
    <tableColumn id="3994" xr3:uid="{391D0654-644B-4B01-961D-84075E694209}" name="Spalte3977"/>
    <tableColumn id="3995" xr3:uid="{A0E1A54D-E1BC-4E2E-95B8-C04F6CF24055}" name="Spalte3978"/>
    <tableColumn id="3996" xr3:uid="{DF59F9BC-8AB7-4A28-A74D-52414103FD35}" name="Spalte3979"/>
    <tableColumn id="3997" xr3:uid="{23DAF8D7-D526-4540-97B3-2A82E1237118}" name="Spalte3980"/>
    <tableColumn id="3998" xr3:uid="{4FDB16E1-C91A-44C0-96D2-08477315E1AD}" name="Spalte3981"/>
    <tableColumn id="3999" xr3:uid="{D49B69CA-F8D2-47EC-9D05-BAC772DCE25E}" name="Spalte3982"/>
    <tableColumn id="4000" xr3:uid="{DECACCDA-CDE0-46B8-9EA7-D13713E7E26A}" name="Spalte3983"/>
    <tableColumn id="4001" xr3:uid="{367F7156-0271-4E1C-BD45-067B44018C57}" name="Spalte3984"/>
    <tableColumn id="4002" xr3:uid="{E3199312-2E4A-47B4-AD4F-35721E27CA41}" name="Spalte3985"/>
    <tableColumn id="4003" xr3:uid="{76E56C09-105E-4B7E-89FB-EDE117B64DC2}" name="Spalte3986"/>
    <tableColumn id="4004" xr3:uid="{340D3478-AD77-4034-BFBC-9EE6119EFD79}" name="Spalte3987"/>
    <tableColumn id="4005" xr3:uid="{77072F3F-58A6-484B-868D-6730FFA77DE6}" name="Spalte3988"/>
    <tableColumn id="4006" xr3:uid="{A6D796D1-50EA-4E6A-A76B-A6F17991AE4B}" name="Spalte3989"/>
    <tableColumn id="4007" xr3:uid="{1DB4C6A3-8CAB-4095-A20E-38DFCD89FFE2}" name="Spalte3990"/>
    <tableColumn id="4008" xr3:uid="{892EE80C-CEE0-4DFD-B64A-A2E7B434785B}" name="Spalte3991"/>
    <tableColumn id="4009" xr3:uid="{B70653FC-6A09-413F-9478-B813B632B051}" name="Spalte3992"/>
    <tableColumn id="4010" xr3:uid="{3D602453-18AB-451C-9747-78ABF88E4872}" name="Spalte3993"/>
    <tableColumn id="4011" xr3:uid="{2F646C02-3DCF-410E-B25E-D4FF5FE28382}" name="Spalte3994"/>
    <tableColumn id="4012" xr3:uid="{5210EF2F-F6AB-482D-A0DA-EDF5D8E5D891}" name="Spalte3995"/>
    <tableColumn id="4013" xr3:uid="{207268CF-F077-412D-B505-2C921FBCB2AA}" name="Spalte3996"/>
    <tableColumn id="4014" xr3:uid="{7B8762D5-4D08-44DC-85E4-94061893B7B0}" name="Spalte3997"/>
    <tableColumn id="4015" xr3:uid="{092A1AD8-C00D-4C18-B85E-488C27568A24}" name="Spalte3998"/>
    <tableColumn id="4016" xr3:uid="{48B5528D-5796-454C-A550-C3995601E690}" name="Spalte3999"/>
    <tableColumn id="4017" xr3:uid="{24E7B745-535A-432D-82FE-F1A745288FC1}" name="Spalte4000"/>
    <tableColumn id="4018" xr3:uid="{6CBD9C05-374A-4387-AF42-99657941D11B}" name="Spalte4001"/>
    <tableColumn id="4019" xr3:uid="{31B0E094-F2FE-4D6E-8D06-C4302EF7B957}" name="Spalte4002"/>
    <tableColumn id="4020" xr3:uid="{C4A82AAA-32CD-4357-BE33-5BDA53D77E54}" name="Spalte4003"/>
    <tableColumn id="4021" xr3:uid="{605C6B55-6A81-4437-9AED-59B3B5F6EB58}" name="Spalte4004"/>
    <tableColumn id="4022" xr3:uid="{8E129829-7CF0-4DC0-B14C-2DE83D084D39}" name="Spalte4005"/>
    <tableColumn id="4023" xr3:uid="{F40E5CA7-7260-4382-AF3B-F55618EA0BB2}" name="Spalte4006"/>
    <tableColumn id="4024" xr3:uid="{C88D244B-A3E5-46BB-A29C-0A0A7E0C7C63}" name="Spalte4007"/>
    <tableColumn id="4025" xr3:uid="{AEE9DBE1-DD06-4AC1-8960-57092AAE45F1}" name="Spalte4008"/>
    <tableColumn id="4026" xr3:uid="{2150BC0E-0B85-4EDE-BC27-0087B0BCCFCB}" name="Spalte4009"/>
    <tableColumn id="4027" xr3:uid="{5986BBF2-B6A4-4D47-9B07-AD3530EF9789}" name="Spalte4010"/>
    <tableColumn id="4028" xr3:uid="{3C5BFFC9-AE55-4BC5-BB90-8D03E0DB5DA7}" name="Spalte4011"/>
    <tableColumn id="4029" xr3:uid="{BAD35D17-59DE-4B70-BFC3-24FD49DCA99E}" name="Spalte4012"/>
    <tableColumn id="4030" xr3:uid="{531E49DE-BC57-4535-903D-6E9FC6EC8AB7}" name="Spalte4013"/>
    <tableColumn id="4031" xr3:uid="{45424F9F-DEA7-4FB9-B419-B85DF0751DA7}" name="Spalte4014"/>
    <tableColumn id="4032" xr3:uid="{E38E2281-74F1-4737-8F06-948D45E99DF0}" name="Spalte4015"/>
    <tableColumn id="4033" xr3:uid="{FA9A20A6-D3E9-43EE-858B-C405E1EB311F}" name="Spalte4016"/>
    <tableColumn id="4034" xr3:uid="{A8A078DF-E62E-40F2-ABAE-2BC3A776F4CE}" name="Spalte4017"/>
    <tableColumn id="4035" xr3:uid="{A5F0E6CE-1652-4E2E-A5CA-16AC1AEFA59C}" name="Spalte4018"/>
    <tableColumn id="4036" xr3:uid="{95DC5758-1EB7-4DA0-B105-832BBBBBF26E}" name="Spalte4019"/>
    <tableColumn id="4037" xr3:uid="{3951F51E-ADFA-4AFD-8246-4496B29CD478}" name="Spalte4020"/>
    <tableColumn id="4038" xr3:uid="{2F49CC6C-C36F-49A1-BD17-D1CB19CAA814}" name="Spalte4021"/>
    <tableColumn id="4039" xr3:uid="{E048B4B2-631F-41E0-993E-B135291F159D}" name="Spalte4022"/>
    <tableColumn id="4040" xr3:uid="{09DEE19D-E92F-42D1-AD6D-F727D058613D}" name="Spalte4023"/>
    <tableColumn id="4041" xr3:uid="{8EB17C73-C3EF-4469-9DB1-C6D4D8415267}" name="Spalte4024"/>
    <tableColumn id="4042" xr3:uid="{179D7957-B4EB-4A1B-BE8C-8FC450489B4D}" name="Spalte4025"/>
    <tableColumn id="4043" xr3:uid="{0059F8D3-EF46-4AF1-B9B3-73DDD13C9B63}" name="Spalte4026"/>
    <tableColumn id="4044" xr3:uid="{B35FE4C4-5FA5-4D6C-B7D9-45CF3EDB71B0}" name="Spalte4027"/>
    <tableColumn id="4045" xr3:uid="{CCC2E54A-D60C-4377-952C-3DD1F410FE8C}" name="Spalte4028"/>
    <tableColumn id="4046" xr3:uid="{B80FB6F9-DAED-4921-AA22-F783CF258F39}" name="Spalte4029"/>
    <tableColumn id="4047" xr3:uid="{37659822-3F5F-4EE4-893F-AD22EF475EB8}" name="Spalte4030"/>
    <tableColumn id="4048" xr3:uid="{F3E3DAC9-37D9-4EA3-AC46-3DFA6A31E11B}" name="Spalte4031"/>
    <tableColumn id="4049" xr3:uid="{EACF3E73-A28A-423B-A899-E7EC561B5DA4}" name="Spalte4032"/>
    <tableColumn id="4050" xr3:uid="{06A85DCC-F4FB-4A6A-8EAC-B4C26E1896A1}" name="Spalte4033"/>
    <tableColumn id="4051" xr3:uid="{9B9C9F70-3B02-43D2-999C-428E4666F33F}" name="Spalte4034"/>
    <tableColumn id="4052" xr3:uid="{EDC36D0C-C512-4E12-A438-EECF656B6B3D}" name="Spalte4035"/>
    <tableColumn id="4053" xr3:uid="{6C8F3A5E-8489-4067-B593-3CDC19108923}" name="Spalte4036"/>
    <tableColumn id="4054" xr3:uid="{1EFCF219-EAD4-43CF-B59F-E9CD0C5BDC59}" name="Spalte4037"/>
    <tableColumn id="4055" xr3:uid="{2F16D10B-AF48-46D0-9E1E-6D4C3EC4486C}" name="Spalte4038"/>
    <tableColumn id="4056" xr3:uid="{DF56358C-ADFE-4FC5-A607-539AF94FA94D}" name="Spalte4039"/>
    <tableColumn id="4057" xr3:uid="{82A04973-C2BF-46C7-A2A6-147EE7EC6AE9}" name="Spalte4040"/>
    <tableColumn id="4058" xr3:uid="{0F3078E6-2C8C-48E3-82AE-57FBF776534A}" name="Spalte4041"/>
    <tableColumn id="4059" xr3:uid="{F0248A94-F5EC-4D0D-93CC-FA9D0B7898AE}" name="Spalte4042"/>
    <tableColumn id="4060" xr3:uid="{D397B67F-EC8A-4B51-9524-C5BE0F566F79}" name="Spalte4043"/>
    <tableColumn id="4061" xr3:uid="{41178163-98F7-433C-A96C-AAD59B26676A}" name="Spalte4044"/>
    <tableColumn id="4062" xr3:uid="{8F95D0BE-F839-4B4D-980A-142573AFDD66}" name="Spalte4045"/>
    <tableColumn id="4063" xr3:uid="{983F5B26-D089-4F33-A50C-8EF53ED62388}" name="Spalte4046"/>
    <tableColumn id="4064" xr3:uid="{39CDA57F-640F-47A6-B5C2-2290D63E800E}" name="Spalte4047"/>
    <tableColumn id="4065" xr3:uid="{E73439BA-29CB-43D2-BD67-2A348B2E21AC}" name="Spalte4048"/>
    <tableColumn id="4066" xr3:uid="{971C0CB6-71BB-41F9-8E6F-BB8778EF3F8E}" name="Spalte4049"/>
    <tableColumn id="4067" xr3:uid="{362ECBD8-AA77-48FE-ADDC-B00D570716A0}" name="Spalte4050"/>
    <tableColumn id="4068" xr3:uid="{5AFA0D19-1E95-42F4-AFD7-9A0CC2B1ABC7}" name="Spalte4051"/>
    <tableColumn id="4069" xr3:uid="{74BA23F7-84C8-459C-8B58-38E1D02B4438}" name="Spalte4052"/>
    <tableColumn id="4070" xr3:uid="{1F171A3D-EAE5-4DE2-8B1C-091C8102D2EC}" name="Spalte4053"/>
    <tableColumn id="4071" xr3:uid="{7B34446B-84A9-4830-8A3A-6EE5DC54ABBC}" name="Spalte4054"/>
    <tableColumn id="4072" xr3:uid="{1BA254FF-9A3E-4905-B255-3284C551FA82}" name="Spalte4055"/>
    <tableColumn id="4073" xr3:uid="{B3D6E088-0529-4440-96BA-60C1C49A95A8}" name="Spalte4056"/>
    <tableColumn id="4074" xr3:uid="{CD5DE861-7B14-4B41-8F9F-E6EF5965E31C}" name="Spalte4057"/>
    <tableColumn id="4075" xr3:uid="{20D2816B-BAE5-44C5-9FDB-6F923F71B621}" name="Spalte4058"/>
    <tableColumn id="4076" xr3:uid="{7184CB62-79B0-4F27-B192-4853E13F56D2}" name="Spalte4059"/>
    <tableColumn id="4077" xr3:uid="{19DDE829-CC92-4CE1-9790-76274D5D9C80}" name="Spalte4060"/>
    <tableColumn id="4078" xr3:uid="{D48F0136-5DC6-4EC6-8E69-2C9F1CA8FDC4}" name="Spalte4061"/>
    <tableColumn id="4079" xr3:uid="{BBFF9552-542D-460B-B391-FBC126B84ED1}" name="Spalte4062"/>
    <tableColumn id="4080" xr3:uid="{140A3C47-C1D0-4BD1-BD26-E9935200B062}" name="Spalte4063"/>
    <tableColumn id="4081" xr3:uid="{31AA1670-FC73-4860-AFC7-FB5EDB136DD7}" name="Spalte4064"/>
    <tableColumn id="4082" xr3:uid="{DA1932BD-E952-4CF1-8C17-1E0C0F3A5C71}" name="Spalte4065"/>
    <tableColumn id="4083" xr3:uid="{2C499827-AD1C-48F3-B635-D34F4A9F1665}" name="Spalte4066"/>
    <tableColumn id="4084" xr3:uid="{E860C49F-BA3C-46A2-BE69-3C5FE941FFA5}" name="Spalte4067"/>
    <tableColumn id="4085" xr3:uid="{8AF520F2-D832-4675-A791-F4A9E7EB1B76}" name="Spalte4068"/>
    <tableColumn id="4086" xr3:uid="{E58F028E-0983-4B64-9765-298CA1F6077F}" name="Spalte4069"/>
    <tableColumn id="4087" xr3:uid="{D382AE77-2EF0-472C-91F4-A6DA3405CACC}" name="Spalte4070"/>
    <tableColumn id="4088" xr3:uid="{91025974-0BDC-4534-A777-354D0BD9A73E}" name="Spalte4071"/>
    <tableColumn id="4089" xr3:uid="{5C875590-1144-4AB2-987D-1A9DE463A57C}" name="Spalte4072"/>
    <tableColumn id="4090" xr3:uid="{2F87B029-3848-4619-8566-20146955BB66}" name="Spalte4073"/>
    <tableColumn id="4091" xr3:uid="{1B09CE5F-5838-4764-8F15-BF87D3CD4F0F}" name="Spalte4074"/>
    <tableColumn id="4092" xr3:uid="{23E9AA4D-A0F4-45C9-AC24-D8F4FAA9F976}" name="Spalte4075"/>
    <tableColumn id="4093" xr3:uid="{DB0A87C5-A878-4690-9920-782C81642A45}" name="Spalte4076"/>
    <tableColumn id="4094" xr3:uid="{E835461D-CEFE-40B6-8BD0-293C249633A7}" name="Spalte4077"/>
    <tableColumn id="4095" xr3:uid="{7368DFCF-2212-4B3B-B27D-A14221F35F2B}" name="Spalte4078"/>
    <tableColumn id="4096" xr3:uid="{9B31328D-A6F0-43FC-A10A-CDA03F9BA555}" name="Spalte4079"/>
    <tableColumn id="4097" xr3:uid="{21ECF107-F141-44B2-A209-FC9083FB0527}" name="Spalte4080"/>
    <tableColumn id="4098" xr3:uid="{50181499-CF36-4793-938A-BD998CF55038}" name="Spalte4081"/>
    <tableColumn id="4099" xr3:uid="{480738BB-5499-4BA7-ABF5-DE0326BF20FE}" name="Spalte4082"/>
    <tableColumn id="4100" xr3:uid="{1963160C-8580-4155-94BC-AF06FDAE07F1}" name="Spalte4083"/>
    <tableColumn id="4101" xr3:uid="{D079A8A3-63DD-408F-A1C4-3DF90C50FA9D}" name="Spalte4084"/>
    <tableColumn id="4102" xr3:uid="{78907DDF-062C-479C-A7CC-A6162B3D919D}" name="Spalte4085"/>
    <tableColumn id="4103" xr3:uid="{4B26874F-3C0D-4E1E-A439-1AC3143097D2}" name="Spalte4086"/>
    <tableColumn id="4104" xr3:uid="{DBF40063-3A40-41BE-B7F5-CBB91DF09B9C}" name="Spalte4087"/>
    <tableColumn id="4105" xr3:uid="{C4851235-ED49-4C7F-96E7-6CBE39560F7C}" name="Spalte4088"/>
    <tableColumn id="4106" xr3:uid="{A005E207-6C87-464C-BAE0-4DD6D976BA85}" name="Spalte4089"/>
    <tableColumn id="4107" xr3:uid="{E7672455-8D2E-48FD-B039-B27F10C8C151}" name="Spalte4090"/>
    <tableColumn id="4108" xr3:uid="{5292CE14-1700-4A0F-A37C-8388503D05D9}" name="Spalte4091"/>
    <tableColumn id="4109" xr3:uid="{EB21191B-207A-45EE-B24E-FA873D059C35}" name="Spalte4092"/>
    <tableColumn id="4110" xr3:uid="{E7075BC7-6382-4122-8E38-675329FA7D38}" name="Spalte4093"/>
    <tableColumn id="4111" xr3:uid="{70B8B4CA-189C-4D08-9E36-F978164FFFC7}" name="Spalte4094"/>
    <tableColumn id="4112" xr3:uid="{7F94ACB0-9B82-4134-B257-263B5E813B41}" name="Spalte4095"/>
    <tableColumn id="4113" xr3:uid="{A72C9E07-3526-4F5A-9718-58405E181BA9}" name="Spalte4096"/>
    <tableColumn id="4114" xr3:uid="{60A2D843-5428-440C-975E-0E04336B5234}" name="Spalte4097"/>
    <tableColumn id="4115" xr3:uid="{F6B5F92B-4C2D-4E8D-8A55-065CFDB42462}" name="Spalte4098"/>
    <tableColumn id="4116" xr3:uid="{6F0400DC-A080-4C24-9D2A-94AAD373F008}" name="Spalte4099"/>
    <tableColumn id="4117" xr3:uid="{9D95E61F-560A-4E18-A191-1652E750F9EA}" name="Spalte4100"/>
    <tableColumn id="4118" xr3:uid="{0DC4DC47-DADA-49BC-946B-62757C366DAF}" name="Spalte4101"/>
    <tableColumn id="4119" xr3:uid="{270F75EB-DB7A-43EB-AA14-313CF29E034D}" name="Spalte4102"/>
    <tableColumn id="4120" xr3:uid="{A0A61A62-2BD2-4D6A-BC51-DC545B1F6163}" name="Spalte4103"/>
    <tableColumn id="4121" xr3:uid="{10AB5B83-B150-4938-9FA7-98CA7E3C6420}" name="Spalte4104"/>
    <tableColumn id="4122" xr3:uid="{F157A29C-EFF0-450D-B2C7-80507C7F2552}" name="Spalte4105"/>
    <tableColumn id="4123" xr3:uid="{C8221535-015C-43A1-93BA-738240050623}" name="Spalte4106"/>
    <tableColumn id="4124" xr3:uid="{BB5D0C04-961A-4149-9DFC-CE424D96272A}" name="Spalte4107"/>
    <tableColumn id="4125" xr3:uid="{265DBBAE-6411-4DE6-8B31-09C479B47D47}" name="Spalte4108"/>
    <tableColumn id="4126" xr3:uid="{E0ADF0FA-B0BC-425C-8BF0-5C8723997065}" name="Spalte4109"/>
    <tableColumn id="4127" xr3:uid="{BA4F6FFE-511F-460A-9678-10F1090CD6DD}" name="Spalte4110"/>
    <tableColumn id="4128" xr3:uid="{D2F2536A-A3BE-4EA8-BB37-2190C5D598F4}" name="Spalte4111"/>
    <tableColumn id="4129" xr3:uid="{B7FADE30-4E30-4166-AB80-86667984D1E2}" name="Spalte4112"/>
    <tableColumn id="4130" xr3:uid="{1A356381-8FEB-4D89-B323-C35BA740D379}" name="Spalte4113"/>
    <tableColumn id="4131" xr3:uid="{C7B8B29B-0E7E-4F86-8796-D7CFE2A9B51E}" name="Spalte4114"/>
    <tableColumn id="4132" xr3:uid="{44E598FA-8A5F-4352-BD71-7344C8DCA5BF}" name="Spalte4115"/>
    <tableColumn id="4133" xr3:uid="{BB33D32F-E07B-4EF5-9162-CABD77851578}" name="Spalte4116"/>
    <tableColumn id="4134" xr3:uid="{D17ED2F5-CD21-4881-8FBE-31D09DE87BE5}" name="Spalte4117"/>
    <tableColumn id="4135" xr3:uid="{2CA95978-C94D-4FAF-A9EA-A4356F33940D}" name="Spalte4118"/>
    <tableColumn id="4136" xr3:uid="{0E9786B6-455E-4437-8407-679E15D70FE0}" name="Spalte4119"/>
    <tableColumn id="4137" xr3:uid="{C718FCEF-C980-495B-B8DC-B90DAB9DAC50}" name="Spalte4120"/>
    <tableColumn id="4138" xr3:uid="{96C0853C-63C1-46E4-B81D-8086B7F7E1CD}" name="Spalte4121"/>
    <tableColumn id="4139" xr3:uid="{466FA577-DB76-41E6-A19E-E41D02FC58C5}" name="Spalte4122"/>
    <tableColumn id="4140" xr3:uid="{D6FFFD7B-10FE-433A-B6BB-789E2684CC26}" name="Spalte4123"/>
    <tableColumn id="4141" xr3:uid="{26D8C240-AF91-4054-877D-20764447C352}" name="Spalte4124"/>
    <tableColumn id="4142" xr3:uid="{B1DDE6CF-7639-47CD-807D-1B7105A2AC16}" name="Spalte4125"/>
    <tableColumn id="4143" xr3:uid="{F94D7A8E-8771-4A05-B40B-EF30165A9C65}" name="Spalte4126"/>
    <tableColumn id="4144" xr3:uid="{0EEE9A09-63A2-42B2-8282-5086C473AE82}" name="Spalte4127"/>
    <tableColumn id="4145" xr3:uid="{54BE2120-C2DE-4B42-9E9D-3E0DE4918C86}" name="Spalte4128"/>
    <tableColumn id="4146" xr3:uid="{16C199E8-5374-4C63-A715-FD02BB9E1CDC}" name="Spalte4129"/>
    <tableColumn id="4147" xr3:uid="{6D508CD6-D7E4-4925-B364-855C09D932D2}" name="Spalte4130"/>
    <tableColumn id="4148" xr3:uid="{47DBB853-2284-4019-9E33-E778D8939B7F}" name="Spalte4131"/>
    <tableColumn id="4149" xr3:uid="{146AF145-103A-45C1-BE92-1BC2A63E5319}" name="Spalte4132"/>
    <tableColumn id="4150" xr3:uid="{8975353B-98C5-4EAB-8FD0-44FFE3E34A7B}" name="Spalte4133"/>
    <tableColumn id="4151" xr3:uid="{55426510-FBD5-4BB5-881D-B698BCB71C9E}" name="Spalte4134"/>
    <tableColumn id="4152" xr3:uid="{D0446F7B-EE92-4915-9974-B29C2D71A799}" name="Spalte4135"/>
    <tableColumn id="4153" xr3:uid="{581B89B5-0DFA-4D22-B738-E3556810C7AC}" name="Spalte4136"/>
    <tableColumn id="4154" xr3:uid="{D710E52C-3716-45B8-9F0B-E17523C95780}" name="Spalte4137"/>
    <tableColumn id="4155" xr3:uid="{77EFDF39-D8D8-4530-A567-27CB58624FDC}" name="Spalte4138"/>
    <tableColumn id="4156" xr3:uid="{85EA1346-8A4F-4BC3-AFD7-8D7DF2704FE9}" name="Spalte4139"/>
    <tableColumn id="4157" xr3:uid="{34E355F1-9F10-43A0-AB9E-0865D327F541}" name="Spalte4140"/>
    <tableColumn id="4158" xr3:uid="{F8C83FA7-76A0-4700-BE8C-DD8529AB0D82}" name="Spalte4141"/>
    <tableColumn id="4159" xr3:uid="{7B57FF35-BBDD-4B24-952C-AD4B061059DB}" name="Spalte4142"/>
    <tableColumn id="4160" xr3:uid="{12AE0CF4-6633-40E2-9878-CE48723DDD53}" name="Spalte4143"/>
    <tableColumn id="4161" xr3:uid="{D0E769FE-2EE4-4903-A99C-42A0606041D2}" name="Spalte4144"/>
    <tableColumn id="4162" xr3:uid="{0DA6C772-FBC9-41E2-AB3A-C97BEA9303D3}" name="Spalte4145"/>
    <tableColumn id="4163" xr3:uid="{C0FC6531-1D7E-41AA-AB46-3278DBA41328}" name="Spalte4146"/>
    <tableColumn id="4164" xr3:uid="{8D836D59-629B-4B1C-9836-6A1DFC833CC3}" name="Spalte4147"/>
    <tableColumn id="4165" xr3:uid="{BE1B2848-43EB-44FA-9AB8-1798E707E6AD}" name="Spalte4148"/>
    <tableColumn id="4166" xr3:uid="{3ABA86D1-0A29-45F9-89E5-7A252AF4B029}" name="Spalte4149"/>
    <tableColumn id="4167" xr3:uid="{1591B802-C2CF-405D-B602-3343E44490AB}" name="Spalte4150"/>
    <tableColumn id="4168" xr3:uid="{2819E235-483C-4D61-8038-5874941A93A8}" name="Spalte4151"/>
    <tableColumn id="4169" xr3:uid="{AD7C3246-CE65-447B-8EA5-2EFFFB171226}" name="Spalte4152"/>
    <tableColumn id="4170" xr3:uid="{AF1DBDE2-85C2-4F71-A4AD-0D8D19117485}" name="Spalte4153"/>
    <tableColumn id="4171" xr3:uid="{747BD1CA-14C0-4BC0-800C-BC2EF1AA46EA}" name="Spalte4154"/>
    <tableColumn id="4172" xr3:uid="{A7341B1C-1A3B-4606-B16F-BCB660F2FD44}" name="Spalte4155"/>
    <tableColumn id="4173" xr3:uid="{5D9C840A-9F39-4F28-950A-09202302B699}" name="Spalte4156"/>
    <tableColumn id="4174" xr3:uid="{A611B822-D60D-4C6D-9FA7-464BA90CD16C}" name="Spalte4157"/>
    <tableColumn id="4175" xr3:uid="{E905DDE8-2F8B-4953-9358-96EBE51DF849}" name="Spalte4158"/>
    <tableColumn id="4176" xr3:uid="{DFC31EB8-B765-48E6-91B7-E14485EC0137}" name="Spalte4159"/>
    <tableColumn id="4177" xr3:uid="{378A467E-FECB-4144-8416-FBE799FE52BF}" name="Spalte4160"/>
    <tableColumn id="4178" xr3:uid="{801C1BEC-C9FE-45ED-AE7B-CA4B55972D53}" name="Spalte4161"/>
    <tableColumn id="4179" xr3:uid="{C698847C-2681-4EDF-8AE3-967B3C3121D5}" name="Spalte4162"/>
    <tableColumn id="4180" xr3:uid="{656AFE1B-FC64-460F-BC8A-176A9CD38E84}" name="Spalte4163"/>
    <tableColumn id="4181" xr3:uid="{B0406679-4AF3-4009-852C-85AF733E79F4}" name="Spalte4164"/>
    <tableColumn id="4182" xr3:uid="{04A2F86F-00E6-44B8-9DDA-C624EFD6E5BA}" name="Spalte4165"/>
    <tableColumn id="4183" xr3:uid="{EFB17114-8FD9-4CEF-9A91-644EF6A85945}" name="Spalte4166"/>
    <tableColumn id="4184" xr3:uid="{56292B0F-F2FD-4DB5-95A2-EDACBD3AAC41}" name="Spalte4167"/>
    <tableColumn id="4185" xr3:uid="{95F262C1-D5D8-40D8-8F9E-1EC7A712A215}" name="Spalte4168"/>
    <tableColumn id="4186" xr3:uid="{799ECAFB-E536-4DEA-BF27-6CEE74092110}" name="Spalte4169"/>
    <tableColumn id="4187" xr3:uid="{DF9A8287-CF3A-46B4-A606-A938AF1A90B8}" name="Spalte4170"/>
    <tableColumn id="4188" xr3:uid="{DE04DD57-D5E6-4637-A7A2-EDEB8D7D80A4}" name="Spalte4171"/>
    <tableColumn id="4189" xr3:uid="{23CC8649-252C-464F-9E43-8926A4AE2CF5}" name="Spalte4172"/>
    <tableColumn id="4190" xr3:uid="{D8142C80-14CF-4007-A480-5A41CCC50EC0}" name="Spalte4173"/>
    <tableColumn id="4191" xr3:uid="{684291D1-B46D-4ECC-9E89-2B051AF60E1A}" name="Spalte4174"/>
    <tableColumn id="4192" xr3:uid="{DD66A545-F7D0-4886-91AE-7A485E0E6B62}" name="Spalte4175"/>
    <tableColumn id="4193" xr3:uid="{801D9B5C-B1CF-4C02-9F1A-0AA221A36E49}" name="Spalte4176"/>
    <tableColumn id="4194" xr3:uid="{961B3225-5EF6-446D-8E74-6ACF1A4CDFE1}" name="Spalte4177"/>
    <tableColumn id="4195" xr3:uid="{0AD45E5B-3319-4B06-B0E6-58C3E61162EB}" name="Spalte4178"/>
    <tableColumn id="4196" xr3:uid="{07D1AF4D-C644-4783-BE92-2258FAF30025}" name="Spalte4179"/>
    <tableColumn id="4197" xr3:uid="{311F4F54-90D3-4EE8-851E-6B2C4D6772F6}" name="Spalte4180"/>
    <tableColumn id="4198" xr3:uid="{7CED10AB-2343-411B-925A-8384899F24C5}" name="Spalte4181"/>
    <tableColumn id="4199" xr3:uid="{6AA821DB-6768-41AC-A514-103B0D8A8B18}" name="Spalte4182"/>
    <tableColumn id="4200" xr3:uid="{42D0192F-6486-4FC2-B617-33B8ECEE678A}" name="Spalte4183"/>
    <tableColumn id="4201" xr3:uid="{5ECFD965-4D1A-4755-B823-74168A5A24E3}" name="Spalte4184"/>
    <tableColumn id="4202" xr3:uid="{C2AAE13B-011F-42BA-9286-E0B79B802AFA}" name="Spalte4185"/>
    <tableColumn id="4203" xr3:uid="{527A86DA-88EC-43EC-8CA8-0E9E63C97CCD}" name="Spalte4186"/>
    <tableColumn id="4204" xr3:uid="{A5E7F5F0-211B-4B34-A1CF-A9D89E11A91C}" name="Spalte4187"/>
    <tableColumn id="4205" xr3:uid="{3A3DA370-28C2-473F-B255-0E33B9B5F186}" name="Spalte4188"/>
    <tableColumn id="4206" xr3:uid="{0A1BFDA2-14C5-4115-B400-0041E36B1C1F}" name="Spalte4189"/>
    <tableColumn id="4207" xr3:uid="{4456D213-C32E-478F-BBE3-9B981563293C}" name="Spalte4190"/>
    <tableColumn id="4208" xr3:uid="{45DB9959-E553-4CF7-86C7-22AF2BF805DA}" name="Spalte4191"/>
    <tableColumn id="4209" xr3:uid="{44A6B36F-5DF5-41D2-A02B-1F7D49F7BF91}" name="Spalte4192"/>
    <tableColumn id="4210" xr3:uid="{F716F9BB-BD46-480B-81C7-F97A6010B03A}" name="Spalte4193"/>
    <tableColumn id="4211" xr3:uid="{222ACAD6-8FB6-4932-A280-BB117B79AB23}" name="Spalte4194"/>
    <tableColumn id="4212" xr3:uid="{3B6A6063-845C-435B-BA58-0B8955D02EF0}" name="Spalte4195"/>
    <tableColumn id="4213" xr3:uid="{E9AA028F-EA8A-4E1E-BF8B-AE39044A2808}" name="Spalte4196"/>
    <tableColumn id="4214" xr3:uid="{17DE9703-FB60-4DF0-850F-271D275C2D96}" name="Spalte4197"/>
    <tableColumn id="4215" xr3:uid="{5E69E724-BA73-40BB-A5D6-49F76E07860F}" name="Spalte4198"/>
    <tableColumn id="4216" xr3:uid="{7694F835-F615-40DA-926A-89F84E56E879}" name="Spalte4199"/>
    <tableColumn id="4217" xr3:uid="{2475002F-DAF8-4C56-B528-C8BEA8C8A120}" name="Spalte4200"/>
    <tableColumn id="4218" xr3:uid="{517CB90D-F78E-4FDA-B9B8-D62BE4C79E7C}" name="Spalte4201"/>
    <tableColumn id="4219" xr3:uid="{C3C0B85D-EA56-4B62-90F0-E8A90B0316BD}" name="Spalte4202"/>
    <tableColumn id="4220" xr3:uid="{396CE585-753A-43E1-8CA3-82158C8B1E4B}" name="Spalte4203"/>
    <tableColumn id="4221" xr3:uid="{09D74724-7A73-4E20-B469-BBA82473B9AE}" name="Spalte4204"/>
    <tableColumn id="4222" xr3:uid="{D1CCD50A-D083-48D3-938F-73B1762212F8}" name="Spalte4205"/>
    <tableColumn id="4223" xr3:uid="{5A290EC7-AE96-4B93-B494-0E8344B250C2}" name="Spalte4206"/>
    <tableColumn id="4224" xr3:uid="{CA216E2A-72FA-407F-B735-F34E89322855}" name="Spalte4207"/>
    <tableColumn id="4225" xr3:uid="{18C35A06-94C4-4BE8-8AF4-B6C2D8611FBD}" name="Spalte4208"/>
    <tableColumn id="4226" xr3:uid="{3A50F4E8-C9C7-44CD-B6C5-A8645253D6FA}" name="Spalte4209"/>
    <tableColumn id="4227" xr3:uid="{79711BEE-8DB8-41AB-A043-49707CD4AF04}" name="Spalte4210"/>
    <tableColumn id="4228" xr3:uid="{AAD4FB26-7945-40DE-8883-F81B8FEDEB82}" name="Spalte4211"/>
    <tableColumn id="4229" xr3:uid="{6847D0CF-5DAB-485F-B92C-C41283B084BC}" name="Spalte4212"/>
    <tableColumn id="4230" xr3:uid="{414DF666-12ED-4A2F-855C-8265CB429ACC}" name="Spalte4213"/>
    <tableColumn id="4231" xr3:uid="{4D5BDD62-8BBD-46C0-8647-E63B55F689D5}" name="Spalte4214"/>
    <tableColumn id="4232" xr3:uid="{CEF638E9-62E5-4D7B-B84F-84406322BE14}" name="Spalte4215"/>
    <tableColumn id="4233" xr3:uid="{35D42152-C2B6-4BCA-A9AF-27590E4B3119}" name="Spalte4216"/>
    <tableColumn id="4234" xr3:uid="{CA1E2DE3-9ABA-4A04-B50D-60BBD8832F2B}" name="Spalte4217"/>
    <tableColumn id="4235" xr3:uid="{165D1AB8-FED0-4EC5-B0D8-4B49EB3CDD86}" name="Spalte4218"/>
    <tableColumn id="4236" xr3:uid="{BE5044A4-9772-4015-8A70-07047EAC014A}" name="Spalte4219"/>
    <tableColumn id="4237" xr3:uid="{2D2C7977-0EC5-437C-84DD-CD7C26CAEAE5}" name="Spalte4220"/>
    <tableColumn id="4238" xr3:uid="{BC11736B-7E7B-4A7F-8ECE-40B15E072EE2}" name="Spalte4221"/>
    <tableColumn id="4239" xr3:uid="{BBCA1323-1C6F-4A6D-BB20-B6AADDD12B5B}" name="Spalte4222"/>
    <tableColumn id="4240" xr3:uid="{BD951FCD-8A9C-452C-AC8F-AF6C0E863D10}" name="Spalte4223"/>
    <tableColumn id="4241" xr3:uid="{697F2FA5-DDCD-4D54-A5E1-60CF8BBE9275}" name="Spalte4224"/>
    <tableColumn id="4242" xr3:uid="{6E7C6DA9-7F84-45BF-8A30-E39C461F68F2}" name="Spalte4225"/>
    <tableColumn id="4243" xr3:uid="{F6D4C46E-C03F-4BE4-B582-C4E2FDAF5655}" name="Spalte4226"/>
    <tableColumn id="4244" xr3:uid="{AED2DE25-C8AE-463F-B22B-BF185AC692CC}" name="Spalte4227"/>
    <tableColumn id="4245" xr3:uid="{14E48B87-C466-4F02-BFBE-D8A943CDB9E3}" name="Spalte4228"/>
    <tableColumn id="4246" xr3:uid="{892BE68A-A6A4-4EE8-99BF-7BF97CB9A479}" name="Spalte4229"/>
    <tableColumn id="4247" xr3:uid="{9079191F-25F1-4D40-A9CF-3F36D9632B9A}" name="Spalte4230"/>
    <tableColumn id="4248" xr3:uid="{6B53E020-6CB3-457A-BF34-10937626D22E}" name="Spalte4231"/>
    <tableColumn id="4249" xr3:uid="{D0BBB63E-E889-4C8D-9C57-AB642E5E9969}" name="Spalte4232"/>
    <tableColumn id="4250" xr3:uid="{79DA2888-9E06-46C8-8FFC-2D782A6E2E83}" name="Spalte4233"/>
    <tableColumn id="4251" xr3:uid="{E20DA9D3-593F-49C4-8503-7CF065CB7D2F}" name="Spalte4234"/>
    <tableColumn id="4252" xr3:uid="{0BDFDD0F-0CE4-4B34-893F-0089EFA98D74}" name="Spalte4235"/>
    <tableColumn id="4253" xr3:uid="{762398B2-1F7E-43C2-A478-AC2F7B426292}" name="Spalte4236"/>
    <tableColumn id="4254" xr3:uid="{206F8B55-A020-420D-B633-7CDFAA2EEB98}" name="Spalte4237"/>
    <tableColumn id="4255" xr3:uid="{8CE7B4FB-5B26-4AF3-87B3-1C8851AFD732}" name="Spalte4238"/>
    <tableColumn id="4256" xr3:uid="{90D0183D-A796-4559-A21A-A06503F31135}" name="Spalte4239"/>
    <tableColumn id="4257" xr3:uid="{81A47C4B-69D5-409A-86B1-36AD645B112F}" name="Spalte4240"/>
    <tableColumn id="4258" xr3:uid="{E562C8BE-C6EA-4B70-9858-BC59E4E7FBC8}" name="Spalte4241"/>
    <tableColumn id="4259" xr3:uid="{468855A7-BA23-4CF5-92C8-D96432C4F452}" name="Spalte4242"/>
    <tableColumn id="4260" xr3:uid="{3D460054-397C-4103-88D5-061A02223807}" name="Spalte4243"/>
    <tableColumn id="4261" xr3:uid="{6F0693B6-032D-469D-89A5-74B4E3123A2C}" name="Spalte4244"/>
    <tableColumn id="4262" xr3:uid="{0F147CAF-F5F8-4A03-9356-AA3D8FBB3BE1}" name="Spalte4245"/>
    <tableColumn id="4263" xr3:uid="{F60F3C8C-D481-46C8-BF36-0ABF890621B7}" name="Spalte4246"/>
    <tableColumn id="4264" xr3:uid="{8EB976A2-4E6C-4BCC-9FC8-023C0F1B9A02}" name="Spalte4247"/>
    <tableColumn id="4265" xr3:uid="{A940B7E0-747F-4A31-BFFE-FCD9499A0F59}" name="Spalte4248"/>
    <tableColumn id="4266" xr3:uid="{E11192FD-E5F3-4026-9FBD-44E54EBCC8D1}" name="Spalte4249"/>
    <tableColumn id="4267" xr3:uid="{7D7E24FC-D858-4B4D-A0F7-E3FA19B4C843}" name="Spalte4250"/>
    <tableColumn id="4268" xr3:uid="{10255EB2-524D-42DD-ADD6-7FC6CF60209A}" name="Spalte4251"/>
    <tableColumn id="4269" xr3:uid="{0B9B80E5-62AE-4E88-9CEA-BABEA9633887}" name="Spalte4252"/>
    <tableColumn id="4270" xr3:uid="{ECEF7DBE-6BC2-40AA-83C7-29958BF840FE}" name="Spalte4253"/>
    <tableColumn id="4271" xr3:uid="{6F7D417D-F0FE-4E20-BCEB-4AB58A73D4F2}" name="Spalte4254"/>
    <tableColumn id="4272" xr3:uid="{57A444E8-4AA1-4018-B92B-5267EBD91773}" name="Spalte4255"/>
    <tableColumn id="4273" xr3:uid="{870D5866-05EB-409C-8851-0917ACF518E6}" name="Spalte4256"/>
    <tableColumn id="4274" xr3:uid="{CB03C75B-517C-45FF-807A-DDCA4B016AE0}" name="Spalte4257"/>
    <tableColumn id="4275" xr3:uid="{305EEA3E-68EA-45B8-B6AC-CD37BE82535C}" name="Spalte4258"/>
    <tableColumn id="4276" xr3:uid="{0081C6F9-B74A-4B64-8D62-B3B45BF51443}" name="Spalte4259"/>
    <tableColumn id="4277" xr3:uid="{E9EE2243-E2C8-4E26-B5B9-B911EE403D6A}" name="Spalte4260"/>
    <tableColumn id="4278" xr3:uid="{918D2CBE-F3D7-4B95-A9AC-033D69F961E0}" name="Spalte4261"/>
    <tableColumn id="4279" xr3:uid="{65AC93BB-BECE-45BD-8A7B-E273A3086257}" name="Spalte4262"/>
    <tableColumn id="4280" xr3:uid="{35E2C606-7E35-4772-A7D3-DDAC1C835931}" name="Spalte4263"/>
    <tableColumn id="4281" xr3:uid="{B56AD8AA-602D-440B-83B9-B0CE46BF9C96}" name="Spalte4264"/>
    <tableColumn id="4282" xr3:uid="{A22DC2B7-91BF-4B24-AF33-952271F8485D}" name="Spalte4265"/>
    <tableColumn id="4283" xr3:uid="{B0189CE8-61F6-4977-900B-37D3A0D40D88}" name="Spalte4266"/>
    <tableColumn id="4284" xr3:uid="{6CBA335B-CCFA-4BEC-8CE5-80E50EAE1E84}" name="Spalte4267"/>
    <tableColumn id="4285" xr3:uid="{BA737EFC-2FDE-41AA-97B6-9A2F892E1EF3}" name="Spalte4268"/>
    <tableColumn id="4286" xr3:uid="{4C102813-1859-416B-BBA5-70822B045863}" name="Spalte4269"/>
    <tableColumn id="4287" xr3:uid="{34DFF5E3-7C30-4E9C-B64C-D971B79ACAD2}" name="Spalte4270"/>
    <tableColumn id="4288" xr3:uid="{82C82FC0-9D4D-40DE-BB08-78EF38280558}" name="Spalte4271"/>
    <tableColumn id="4289" xr3:uid="{43BA67A2-A254-463A-9078-BC3145F66C3B}" name="Spalte4272"/>
    <tableColumn id="4290" xr3:uid="{676742DF-E5F5-4299-BA7E-94FF311E2B03}" name="Spalte4273"/>
    <tableColumn id="4291" xr3:uid="{9BC09D24-2581-4812-BDD4-8B694690503E}" name="Spalte4274"/>
    <tableColumn id="4292" xr3:uid="{40E86AC4-C1CF-498A-8390-2C8EBEB8B5CF}" name="Spalte4275"/>
    <tableColumn id="4293" xr3:uid="{95D3733A-A010-46E2-B662-7A3BA2EA74D4}" name="Spalte4276"/>
    <tableColumn id="4294" xr3:uid="{F7EF3157-BF6D-4083-B608-8A7D3E9D0C2E}" name="Spalte4277"/>
    <tableColumn id="4295" xr3:uid="{A5B2CFDF-F5A0-4C5B-8E04-283F44312F4C}" name="Spalte4278"/>
    <tableColumn id="4296" xr3:uid="{E8CB0A5A-2F94-4FF7-AA6A-2F5339B7825B}" name="Spalte4279"/>
    <tableColumn id="4297" xr3:uid="{C1FE275F-A286-4915-B218-93A2FC6822E6}" name="Spalte4280"/>
    <tableColumn id="4298" xr3:uid="{A7575C79-25E0-4B97-AC54-031F6D9E060B}" name="Spalte4281"/>
    <tableColumn id="4299" xr3:uid="{B1F7ED09-64CC-42F5-9C18-16849626EBAF}" name="Spalte4282"/>
    <tableColumn id="4300" xr3:uid="{1E7AB5D1-F880-4E65-8F71-FE29BF312288}" name="Spalte4283"/>
    <tableColumn id="4301" xr3:uid="{551FC41F-857E-44BA-BADD-F852617958F4}" name="Spalte4284"/>
    <tableColumn id="4302" xr3:uid="{56B696AB-F980-4BD5-8EF6-17EEF7854422}" name="Spalte4285"/>
    <tableColumn id="4303" xr3:uid="{CEEA8B5A-B358-4ED7-B353-8A894571BC58}" name="Spalte4286"/>
    <tableColumn id="4304" xr3:uid="{D0E9C554-35C9-4FFE-B99E-7DB5E2B3260C}" name="Spalte4287"/>
    <tableColumn id="4305" xr3:uid="{EB628713-013F-44C1-ADD1-303EAD42255D}" name="Spalte4288"/>
    <tableColumn id="4306" xr3:uid="{8575EB81-794D-4455-ABA1-A4F9722CCB2E}" name="Spalte4289"/>
    <tableColumn id="4307" xr3:uid="{FAEC3B9A-7A08-47D7-A590-B05E8BE1E4F7}" name="Spalte4290"/>
    <tableColumn id="4308" xr3:uid="{491091B4-76AB-4522-A9B8-D7258063979E}" name="Spalte4291"/>
    <tableColumn id="4309" xr3:uid="{DD20642B-BD60-43AB-A31A-8959C83655F9}" name="Spalte4292"/>
    <tableColumn id="4310" xr3:uid="{EA082432-9733-4078-966D-5F7FBB0B6D68}" name="Spalte4293"/>
    <tableColumn id="4311" xr3:uid="{C53EFF5A-C00C-462A-8070-E810DE06ADDC}" name="Spalte4294"/>
    <tableColumn id="4312" xr3:uid="{44E8DFBB-8541-4972-ADB0-0BFCE87210E5}" name="Spalte4295"/>
    <tableColumn id="4313" xr3:uid="{812605D7-46C5-4163-90AC-E41A908C2531}" name="Spalte4296"/>
    <tableColumn id="4314" xr3:uid="{DCF95886-6F5C-4289-B3AF-11BB15A43FD1}" name="Spalte4297"/>
    <tableColumn id="4315" xr3:uid="{3493D505-6F30-4021-B622-82DF734D0370}" name="Spalte4298"/>
    <tableColumn id="4316" xr3:uid="{3A2A7544-EF36-47F1-AECA-81C282573ED1}" name="Spalte4299"/>
    <tableColumn id="4317" xr3:uid="{E387E237-BDA8-4617-A30D-7D44A69ADD87}" name="Spalte4300"/>
    <tableColumn id="4318" xr3:uid="{7E0E3A9B-D4B3-46DB-BFF1-59BBA428B409}" name="Spalte4301"/>
    <tableColumn id="4319" xr3:uid="{234A36B1-DA00-4DED-A033-F9990D0F4FFB}" name="Spalte4302"/>
    <tableColumn id="4320" xr3:uid="{CE8EC514-3F36-4F51-88C9-8C70C88D5C5F}" name="Spalte4303"/>
    <tableColumn id="4321" xr3:uid="{651FA1F1-4BDB-408F-A4E2-85FF5E9EBC4B}" name="Spalte4304"/>
    <tableColumn id="4322" xr3:uid="{EBB9ADCC-C0B7-4A53-81B0-E08BABD4F6C9}" name="Spalte4305"/>
    <tableColumn id="4323" xr3:uid="{AFE3336C-EE5E-4D9B-BCDA-B07776233E60}" name="Spalte4306"/>
    <tableColumn id="4324" xr3:uid="{21795B18-545D-429F-82AE-01604A228D55}" name="Spalte4307"/>
    <tableColumn id="4325" xr3:uid="{CEE29680-423C-4626-8F13-49D41FCDEF67}" name="Spalte4308"/>
    <tableColumn id="4326" xr3:uid="{C5EA7C5E-D3CA-4D91-8D80-B901DB6B9634}" name="Spalte4309"/>
    <tableColumn id="4327" xr3:uid="{5BCFA482-5EE8-4C78-8B53-31959588E2E3}" name="Spalte4310"/>
    <tableColumn id="4328" xr3:uid="{05EEDEA7-9869-4773-9CBF-902CBAF5B69A}" name="Spalte4311"/>
    <tableColumn id="4329" xr3:uid="{0F36D82A-36FE-4010-A2AF-1E5871D936C8}" name="Spalte4312"/>
    <tableColumn id="4330" xr3:uid="{623676F1-D204-4EA6-B74D-AF41250C1AA4}" name="Spalte4313"/>
    <tableColumn id="4331" xr3:uid="{01841CF9-3146-44CB-A22C-24B9DCBD7CF6}" name="Spalte4314"/>
    <tableColumn id="4332" xr3:uid="{D506FD80-13A3-44EF-B3AC-9F6B99C632E3}" name="Spalte4315"/>
    <tableColumn id="4333" xr3:uid="{33E12567-00D4-4982-A1AF-5B1B1953D020}" name="Spalte4316"/>
    <tableColumn id="4334" xr3:uid="{51183B72-CBF6-44B2-BED6-E6156331C518}" name="Spalte4317"/>
    <tableColumn id="4335" xr3:uid="{3D4A10D2-C5AE-44C7-9CBD-B201C8218F18}" name="Spalte4318"/>
    <tableColumn id="4336" xr3:uid="{02AD1270-F538-4668-8BB8-BFFFCB4DEDFF}" name="Spalte4319"/>
    <tableColumn id="4337" xr3:uid="{9D7FF6F6-58EB-44CA-97D4-F2B91F483404}" name="Spalte4320"/>
    <tableColumn id="4338" xr3:uid="{A4A3AA13-9025-4799-A82B-3A2A0C0480B3}" name="Spalte4321"/>
    <tableColumn id="4339" xr3:uid="{578C1487-BD1B-46CB-87FC-691D006E8E7A}" name="Spalte4322"/>
    <tableColumn id="4340" xr3:uid="{4B084406-F893-4865-B081-39775D47C45A}" name="Spalte4323"/>
    <tableColumn id="4341" xr3:uid="{194E89B3-C79F-4390-9535-B55185029E02}" name="Spalte4324"/>
    <tableColumn id="4342" xr3:uid="{13A810FA-A036-477C-9B47-1CB7D8ED7680}" name="Spalte4325"/>
    <tableColumn id="4343" xr3:uid="{A5DB3872-CAF8-46CB-AC09-719E6FF75317}" name="Spalte4326"/>
    <tableColumn id="4344" xr3:uid="{7B0FE660-78D4-43D6-B954-CBE6F8612DB8}" name="Spalte4327"/>
    <tableColumn id="4345" xr3:uid="{7213123A-3C42-483A-A255-D5D956A4E829}" name="Spalte4328"/>
    <tableColumn id="4346" xr3:uid="{C2F9D0D9-F67A-483B-9D2C-0738793DCF5D}" name="Spalte4329"/>
    <tableColumn id="4347" xr3:uid="{49B7E80F-AE0E-4F88-B757-76DC059B0CE5}" name="Spalte4330"/>
    <tableColumn id="4348" xr3:uid="{1A88B780-50D3-4D55-8C0F-60F1F0A5AA90}" name="Spalte4331"/>
    <tableColumn id="4349" xr3:uid="{E6E808FC-5878-4378-ADE1-3726EFFA6478}" name="Spalte4332"/>
    <tableColumn id="4350" xr3:uid="{FCCBBF25-FA08-4209-B4E1-18C954E16365}" name="Spalte4333"/>
    <tableColumn id="4351" xr3:uid="{D493ADA5-DC9E-4A58-A218-AC0F4C24C216}" name="Spalte4334"/>
    <tableColumn id="4352" xr3:uid="{9E721A3F-9F47-44A1-AF56-2A7DAE2D9392}" name="Spalte4335"/>
    <tableColumn id="4353" xr3:uid="{73638CB6-94F9-42A6-B417-06A34A754E5F}" name="Spalte4336"/>
    <tableColumn id="4354" xr3:uid="{2001FCBF-1E94-4A47-9DCD-D6ECB0E44D30}" name="Spalte4337"/>
    <tableColumn id="4355" xr3:uid="{0C3D0610-10A0-49FD-BC02-8B9EB7CBD92E}" name="Spalte4338"/>
    <tableColumn id="4356" xr3:uid="{52D54657-6235-4860-824E-A84746A5CA08}" name="Spalte4339"/>
    <tableColumn id="4357" xr3:uid="{38602ACA-F7BA-4140-BC68-741FE5A90167}" name="Spalte4340"/>
    <tableColumn id="4358" xr3:uid="{69D5CF41-D641-4AF6-99BB-7F3D7A322421}" name="Spalte4341"/>
    <tableColumn id="4359" xr3:uid="{A208421E-E6FC-4993-ACB4-A78596FC3F61}" name="Spalte4342"/>
    <tableColumn id="4360" xr3:uid="{9DAF6081-6E84-4F9B-A342-2E19D99F471C}" name="Spalte4343"/>
    <tableColumn id="4361" xr3:uid="{9BED5F5D-A1DA-473F-958C-D9153A95BEFD}" name="Spalte4344"/>
    <tableColumn id="4362" xr3:uid="{5F3E0CB9-69CB-481A-B9EB-908E3284DC7B}" name="Spalte4345"/>
    <tableColumn id="4363" xr3:uid="{FA673F38-D316-487E-BE9C-520A21F8730B}" name="Spalte4346"/>
    <tableColumn id="4364" xr3:uid="{E1F0D4FD-A82E-43E1-A77D-6E2FEE0CFB79}" name="Spalte4347"/>
    <tableColumn id="4365" xr3:uid="{68627C35-01B8-44F8-8DF2-4E247F33FD96}" name="Spalte4348"/>
    <tableColumn id="4366" xr3:uid="{3E5D2B48-35A0-4C8F-85D8-8CB0DF3EF249}" name="Spalte4349"/>
    <tableColumn id="4367" xr3:uid="{1E065B36-C39F-4026-A279-8F96E5E8A897}" name="Spalte4350"/>
    <tableColumn id="4368" xr3:uid="{B69BF894-C95C-4C30-9FD7-47CC93E6BFDD}" name="Spalte4351"/>
    <tableColumn id="4369" xr3:uid="{1D166A2C-BC59-437D-986C-35160E33D32F}" name="Spalte4352"/>
    <tableColumn id="4370" xr3:uid="{A58B19CD-D14B-4B34-B52D-32E867BC1309}" name="Spalte4353"/>
    <tableColumn id="4371" xr3:uid="{E239C74E-0FFE-4D59-9FCE-7971F471CA6D}" name="Spalte4354"/>
    <tableColumn id="4372" xr3:uid="{AA6FBE66-FEF7-4E41-AF24-F818D9BC6207}" name="Spalte4355"/>
    <tableColumn id="4373" xr3:uid="{55C00903-13F2-4810-91D3-9A81043C88EB}" name="Spalte4356"/>
    <tableColumn id="4374" xr3:uid="{CF3E9858-7B45-4414-8D24-57E82E28DE6B}" name="Spalte4357"/>
    <tableColumn id="4375" xr3:uid="{25282E3F-3279-4F6E-9CFC-9FCEB0917909}" name="Spalte4358"/>
    <tableColumn id="4376" xr3:uid="{B4D2C73C-5F41-4710-BC49-1A65A968D7BB}" name="Spalte4359"/>
    <tableColumn id="4377" xr3:uid="{DCCF152D-D8D0-485A-8F3F-774C9844E1AD}" name="Spalte4360"/>
    <tableColumn id="4378" xr3:uid="{26DE70BF-7C4D-4AD7-BEBC-5E8033C3D595}" name="Spalte4361"/>
    <tableColumn id="4379" xr3:uid="{34E8D080-4CAB-4AAF-B1A1-E8DC8F73576C}" name="Spalte4362"/>
    <tableColumn id="4380" xr3:uid="{0BE93DDB-BF75-4939-9E13-728CB5681FF3}" name="Spalte4363"/>
    <tableColumn id="4381" xr3:uid="{92F3F92A-AD22-4653-9994-A08ABFC734D4}" name="Spalte4364"/>
    <tableColumn id="4382" xr3:uid="{7F94A13C-D238-44C8-89F0-361CD6DFB35E}" name="Spalte4365"/>
    <tableColumn id="4383" xr3:uid="{22D9838F-1EA1-4D5A-969F-79ED0BDAB1F5}" name="Spalte4366"/>
    <tableColumn id="4384" xr3:uid="{6ED4E467-FA2C-4199-A7AF-AEF4F979F200}" name="Spalte4367"/>
    <tableColumn id="4385" xr3:uid="{2B9B1ECC-A42A-451F-8713-D38A993E8567}" name="Spalte4368"/>
    <tableColumn id="4386" xr3:uid="{8FD60E8C-7302-42D4-9A18-5CBF2957FD87}" name="Spalte4369"/>
    <tableColumn id="4387" xr3:uid="{272E6634-394E-4B15-A066-69DB0B96F600}" name="Spalte4370"/>
    <tableColumn id="4388" xr3:uid="{32C9DCE8-9374-46FC-B438-9E3211BA6378}" name="Spalte4371"/>
    <tableColumn id="4389" xr3:uid="{5AF28A57-B273-4810-8AD3-34F1C8A96CD2}" name="Spalte4372"/>
    <tableColumn id="4390" xr3:uid="{C357DE54-CF06-4B55-93FD-4EC79E5C7D5A}" name="Spalte4373"/>
    <tableColumn id="4391" xr3:uid="{EB3F3AD2-8B7A-4271-B55F-C70D669F0B23}" name="Spalte4374"/>
    <tableColumn id="4392" xr3:uid="{B5F6EE61-1F4B-44EC-9505-B131A9866EFD}" name="Spalte4375"/>
    <tableColumn id="4393" xr3:uid="{1B8E5FA0-06FA-4914-80A8-61F2DEB9AFBE}" name="Spalte4376"/>
    <tableColumn id="4394" xr3:uid="{F4716876-BD02-4390-8F10-2CB9733B4782}" name="Spalte4377"/>
    <tableColumn id="4395" xr3:uid="{4807FFBF-F76A-4287-AA00-CA28602436C4}" name="Spalte4378"/>
    <tableColumn id="4396" xr3:uid="{871D623C-8A1E-4A6A-A1BE-C09165446853}" name="Spalte4379"/>
    <tableColumn id="4397" xr3:uid="{6D7E8168-99B6-4A2B-98F2-61A271E3194E}" name="Spalte4380"/>
    <tableColumn id="4398" xr3:uid="{CAA29B9E-8D15-46E0-89C6-29644E47C42C}" name="Spalte4381"/>
    <tableColumn id="4399" xr3:uid="{0D8275BD-AFE0-4AA1-8BAE-6F69C4FB93A3}" name="Spalte4382"/>
    <tableColumn id="4400" xr3:uid="{0CF79E95-705F-43C3-AAF5-1477C045700D}" name="Spalte4383"/>
    <tableColumn id="4401" xr3:uid="{F850C5AD-E333-42BB-BF7C-2E9B0ACCEADD}" name="Spalte4384"/>
    <tableColumn id="4402" xr3:uid="{AF0655E0-3963-4598-9902-19E709C1EA08}" name="Spalte4385"/>
    <tableColumn id="4403" xr3:uid="{896B3543-67E2-49B1-8CF1-318672D4BE37}" name="Spalte4386"/>
    <tableColumn id="4404" xr3:uid="{AAD6A4DF-029D-4858-BE98-2EF956696DFA}" name="Spalte4387"/>
    <tableColumn id="4405" xr3:uid="{3BB9D7D7-6D73-4BAA-8579-BA945E196A58}" name="Spalte4388"/>
    <tableColumn id="4406" xr3:uid="{4D5913B4-F191-472A-B96B-E522F641FF2C}" name="Spalte4389"/>
    <tableColumn id="4407" xr3:uid="{7D9A9D4B-4562-428C-B33E-64E0DC1FF16E}" name="Spalte4390"/>
    <tableColumn id="4408" xr3:uid="{73027FCD-9EDA-40A5-8214-1F95EF15C7CF}" name="Spalte4391"/>
    <tableColumn id="4409" xr3:uid="{F25D3CF9-D440-46C1-8E47-402813A29A48}" name="Spalte4392"/>
    <tableColumn id="4410" xr3:uid="{5C62C6DE-89D2-40C9-A48A-DB2B3AD78256}" name="Spalte4393"/>
    <tableColumn id="4411" xr3:uid="{D7D2581E-24A6-4075-949D-27D04C03611E}" name="Spalte4394"/>
    <tableColumn id="4412" xr3:uid="{2214FB12-C11C-4D95-9465-4339EF2E1464}" name="Spalte4395"/>
    <tableColumn id="4413" xr3:uid="{4CE5ADF9-75A7-4B78-8C26-58134D26D576}" name="Spalte4396"/>
    <tableColumn id="4414" xr3:uid="{74533D39-1207-4DA1-BEDF-1E654FA99380}" name="Spalte4397"/>
    <tableColumn id="4415" xr3:uid="{0079651D-41A7-48C0-96F0-BD13F3FC068A}" name="Spalte4398"/>
    <tableColumn id="4416" xr3:uid="{81BE78FB-1518-4EC4-A61E-A0FE27A62469}" name="Spalte4399"/>
    <tableColumn id="4417" xr3:uid="{31B5FE63-9F31-4AB0-B366-D1E1BF4193E5}" name="Spalte4400"/>
    <tableColumn id="4418" xr3:uid="{BF25599F-8697-4BF2-9915-1D837C28D0D7}" name="Spalte4401"/>
    <tableColumn id="4419" xr3:uid="{CAF67092-2A1A-4C80-9023-9A500C26236C}" name="Spalte4402"/>
    <tableColumn id="4420" xr3:uid="{93124BDB-2FF9-4239-8E34-2CFD16C4ABE3}" name="Spalte4403"/>
    <tableColumn id="4421" xr3:uid="{2CD9DEDB-0804-48F3-9291-348748C01CC5}" name="Spalte4404"/>
    <tableColumn id="4422" xr3:uid="{B8BF4B15-F4DE-4467-832A-8395F01FAF4D}" name="Spalte4405"/>
    <tableColumn id="4423" xr3:uid="{281BAEE8-5519-45DF-9099-2FA7BF8E5BC8}" name="Spalte4406"/>
    <tableColumn id="4424" xr3:uid="{3AF657B5-35FF-44BB-BC3F-83A1C8D3591C}" name="Spalte4407"/>
    <tableColumn id="4425" xr3:uid="{088CE1A9-2303-4358-ACA0-1E034EC60E37}" name="Spalte4408"/>
    <tableColumn id="4426" xr3:uid="{2B3ACB2E-4B46-480E-88A1-2F2113C06848}" name="Spalte4409"/>
    <tableColumn id="4427" xr3:uid="{9F743707-3C66-4829-B2DA-B9305402949C}" name="Spalte4410"/>
    <tableColumn id="4428" xr3:uid="{07FD6405-1DC7-4F9C-B270-717FE876AC93}" name="Spalte4411"/>
    <tableColumn id="4429" xr3:uid="{72D0F741-8789-4728-B8CC-BDBABAE75508}" name="Spalte4412"/>
    <tableColumn id="4430" xr3:uid="{734F1148-1310-47AD-91EB-4496F665E157}" name="Spalte4413"/>
    <tableColumn id="4431" xr3:uid="{39F56A70-F4ED-4ECB-8FB4-B155445634DF}" name="Spalte4414"/>
    <tableColumn id="4432" xr3:uid="{94E502B3-43B0-47B2-B2A6-A9BB491D0A88}" name="Spalte4415"/>
    <tableColumn id="4433" xr3:uid="{278C0CDB-732C-48B3-8AD5-760AEA786474}" name="Spalte4416"/>
    <tableColumn id="4434" xr3:uid="{6371E626-957B-4E10-B023-D60079EA4623}" name="Spalte4417"/>
    <tableColumn id="4435" xr3:uid="{80DC388A-32D8-4C2A-8412-4E5AE73A3919}" name="Spalte4418"/>
    <tableColumn id="4436" xr3:uid="{DEB027AC-31C1-4E19-A69A-88B48BAC8082}" name="Spalte4419"/>
    <tableColumn id="4437" xr3:uid="{75D444C1-6B86-41D4-A10D-8DE4E1F3C30E}" name="Spalte4420"/>
    <tableColumn id="4438" xr3:uid="{13CA34EC-7DB2-40E3-870D-DBEA2327D524}" name="Spalte4421"/>
    <tableColumn id="4439" xr3:uid="{3284E928-F802-4EE6-879D-A540CABB982B}" name="Spalte4422"/>
    <tableColumn id="4440" xr3:uid="{93671AC3-4615-4529-B393-11323CEDFB9A}" name="Spalte4423"/>
    <tableColumn id="4441" xr3:uid="{29C0F8F1-5DCB-4735-98C3-0D56581BBA51}" name="Spalte4424"/>
    <tableColumn id="4442" xr3:uid="{C8D4685D-19C9-4221-9AD4-CAC8A961BBAC}" name="Spalte4425"/>
    <tableColumn id="4443" xr3:uid="{CA34E7E8-19BF-45F4-993B-074664482914}" name="Spalte4426"/>
    <tableColumn id="4444" xr3:uid="{871F6BB7-2D02-44FC-9DBF-AD75D4B8A306}" name="Spalte4427"/>
    <tableColumn id="4445" xr3:uid="{CBDF6650-4582-4254-A17D-E1A57598A9EB}" name="Spalte4428"/>
    <tableColumn id="4446" xr3:uid="{323889F3-BC7D-4BE2-A2A7-BD402CBB9E31}" name="Spalte4429"/>
    <tableColumn id="4447" xr3:uid="{60B9C601-DAB1-4090-8542-43AAA5256B07}" name="Spalte4430"/>
    <tableColumn id="4448" xr3:uid="{3D397952-33C6-4628-8A41-9566205968D5}" name="Spalte4431"/>
    <tableColumn id="4449" xr3:uid="{2256D1BF-E7F0-42B4-9D86-E83F325BA14B}" name="Spalte4432"/>
    <tableColumn id="4450" xr3:uid="{C4A8BBAE-073A-439C-8F6B-F0F69D9CF353}" name="Spalte4433"/>
    <tableColumn id="4451" xr3:uid="{29BC5B0F-5E39-4DCC-9DB8-F71E2F963C86}" name="Spalte4434"/>
    <tableColumn id="4452" xr3:uid="{4FE1B209-10F6-4E58-968F-FEC052AF6E6B}" name="Spalte4435"/>
    <tableColumn id="4453" xr3:uid="{08946B00-05FE-4BCE-A70E-40DA84ADE3C5}" name="Spalte4436"/>
    <tableColumn id="4454" xr3:uid="{D40BF8A4-4F8A-4E4D-92DE-EA8FD76DADEC}" name="Spalte4437"/>
    <tableColumn id="4455" xr3:uid="{4E98FBDF-FEDA-4D52-A36E-EE2A732212E0}" name="Spalte4438"/>
    <tableColumn id="4456" xr3:uid="{E1DDF7D2-DA55-492D-B33F-02A5EBD257A0}" name="Spalte4439"/>
    <tableColumn id="4457" xr3:uid="{173AD553-6F2D-4DF7-9F67-A56ADE581D87}" name="Spalte4440"/>
    <tableColumn id="4458" xr3:uid="{12B88975-FD5E-4D37-8A8C-18EC46A01793}" name="Spalte4441"/>
    <tableColumn id="4459" xr3:uid="{F518A9AF-2461-411C-9B34-EC573C6FFD10}" name="Spalte4442"/>
    <tableColumn id="4460" xr3:uid="{ABB578BC-7BF9-42BA-A472-E00AF97D73CC}" name="Spalte4443"/>
    <tableColumn id="4461" xr3:uid="{381AECF5-84F3-4749-B806-28D4F7AC9EAC}" name="Spalte4444"/>
    <tableColumn id="4462" xr3:uid="{DC51BEB5-E1D4-474E-949D-1075D1BC3100}" name="Spalte4445"/>
    <tableColumn id="4463" xr3:uid="{07400C59-89C9-4192-ACBF-7F41F667A8A5}" name="Spalte4446"/>
    <tableColumn id="4464" xr3:uid="{DEF25C3F-FD69-4E07-A91A-80B46457121C}" name="Spalte4447"/>
    <tableColumn id="4465" xr3:uid="{333F6C1C-D2BD-4ECC-9BE7-37A06E961B78}" name="Spalte4448"/>
    <tableColumn id="4466" xr3:uid="{42DB66F3-D133-4880-95D7-EEEA84FB5FFD}" name="Spalte4449"/>
    <tableColumn id="4467" xr3:uid="{76998C13-D756-4E1E-A119-BBC96459901C}" name="Spalte4450"/>
    <tableColumn id="4468" xr3:uid="{376BD00E-1FBF-40C4-9758-4943690726B7}" name="Spalte4451"/>
    <tableColumn id="4469" xr3:uid="{28A7F06A-F8A7-4AAC-A997-28D1DB496DCC}" name="Spalte4452"/>
    <tableColumn id="4470" xr3:uid="{BF730670-3995-48FD-9C4E-C7331A689683}" name="Spalte4453"/>
    <tableColumn id="4471" xr3:uid="{86A2C937-14A7-4CFC-AA6E-296FF3BC38E9}" name="Spalte4454"/>
    <tableColumn id="4472" xr3:uid="{23EC67E0-9156-443A-8216-9C9500472785}" name="Spalte4455"/>
    <tableColumn id="4473" xr3:uid="{F0953580-50FB-40D4-8979-D2A98230A71B}" name="Spalte4456"/>
    <tableColumn id="4474" xr3:uid="{E4BCF361-33FE-4586-AE61-CA4B994DC1BA}" name="Spalte4457"/>
    <tableColumn id="4475" xr3:uid="{842F5934-B0A8-4059-B2D8-7DD855942EE7}" name="Spalte4458"/>
    <tableColumn id="4476" xr3:uid="{C906031E-C237-4645-B9CA-0A782765077E}" name="Spalte4459"/>
    <tableColumn id="4477" xr3:uid="{111F71EB-B0C4-4D1A-9192-D551C76348B4}" name="Spalte4460"/>
    <tableColumn id="4478" xr3:uid="{7C1955CB-B838-4741-ADD6-7CA48EC8FD14}" name="Spalte4461"/>
    <tableColumn id="4479" xr3:uid="{8D3CD6EE-DC58-4A01-800B-C05FF783502D}" name="Spalte4462"/>
    <tableColumn id="4480" xr3:uid="{CD83EF14-73C6-46C3-9314-6EA3241F6636}" name="Spalte4463"/>
    <tableColumn id="4481" xr3:uid="{18075212-1C46-46E6-B0CE-EB0D754D0266}" name="Spalte4464"/>
    <tableColumn id="4482" xr3:uid="{A6A242CE-61AA-4DFE-BFAD-6D3708E118B1}" name="Spalte4465"/>
    <tableColumn id="4483" xr3:uid="{ECCD507D-A51D-4B36-B2A1-9AD8D8463D17}" name="Spalte4466"/>
    <tableColumn id="4484" xr3:uid="{6028C372-77D9-4982-8016-3EF6646CBCE3}" name="Spalte4467"/>
    <tableColumn id="4485" xr3:uid="{58A0D71F-7E1D-4111-AB21-A0D05DB641C3}" name="Spalte4468"/>
    <tableColumn id="4486" xr3:uid="{2E0192D0-BC7C-4079-9A70-2BAE11CDDA94}" name="Spalte4469"/>
    <tableColumn id="4487" xr3:uid="{3BDE5A46-5BDE-4DE5-B639-AEAC3436D74C}" name="Spalte4470"/>
    <tableColumn id="4488" xr3:uid="{B3829BD8-53FC-43BF-8503-3053C9FC9EB5}" name="Spalte4471"/>
    <tableColumn id="4489" xr3:uid="{09E7862D-C927-426E-B549-55A3DCDCE0C0}" name="Spalte4472"/>
    <tableColumn id="4490" xr3:uid="{06AFD4D4-9AD1-46C1-AEA4-24329ECC84BA}" name="Spalte4473"/>
    <tableColumn id="4491" xr3:uid="{BB6382EB-68CF-47B2-80EF-63DE12A3EB43}" name="Spalte4474"/>
    <tableColumn id="4492" xr3:uid="{1CC1F146-AD78-4B60-B53A-6EFE7387E990}" name="Spalte4475"/>
    <tableColumn id="4493" xr3:uid="{3EAD98BB-ACDB-4C95-8E2B-D0B8FA3117DF}" name="Spalte4476"/>
    <tableColumn id="4494" xr3:uid="{0E0A5BB1-0EF5-4415-8051-0CD07189A2A5}" name="Spalte4477"/>
    <tableColumn id="4495" xr3:uid="{FC4B25ED-498E-4978-9A33-DD3AC10833A3}" name="Spalte4478"/>
    <tableColumn id="4496" xr3:uid="{520136E2-45F9-44D5-B93C-6AB0F36191F9}" name="Spalte4479"/>
    <tableColumn id="4497" xr3:uid="{56F725C5-D8D3-495D-BD88-573DAA5BDF24}" name="Spalte4480"/>
    <tableColumn id="4498" xr3:uid="{3EF4BC6A-B796-40AA-889C-43E7846D1BB3}" name="Spalte4481"/>
    <tableColumn id="4499" xr3:uid="{03B2C1AB-389B-4CC8-ACB4-AF6D2D9783BF}" name="Spalte4482"/>
    <tableColumn id="4500" xr3:uid="{870D43D3-B3EC-44C1-895A-BA5C341B1694}" name="Spalte4483"/>
    <tableColumn id="4501" xr3:uid="{4D8EF832-393F-40EA-9F83-FF6074BACEA1}" name="Spalte4484"/>
    <tableColumn id="4502" xr3:uid="{83F86D67-1120-4939-9D81-B0E6A213449C}" name="Spalte4485"/>
    <tableColumn id="4503" xr3:uid="{E6B69A7A-B446-4812-A28F-07A8A5581EA9}" name="Spalte4486"/>
    <tableColumn id="4504" xr3:uid="{AF836B89-D4B7-4085-8FE1-C4965426C629}" name="Spalte4487"/>
    <tableColumn id="4505" xr3:uid="{E09B5371-BAAC-4545-B2B2-DDD326C43FCD}" name="Spalte4488"/>
    <tableColumn id="4506" xr3:uid="{B194F4D1-BAA5-4BE6-9192-0BB3DE191B37}" name="Spalte4489"/>
    <tableColumn id="4507" xr3:uid="{63F491E3-B46A-4C87-85D6-A5DCB1BE630E}" name="Spalte4490"/>
    <tableColumn id="4508" xr3:uid="{7153BC83-BCBE-4EEC-BB7E-ED6A80D5E438}" name="Spalte4491"/>
    <tableColumn id="4509" xr3:uid="{ADA28793-6299-4DD9-8EBC-398E19688C06}" name="Spalte4492"/>
    <tableColumn id="4510" xr3:uid="{4C30DCFC-4598-40D9-851C-E797826BA9A7}" name="Spalte4493"/>
    <tableColumn id="4511" xr3:uid="{A3C91FBB-6919-4508-96E6-9DD4B910A9F7}" name="Spalte4494"/>
    <tableColumn id="4512" xr3:uid="{0FCD69D9-EA1A-4E1A-91CE-D85FD8740333}" name="Spalte4495"/>
    <tableColumn id="4513" xr3:uid="{253D7017-1386-459C-A9DD-6A652C9C5F1F}" name="Spalte4496"/>
    <tableColumn id="4514" xr3:uid="{1BAFC193-2390-4123-8593-E8630A7A4783}" name="Spalte4497"/>
    <tableColumn id="4515" xr3:uid="{13171D3D-B5EA-400C-B2D2-62FFD2C95223}" name="Spalte4498"/>
    <tableColumn id="4516" xr3:uid="{8DFF49DA-BF97-4F22-94BE-D3E9F3A950F3}" name="Spalte4499"/>
    <tableColumn id="4517" xr3:uid="{7706A043-3B2D-4E59-AC20-A3AFB94F16AE}" name="Spalte4500"/>
    <tableColumn id="4518" xr3:uid="{FE8826B2-DD76-423C-843B-201B1DB141DF}" name="Spalte4501"/>
    <tableColumn id="4519" xr3:uid="{D320D3FE-BB03-4EFA-9C3E-D41F8320F678}" name="Spalte4502"/>
    <tableColumn id="4520" xr3:uid="{B7AA02C3-5C02-4C55-88F6-73D683FE4C31}" name="Spalte4503"/>
    <tableColumn id="4521" xr3:uid="{D88A2F8D-6F19-4DA7-8964-BCE74CC433CD}" name="Spalte4504"/>
    <tableColumn id="4522" xr3:uid="{F8F014C1-FF32-4069-ABBC-6DE37B94CFBE}" name="Spalte4505"/>
    <tableColumn id="4523" xr3:uid="{8D39F521-477F-48CC-9E38-B0E9D85A929A}" name="Spalte4506"/>
    <tableColumn id="4524" xr3:uid="{B351E2FB-EFC3-436B-916B-DBD03B4AFC93}" name="Spalte4507"/>
    <tableColumn id="4525" xr3:uid="{27072854-20F0-4174-9561-5BAAEDA506F8}" name="Spalte4508"/>
    <tableColumn id="4526" xr3:uid="{B350DD74-F1AA-43B3-98A5-AF9F157EA52F}" name="Spalte4509"/>
    <tableColumn id="4527" xr3:uid="{7EEAB4B2-2376-4877-B809-3783CBA3A9AE}" name="Spalte4510"/>
    <tableColumn id="4528" xr3:uid="{0EE35AF6-5CA9-479E-BECF-D78A84C7102B}" name="Spalte4511"/>
    <tableColumn id="4529" xr3:uid="{72ED483E-A8AC-4DC9-82C0-40D454CD3397}" name="Spalte4512"/>
    <tableColumn id="4530" xr3:uid="{708DD7AF-894B-422B-A95B-7D9D6DD22252}" name="Spalte4513"/>
    <tableColumn id="4531" xr3:uid="{E8C06B4F-BD25-4120-B8C0-44773D556226}" name="Spalte4514"/>
    <tableColumn id="4532" xr3:uid="{AE14C6E9-6F94-46A1-A49E-1AABC8DD90A4}" name="Spalte4515"/>
    <tableColumn id="4533" xr3:uid="{A7AE2746-91B1-4DE6-8FA8-DB6A4E4B5AFC}" name="Spalte4516"/>
    <tableColumn id="4534" xr3:uid="{572E2455-14EB-4281-B06C-8405C772C40A}" name="Spalte4517"/>
    <tableColumn id="4535" xr3:uid="{F5F08761-9957-4B38-95C0-5C2C5AD69EFF}" name="Spalte4518"/>
    <tableColumn id="4536" xr3:uid="{F36E34CC-7F08-424B-9127-619557EF6FA3}" name="Spalte4519"/>
    <tableColumn id="4537" xr3:uid="{45167506-A2F0-4E4F-9408-93E5CF99C50D}" name="Spalte4520"/>
    <tableColumn id="4538" xr3:uid="{8CCB6D42-EC26-4BFF-BDCC-3F0E00D89072}" name="Spalte4521"/>
    <tableColumn id="4539" xr3:uid="{A7D281F8-4EFA-4353-BA32-D2A7C285B9D5}" name="Spalte4522"/>
    <tableColumn id="4540" xr3:uid="{B75AAA5F-7735-43D6-9BDD-20D55CEFB505}" name="Spalte4523"/>
    <tableColumn id="4541" xr3:uid="{E93734EC-6BB0-4657-AD3C-587FDE4D5A63}" name="Spalte4524"/>
    <tableColumn id="4542" xr3:uid="{66E8F3EC-CACF-4362-AF22-6426268D3A0D}" name="Spalte4525"/>
    <tableColumn id="4543" xr3:uid="{A40D8144-3ED6-4A6E-8AF2-A52AC3833559}" name="Spalte4526"/>
    <tableColumn id="4544" xr3:uid="{E834AAEF-5E88-421C-A8A7-5744FD17C157}" name="Spalte4527"/>
    <tableColumn id="4545" xr3:uid="{210A4AD5-9ACC-4A0B-BBA4-E2E41300CB5C}" name="Spalte4528"/>
    <tableColumn id="4546" xr3:uid="{9F72EFD3-5220-4CAC-94B8-81DEA0BE9043}" name="Spalte4529"/>
    <tableColumn id="4547" xr3:uid="{EA43CD5E-4A46-44BD-943B-7597181BA50B}" name="Spalte4530"/>
    <tableColumn id="4548" xr3:uid="{28714229-568E-4E3D-B304-B2994496D142}" name="Spalte4531"/>
    <tableColumn id="4549" xr3:uid="{4677D4EA-04D7-4232-9842-4D80D7BD3C4E}" name="Spalte4532"/>
    <tableColumn id="4550" xr3:uid="{C7C02DF6-F837-4396-BC99-1616742B336B}" name="Spalte4533"/>
    <tableColumn id="4551" xr3:uid="{30B7009D-CB97-4713-BFB6-F8477FE11E87}" name="Spalte4534"/>
    <tableColumn id="4552" xr3:uid="{4EBE4A17-CFA3-4DB3-8CF4-7FE97B66F1FF}" name="Spalte4535"/>
    <tableColumn id="4553" xr3:uid="{648434FA-7B13-47CA-B493-27C3F2B5C233}" name="Spalte4536"/>
    <tableColumn id="4554" xr3:uid="{71E1167D-9653-4BA2-9B53-5443639BA420}" name="Spalte4537"/>
    <tableColumn id="4555" xr3:uid="{B3D07816-B9BA-472A-8543-1E2E5D7F4A6C}" name="Spalte4538"/>
    <tableColumn id="4556" xr3:uid="{B113ABEF-A8E3-4E00-BD1A-5B8DA5459EF3}" name="Spalte4539"/>
    <tableColumn id="4557" xr3:uid="{DC7A0CFC-F85B-428A-A34C-9C0F15248B20}" name="Spalte4540"/>
    <tableColumn id="4558" xr3:uid="{B87DEE79-3C4B-4281-997B-3B4C3AD89145}" name="Spalte4541"/>
    <tableColumn id="4559" xr3:uid="{3412ACAA-C52F-42A7-91C4-2D9B8AA9C24D}" name="Spalte4542"/>
    <tableColumn id="4560" xr3:uid="{C60A41EB-648D-4A82-9A64-8B34578C47A5}" name="Spalte4543"/>
    <tableColumn id="4561" xr3:uid="{240BF1C9-9D3A-424F-A0F6-AA8DF853CD3E}" name="Spalte4544"/>
    <tableColumn id="4562" xr3:uid="{8EBD33F7-97BC-4767-9B5F-F1E3F632F84D}" name="Spalte4545"/>
    <tableColumn id="4563" xr3:uid="{3691E92A-0EAA-4F75-82DD-A5207D28BDF1}" name="Spalte4546"/>
    <tableColumn id="4564" xr3:uid="{54E531E9-85C0-4DA8-9BEE-111492002D70}" name="Spalte4547"/>
    <tableColumn id="4565" xr3:uid="{E5F2DAAD-4AAF-4A8A-86CD-39F77D2D05AB}" name="Spalte4548"/>
    <tableColumn id="4566" xr3:uid="{3F1A8485-4976-4587-8957-A2B468D842C8}" name="Spalte4549"/>
    <tableColumn id="4567" xr3:uid="{61196651-2A00-42D0-A243-A477D82DFF1E}" name="Spalte4550"/>
    <tableColumn id="4568" xr3:uid="{5D198652-437D-4656-AC1D-5B85918DD0A0}" name="Spalte4551"/>
    <tableColumn id="4569" xr3:uid="{9E1B1688-3B28-4DFA-B34B-EFBFFDEBB338}" name="Spalte4552"/>
    <tableColumn id="4570" xr3:uid="{8140AE05-1893-40A0-ACD6-AF73C99A0684}" name="Spalte4553"/>
    <tableColumn id="4571" xr3:uid="{DE7BFA6E-B554-44AD-BA23-B5BBFE81051A}" name="Spalte4554"/>
    <tableColumn id="4572" xr3:uid="{3F1B0A2E-34F1-45C6-B442-9A19D9E61102}" name="Spalte4555"/>
    <tableColumn id="4573" xr3:uid="{5BB91627-E756-4B4B-9F27-1257AC61A030}" name="Spalte4556"/>
    <tableColumn id="4574" xr3:uid="{37D79AF8-C44B-48EF-9217-CBBE4BFD5D94}" name="Spalte4557"/>
    <tableColumn id="4575" xr3:uid="{F99482A9-50E3-43C3-ABA6-8EB04F69A637}" name="Spalte4558"/>
    <tableColumn id="4576" xr3:uid="{40671C65-2E11-45F3-841E-C52CDF493A32}" name="Spalte4559"/>
    <tableColumn id="4577" xr3:uid="{3D8E4DE6-5F42-446C-88BD-1C4B4A6BFC19}" name="Spalte4560"/>
    <tableColumn id="4578" xr3:uid="{66497CFC-57CD-4CA9-A5EF-85AB03E29B56}" name="Spalte4561"/>
    <tableColumn id="4579" xr3:uid="{991847A2-91C3-47AA-946B-B3B1E9865629}" name="Spalte4562"/>
    <tableColumn id="4580" xr3:uid="{695D873C-2A72-46E0-90D2-F2C1943CBF8D}" name="Spalte4563"/>
    <tableColumn id="4581" xr3:uid="{80A3F657-F987-41DB-AF4E-2588F019D9AB}" name="Spalte4564"/>
    <tableColumn id="4582" xr3:uid="{2D12450A-414B-4E00-B345-A3A59F9C64C0}" name="Spalte4565"/>
    <tableColumn id="4583" xr3:uid="{64358517-A957-4F81-A8C3-5FE62088B8EE}" name="Spalte4566"/>
    <tableColumn id="4584" xr3:uid="{286FAC7F-B28D-475E-A62D-F233AD71E1B1}" name="Spalte4567"/>
    <tableColumn id="4585" xr3:uid="{E18B50F0-0738-4A8F-BC8A-59F3014DDF2B}" name="Spalte4568"/>
    <tableColumn id="4586" xr3:uid="{692F01D6-D56A-4DA9-983E-D598DFFA06CA}" name="Spalte4569"/>
    <tableColumn id="4587" xr3:uid="{9B1FFFD1-DC58-4034-8418-26A328E70B49}" name="Spalte4570"/>
    <tableColumn id="4588" xr3:uid="{AC6A3F53-4F05-4227-A761-A69315C701EF}" name="Spalte4571"/>
    <tableColumn id="4589" xr3:uid="{5A799EEA-4841-41FD-B7AD-9E64D551C161}" name="Spalte4572"/>
    <tableColumn id="4590" xr3:uid="{0BC6A1CF-F749-4BE3-A530-59468AE2BC7A}" name="Spalte4573"/>
    <tableColumn id="4591" xr3:uid="{B89CF021-DCEE-4B25-B6EB-D45024A71A7D}" name="Spalte4574"/>
    <tableColumn id="4592" xr3:uid="{7DBABF43-5FA3-4C48-8223-8F439924CB07}" name="Spalte4575"/>
    <tableColumn id="4593" xr3:uid="{3E89A0F8-06E2-432D-B64D-F56C296F6D20}" name="Spalte4576"/>
    <tableColumn id="4594" xr3:uid="{178928C3-2FE3-4631-8AA7-254134E73EEA}" name="Spalte4577"/>
    <tableColumn id="4595" xr3:uid="{F5D854AD-05E8-4736-92DC-80C03BC3F97B}" name="Spalte4578"/>
    <tableColumn id="4596" xr3:uid="{D85866DE-F68F-4E9F-A0D8-556801CF6A28}" name="Spalte4579"/>
    <tableColumn id="4597" xr3:uid="{97ADB860-FBA6-4625-8422-D0F9863AF8B8}" name="Spalte4580"/>
    <tableColumn id="4598" xr3:uid="{AA65B23B-3945-4F5B-985D-A84973365D0C}" name="Spalte4581"/>
    <tableColumn id="4599" xr3:uid="{7C1F15D6-1B7E-4B84-AAD3-518BAF5C2822}" name="Spalte4582"/>
    <tableColumn id="4600" xr3:uid="{CA631832-3DC6-4F86-8B3C-937ADD76045A}" name="Spalte4583"/>
    <tableColumn id="4601" xr3:uid="{D2C1234E-2D81-43AB-B40A-D8D0E3D429BB}" name="Spalte4584"/>
    <tableColumn id="4602" xr3:uid="{C38CD805-2141-4756-8E7C-81441D5199AE}" name="Spalte4585"/>
    <tableColumn id="4603" xr3:uid="{B664E333-228F-4DAA-8F73-ABD0C72887A2}" name="Spalte4586"/>
    <tableColumn id="4604" xr3:uid="{684201EC-190D-49A6-869E-D8747D82F03B}" name="Spalte4587"/>
    <tableColumn id="4605" xr3:uid="{29FA0E85-F591-4450-B1D7-8BE7026FE633}" name="Spalte4588"/>
    <tableColumn id="4606" xr3:uid="{5E3C8A49-4357-4B7D-BA44-43D78A51FFD5}" name="Spalte4589"/>
    <tableColumn id="4607" xr3:uid="{C749D4C7-2789-49B5-B5A2-E687BC258FA2}" name="Spalte4590"/>
    <tableColumn id="4608" xr3:uid="{DCA29EFE-B344-44D1-AEF8-A580886783A7}" name="Spalte4591"/>
    <tableColumn id="4609" xr3:uid="{1FFBBB29-E23F-4A62-A674-9A7E00002051}" name="Spalte4592"/>
    <tableColumn id="4610" xr3:uid="{3E114C54-51E6-44C3-BB7C-F932A4330CA7}" name="Spalte4593"/>
    <tableColumn id="4611" xr3:uid="{4D8947BF-A0C6-4783-8F10-0249B88E6AE5}" name="Spalte4594"/>
    <tableColumn id="4612" xr3:uid="{41E7E531-B12A-4983-8C11-069149BD7CDC}" name="Spalte4595"/>
    <tableColumn id="4613" xr3:uid="{B6C81CC4-C753-490E-AF24-8B3DEA0DD62F}" name="Spalte4596"/>
    <tableColumn id="4614" xr3:uid="{8888E733-4312-4D8D-A2FE-9DED46D20940}" name="Spalte4597"/>
    <tableColumn id="4615" xr3:uid="{14855858-0323-49AE-8BA2-920666F718DE}" name="Spalte4598"/>
    <tableColumn id="4616" xr3:uid="{697844FF-4900-4000-97F3-2412844C9DDA}" name="Spalte4599"/>
    <tableColumn id="4617" xr3:uid="{AD58929D-C9CE-48A2-891F-0C41453640C9}" name="Spalte4600"/>
    <tableColumn id="4618" xr3:uid="{3EB01C3E-864F-4FC3-8AE5-A42484F6B203}" name="Spalte4601"/>
    <tableColumn id="4619" xr3:uid="{0FAC6FA8-EAA5-4B29-A8C0-3301853B4CF5}" name="Spalte4602"/>
    <tableColumn id="4620" xr3:uid="{C488FE5B-CA2D-4744-AC98-2CB7EEF15EB3}" name="Spalte4603"/>
    <tableColumn id="4621" xr3:uid="{EEDF0E18-91D6-421B-A6E3-DB0896F06ABB}" name="Spalte4604"/>
    <tableColumn id="4622" xr3:uid="{7D1B0915-A475-48A7-8B7B-9E788504D81A}" name="Spalte4605"/>
    <tableColumn id="4623" xr3:uid="{EF718B4D-A021-45AE-BC7E-C17724572074}" name="Spalte4606"/>
    <tableColumn id="4624" xr3:uid="{0DB1116A-27AC-42AA-BBF5-8AC1E9563D31}" name="Spalte4607"/>
    <tableColumn id="4625" xr3:uid="{50126659-8338-47B5-AEA4-33E7ABAA21B8}" name="Spalte4608"/>
    <tableColumn id="4626" xr3:uid="{7E94108D-478D-4D7E-B1AC-39EDF94B86B8}" name="Spalte4609"/>
    <tableColumn id="4627" xr3:uid="{CDBAC745-32A1-4F38-8770-4EF53B186696}" name="Spalte4610"/>
    <tableColumn id="4628" xr3:uid="{FFD66788-64CF-4CC3-AC9C-77BB18EB3A82}" name="Spalte4611"/>
    <tableColumn id="4629" xr3:uid="{6F60530E-3781-4C32-A05E-9D1B18090051}" name="Spalte4612"/>
    <tableColumn id="4630" xr3:uid="{7F01ED9A-D5BA-494B-AEB1-59D17DE55D93}" name="Spalte4613"/>
    <tableColumn id="4631" xr3:uid="{274F2AC6-373D-4830-9B1B-844E4B810108}" name="Spalte4614"/>
    <tableColumn id="4632" xr3:uid="{1B2BDBBC-9390-40D7-817B-BF5CAF8EDC1E}" name="Spalte4615"/>
    <tableColumn id="4633" xr3:uid="{C6644B0B-908E-42DA-BA11-67EC80509F06}" name="Spalte4616"/>
    <tableColumn id="4634" xr3:uid="{0D38B16F-3D2A-48F6-AE40-D58B91C1CD5E}" name="Spalte4617"/>
    <tableColumn id="4635" xr3:uid="{36E071C0-C778-4586-943E-C20E2A0A124F}" name="Spalte4618"/>
    <tableColumn id="4636" xr3:uid="{40F2C62E-E0EF-4696-B7AA-16CD95EDCA41}" name="Spalte4619"/>
    <tableColumn id="4637" xr3:uid="{CDDB6F9B-7110-4F4B-81FD-1E1D0C777807}" name="Spalte4620"/>
    <tableColumn id="4638" xr3:uid="{BC07428C-86B1-4E6E-B46D-998CFC9BA649}" name="Spalte4621"/>
    <tableColumn id="4639" xr3:uid="{415D1498-F910-426E-8087-07B5D189E105}" name="Spalte4622"/>
    <tableColumn id="4640" xr3:uid="{948B538C-4243-4BF8-9199-D895222B1F7D}" name="Spalte4623"/>
    <tableColumn id="4641" xr3:uid="{B6E004E8-6F70-4DE2-9D7D-B2335430F150}" name="Spalte4624"/>
    <tableColumn id="4642" xr3:uid="{3061A052-285F-4E8B-BFFC-7B77883E7517}" name="Spalte4625"/>
    <tableColumn id="4643" xr3:uid="{1FA424A5-C9A6-4649-BD56-E939AB0A9466}" name="Spalte4626"/>
    <tableColumn id="4644" xr3:uid="{19388DBD-4022-4019-B6E4-E489A3D0C9D9}" name="Spalte4627"/>
    <tableColumn id="4645" xr3:uid="{B98D87E3-4870-4EA0-9AE3-D7C9DBF7AA82}" name="Spalte4628"/>
    <tableColumn id="4646" xr3:uid="{4F059157-5381-4107-B384-01B34FF7553A}" name="Spalte4629"/>
    <tableColumn id="4647" xr3:uid="{3C718E8F-A64C-4588-BCC7-63B7A5DEFEEE}" name="Spalte4630"/>
    <tableColumn id="4648" xr3:uid="{96A445BE-5B34-4AC4-8E5D-B91085A25BAC}" name="Spalte4631"/>
    <tableColumn id="4649" xr3:uid="{F9C8DF00-8A25-475E-B1BD-920DB944A32B}" name="Spalte4632"/>
    <tableColumn id="4650" xr3:uid="{A77C5F49-64FD-45B8-A4B9-69F0A30E2CCC}" name="Spalte4633"/>
    <tableColumn id="4651" xr3:uid="{BE61BA5A-65CC-43BE-9597-31E590B8E9BC}" name="Spalte4634"/>
    <tableColumn id="4652" xr3:uid="{A415625A-0F30-4998-A1E3-BA5C577D4BAC}" name="Spalte4635"/>
    <tableColumn id="4653" xr3:uid="{6D3DF550-8767-4613-BD3E-7EFB2D584A51}" name="Spalte4636"/>
    <tableColumn id="4654" xr3:uid="{D551506A-A4C5-4914-8DE2-59146AC8F464}" name="Spalte4637"/>
    <tableColumn id="4655" xr3:uid="{5EE516A3-C8A2-446D-9607-CDFD5E1C256A}" name="Spalte4638"/>
    <tableColumn id="4656" xr3:uid="{0FE4B903-A40E-45CC-83D3-E1885A7061E7}" name="Spalte4639"/>
    <tableColumn id="4657" xr3:uid="{D0ADB485-605A-4CA8-A09A-E5EA7B53B899}" name="Spalte4640"/>
    <tableColumn id="4658" xr3:uid="{C329D368-0FDD-4FF5-806D-B18A63ECD231}" name="Spalte4641"/>
    <tableColumn id="4659" xr3:uid="{D655752C-CEAA-4221-AD85-F9B7A7B3893F}" name="Spalte4642"/>
    <tableColumn id="4660" xr3:uid="{44ABC5AE-D5DE-4C22-B903-195F77757AF1}" name="Spalte4643"/>
    <tableColumn id="4661" xr3:uid="{EEC7060A-62F8-4485-8A56-D00E084752A5}" name="Spalte4644"/>
    <tableColumn id="4662" xr3:uid="{F18C7EB7-7715-4101-9745-2F3156F07F8F}" name="Spalte4645"/>
    <tableColumn id="4663" xr3:uid="{D2F2ACD0-4A9B-4ACA-8A9D-4B4557758E06}" name="Spalte4646"/>
    <tableColumn id="4664" xr3:uid="{C0CBA8F8-1450-457E-9EED-A74EE5D06CA3}" name="Spalte4647"/>
    <tableColumn id="4665" xr3:uid="{2DDB0E81-9739-4614-A84D-D2D43B015AA1}" name="Spalte4648"/>
    <tableColumn id="4666" xr3:uid="{A3B55090-D82C-4741-8A70-D4A958168C3E}" name="Spalte4649"/>
    <tableColumn id="4667" xr3:uid="{ABAB8D49-0DA4-496B-B987-672E09331185}" name="Spalte4650"/>
    <tableColumn id="4668" xr3:uid="{E4423436-87D4-48F6-89B4-26056555EBCF}" name="Spalte4651"/>
    <tableColumn id="4669" xr3:uid="{0CF67B7D-7250-4127-9563-DB9D86A20862}" name="Spalte4652"/>
    <tableColumn id="4670" xr3:uid="{73E6C8F5-4480-4969-939A-2168946C4738}" name="Spalte4653"/>
    <tableColumn id="4671" xr3:uid="{0EFED1FD-4A5D-4F86-BB85-61E343B52E8B}" name="Spalte4654"/>
    <tableColumn id="4672" xr3:uid="{71257C95-2888-4685-A808-5EDDDC97AE1A}" name="Spalte4655"/>
    <tableColumn id="4673" xr3:uid="{095FB656-7576-46F6-941B-5A2F52BF8774}" name="Spalte4656"/>
    <tableColumn id="4674" xr3:uid="{646D4D66-5C5C-42BC-937F-C14B1D5B5DE6}" name="Spalte4657"/>
    <tableColumn id="4675" xr3:uid="{56A2EDEA-1591-4EB8-8533-E88591A60F92}" name="Spalte4658"/>
    <tableColumn id="4676" xr3:uid="{F4BF8421-2092-4BDA-891A-594E1451CA7E}" name="Spalte4659"/>
    <tableColumn id="4677" xr3:uid="{86F82C65-5C66-4FD9-B91B-A2F3098306A0}" name="Spalte4660"/>
    <tableColumn id="4678" xr3:uid="{42D4F4C3-D07A-42A0-8119-EB342797B26F}" name="Spalte4661"/>
    <tableColumn id="4679" xr3:uid="{FE095AD2-1BC9-4A23-B3F3-425CC93167D0}" name="Spalte4662"/>
    <tableColumn id="4680" xr3:uid="{D3543A24-9DDF-4043-9381-08E29344E2E5}" name="Spalte4663"/>
    <tableColumn id="4681" xr3:uid="{9E47510C-F2E4-4B54-8818-935F6614A374}" name="Spalte4664"/>
    <tableColumn id="4682" xr3:uid="{DD206A6C-62F8-48CE-BAC5-FCDE140E5CD2}" name="Spalte4665"/>
    <tableColumn id="4683" xr3:uid="{09E2889D-8769-4C68-8115-1D2A0135B987}" name="Spalte4666"/>
    <tableColumn id="4684" xr3:uid="{B1999634-66D4-486E-9D9C-E1A64F58E8AC}" name="Spalte4667"/>
    <tableColumn id="4685" xr3:uid="{477A35A2-EDC4-4C98-93C4-D5A7822CED73}" name="Spalte4668"/>
    <tableColumn id="4686" xr3:uid="{64690500-543E-4507-A419-D2CCCE13C708}" name="Spalte4669"/>
    <tableColumn id="4687" xr3:uid="{68F99AB9-74DA-417B-B74C-EFC20AF7586C}" name="Spalte4670"/>
    <tableColumn id="4688" xr3:uid="{1F774575-FB3D-4EB0-868C-90AB44FBCCEA}" name="Spalte4671"/>
    <tableColumn id="4689" xr3:uid="{7E69B5AB-62A1-40A0-9190-FC9DB2648A74}" name="Spalte4672"/>
    <tableColumn id="4690" xr3:uid="{4B32184C-10BB-46F7-96F1-FD12325E204B}" name="Spalte4673"/>
    <tableColumn id="4691" xr3:uid="{48AC4978-1FEC-4F95-9B1F-12A6379CA77E}" name="Spalte4674"/>
    <tableColumn id="4692" xr3:uid="{2235A118-0366-405A-AB4F-668C006D3075}" name="Spalte4675"/>
    <tableColumn id="4693" xr3:uid="{CB944D55-0CDA-4573-A8D9-040800D5E1A7}" name="Spalte4676"/>
    <tableColumn id="4694" xr3:uid="{23EAA3D3-595F-41CD-A85E-B4D895311B33}" name="Spalte4677"/>
    <tableColumn id="4695" xr3:uid="{63F757EF-1380-47F5-9AFE-C147F2880DF3}" name="Spalte4678"/>
    <tableColumn id="4696" xr3:uid="{6C9D5BB3-62DC-4A92-947D-8D0BBF57DA75}" name="Spalte4679"/>
    <tableColumn id="4697" xr3:uid="{BFDC360E-BA46-40F0-95F0-2588CC144BAE}" name="Spalte4680"/>
    <tableColumn id="4698" xr3:uid="{50EAB19D-807B-4875-9749-49C5F30AC2E5}" name="Spalte4681"/>
    <tableColumn id="4699" xr3:uid="{1324CA80-A44F-4D3B-AA92-1F46FC44BAA6}" name="Spalte4682"/>
    <tableColumn id="4700" xr3:uid="{B3856664-A6AD-4A5B-8BBE-6259809B68AD}" name="Spalte4683"/>
    <tableColumn id="4701" xr3:uid="{6AE1E653-238B-43A8-99B6-6A9DBDB9C407}" name="Spalte4684"/>
    <tableColumn id="4702" xr3:uid="{A3E5C29A-014E-4DD0-9144-1575F01FDDA0}" name="Spalte4685"/>
    <tableColumn id="4703" xr3:uid="{D481AD9E-A809-4E85-B398-854068DF7C48}" name="Spalte4686"/>
    <tableColumn id="4704" xr3:uid="{42C620E5-A5C1-4B63-A1D0-202456A3ED72}" name="Spalte4687"/>
    <tableColumn id="4705" xr3:uid="{D7DAFB7B-41B6-4F85-9A08-DCF667C914CE}" name="Spalte4688"/>
    <tableColumn id="4706" xr3:uid="{F1315665-8B41-437C-89C1-C35C4534FFEA}" name="Spalte4689"/>
    <tableColumn id="4707" xr3:uid="{95C250F0-A2B4-4C13-B8FB-A6E943FFC933}" name="Spalte4690"/>
    <tableColumn id="4708" xr3:uid="{3DD06103-A81A-4706-82CF-6A7BE76C4053}" name="Spalte4691"/>
    <tableColumn id="4709" xr3:uid="{5F7874B8-44E6-47E9-B8C2-C282BFF13408}" name="Spalte4692"/>
    <tableColumn id="4710" xr3:uid="{3FD455B7-34D8-4E2D-9085-DCFF0838B992}" name="Spalte4693"/>
    <tableColumn id="4711" xr3:uid="{47372CEC-5CE7-4AD8-B878-B4043321184B}" name="Spalte4694"/>
    <tableColumn id="4712" xr3:uid="{BCDC7886-8E70-4400-B57F-5930732A0CC2}" name="Spalte4695"/>
    <tableColumn id="4713" xr3:uid="{28FCAB3B-087A-4CCB-841F-E4EFF4E8EA0B}" name="Spalte4696"/>
    <tableColumn id="4714" xr3:uid="{1149791D-982F-414D-AAB3-05AA368AB5F2}" name="Spalte4697"/>
    <tableColumn id="4715" xr3:uid="{615B1A6A-8979-4FE3-8B03-F0C159D553DA}" name="Spalte4698"/>
    <tableColumn id="4716" xr3:uid="{8AD5796A-BF4F-42E7-B9E4-FC9FC47D5837}" name="Spalte4699"/>
    <tableColumn id="4717" xr3:uid="{FDC473C8-8EB3-432F-8605-2B2E1FB355A8}" name="Spalte4700"/>
    <tableColumn id="4718" xr3:uid="{88B32851-D451-4EFF-9C07-6E94C5E2333F}" name="Spalte4701"/>
    <tableColumn id="4719" xr3:uid="{41A88530-5FED-4CD3-9923-76783D0A289E}" name="Spalte4702"/>
    <tableColumn id="4720" xr3:uid="{28D6631C-17FC-4952-862C-005B7E9E7A89}" name="Spalte4703"/>
    <tableColumn id="4721" xr3:uid="{21A4EB60-4B70-475B-9D73-826BB72FB13C}" name="Spalte4704"/>
    <tableColumn id="4722" xr3:uid="{AB5DA39B-625C-4240-9A58-4907BA39B5BF}" name="Spalte4705"/>
    <tableColumn id="4723" xr3:uid="{82D812EE-4049-420C-A08F-D33F2EBC9382}" name="Spalte4706"/>
    <tableColumn id="4724" xr3:uid="{BCD86207-8A6D-420F-B1C9-F9B6F2BCCE52}" name="Spalte4707"/>
    <tableColumn id="4725" xr3:uid="{AE3A3476-8C04-4112-B456-53490C4A7181}" name="Spalte4708"/>
    <tableColumn id="4726" xr3:uid="{A3276C63-4038-4051-82D0-6AB35B65DBD5}" name="Spalte4709"/>
    <tableColumn id="4727" xr3:uid="{BB38760A-BD7F-4669-B3AA-F88DD7EFA53B}" name="Spalte4710"/>
    <tableColumn id="4728" xr3:uid="{D91D0234-BC21-4499-B19E-F4EF868E6D69}" name="Spalte4711"/>
    <tableColumn id="4729" xr3:uid="{15BA7BEA-AF9C-4279-8B10-DC93E1F5CECF}" name="Spalte4712"/>
    <tableColumn id="4730" xr3:uid="{F6BC914B-263C-42BE-B30F-6F035503B142}" name="Spalte4713"/>
    <tableColumn id="4731" xr3:uid="{075A26AE-4AB6-4A1C-A60D-C8AB426B0528}" name="Spalte4714"/>
    <tableColumn id="4732" xr3:uid="{B9A77CEE-5168-423B-9573-93A10CCA27A9}" name="Spalte4715"/>
    <tableColumn id="4733" xr3:uid="{2D88D7CB-C3CC-4CD5-B175-D1C0F8DB9C2C}" name="Spalte4716"/>
    <tableColumn id="4734" xr3:uid="{5EA214C2-A523-4B4C-A026-EF85E2B0AFB4}" name="Spalte4717"/>
    <tableColumn id="4735" xr3:uid="{40FF7E3A-7D3D-4249-8DD9-07F2FBDFCC19}" name="Spalte4718"/>
    <tableColumn id="4736" xr3:uid="{BE6607C8-176C-4743-932B-0CB43FE687E0}" name="Spalte4719"/>
    <tableColumn id="4737" xr3:uid="{2BD745E3-0A61-4BEC-94EC-165CFCBEBEA0}" name="Spalte4720"/>
    <tableColumn id="4738" xr3:uid="{B28C9B25-6556-4DA3-B3B7-9419EB015015}" name="Spalte4721"/>
    <tableColumn id="4739" xr3:uid="{0B073850-806C-47DC-B26A-C01DEE33CB0F}" name="Spalte4722"/>
    <tableColumn id="4740" xr3:uid="{BD24A198-74B7-4305-BA9B-24326D0DDDA4}" name="Spalte4723"/>
    <tableColumn id="4741" xr3:uid="{4DF4CE78-6EEE-4B24-8BC6-5B2AD792B1BB}" name="Spalte4724"/>
    <tableColumn id="4742" xr3:uid="{1269F8FF-767C-49D1-B1DC-3E7FC3F7249D}" name="Spalte4725"/>
    <tableColumn id="4743" xr3:uid="{72373DA2-BEEF-4F65-B9BE-29C0E9381D8C}" name="Spalte4726"/>
    <tableColumn id="4744" xr3:uid="{18ED1AFE-66BE-4113-87AE-DD305E072A7A}" name="Spalte4727"/>
    <tableColumn id="4745" xr3:uid="{29A0BE89-31C5-48D7-B696-65F33AB9B14F}" name="Spalte4728"/>
    <tableColumn id="4746" xr3:uid="{8F9501BF-7655-415E-8AB3-14F6FC748B55}" name="Spalte4729"/>
    <tableColumn id="4747" xr3:uid="{0E55DF7B-6978-4645-8003-CCBA7A37F140}" name="Spalte4730"/>
    <tableColumn id="4748" xr3:uid="{B4301499-3600-4B10-9966-9E34E753CA00}" name="Spalte4731"/>
    <tableColumn id="4749" xr3:uid="{9369EF1F-DE89-469F-AE6E-033C9AEBE28A}" name="Spalte4732"/>
    <tableColumn id="4750" xr3:uid="{8F650CB4-9EC6-4B57-AD92-BBC11425792B}" name="Spalte4733"/>
    <tableColumn id="4751" xr3:uid="{DDAA4264-ED73-433D-B07A-BE62885DC885}" name="Spalte4734"/>
    <tableColumn id="4752" xr3:uid="{314F00BB-BDA6-402E-BAB2-71B7DA0FEA6C}" name="Spalte4735"/>
    <tableColumn id="4753" xr3:uid="{C3414EEA-D927-4170-A67B-911D40EECA73}" name="Spalte4736"/>
    <tableColumn id="4754" xr3:uid="{711C3365-DD7D-4B8F-9D86-47D30B7C5BBF}" name="Spalte4737"/>
    <tableColumn id="4755" xr3:uid="{C2AD1F1A-46E1-4098-A231-066A222BFB10}" name="Spalte4738"/>
    <tableColumn id="4756" xr3:uid="{0C406E6F-4205-4E42-9287-80D665A20D9F}" name="Spalte4739"/>
    <tableColumn id="4757" xr3:uid="{B3E1A857-FDFF-4E58-ACCC-2B6801EB338D}" name="Spalte4740"/>
    <tableColumn id="4758" xr3:uid="{DBFABCB1-01AC-4179-9886-2A40BBB12AF9}" name="Spalte4741"/>
    <tableColumn id="4759" xr3:uid="{C4721AB1-4F1C-4E49-8560-3FE80A2F5712}" name="Spalte4742"/>
    <tableColumn id="4760" xr3:uid="{48E021FF-E30D-46D1-B48E-0AAE602BB9A6}" name="Spalte4743"/>
    <tableColumn id="4761" xr3:uid="{16291BBB-8959-4258-9E53-B31974B9D472}" name="Spalte4744"/>
    <tableColumn id="4762" xr3:uid="{A539A58A-EED2-4830-B057-445A69A5AB85}" name="Spalte4745"/>
    <tableColumn id="4763" xr3:uid="{ACEBCCBA-4BE4-45BA-81C0-F7367382C378}" name="Spalte4746"/>
    <tableColumn id="4764" xr3:uid="{137A0138-6DA2-43B6-8A38-AB1717FBF553}" name="Spalte4747"/>
    <tableColumn id="4765" xr3:uid="{4E4B2B52-FFAE-4272-830E-7E82F0D68655}" name="Spalte4748"/>
    <tableColumn id="4766" xr3:uid="{87E85465-BB13-4AD2-AF00-01522359C9C4}" name="Spalte4749"/>
    <tableColumn id="4767" xr3:uid="{EAFF226A-EDDE-49F2-BEE5-72FC3F27E311}" name="Spalte4750"/>
    <tableColumn id="4768" xr3:uid="{1F2FA52C-6A4F-49A0-833F-60FF2437DC47}" name="Spalte4751"/>
    <tableColumn id="4769" xr3:uid="{2843F7DF-37AF-40F2-AAED-31D93147C291}" name="Spalte4752"/>
    <tableColumn id="4770" xr3:uid="{E13CA2F8-D7D7-4D93-863E-25A320863C3C}" name="Spalte4753"/>
    <tableColumn id="4771" xr3:uid="{EAC658BB-04EE-4145-A2FE-0B5C698CC132}" name="Spalte4754"/>
    <tableColumn id="4772" xr3:uid="{056BD963-7AFE-4122-911F-B4232699250D}" name="Spalte4755"/>
    <tableColumn id="4773" xr3:uid="{145D726D-5B59-4664-8117-841BDC5D92DA}" name="Spalte4756"/>
    <tableColumn id="4774" xr3:uid="{A5A22C38-28A0-468F-8FC4-01EA55BC83A0}" name="Spalte4757"/>
    <tableColumn id="4775" xr3:uid="{55CC29AC-CF58-4E70-BAB3-C5E3350AC16E}" name="Spalte4758"/>
    <tableColumn id="4776" xr3:uid="{4C8B1739-8357-4F42-B24F-6D72286B5F1D}" name="Spalte4759"/>
    <tableColumn id="4777" xr3:uid="{B3B0111C-D8C2-4ADC-B883-8A6E5D72D517}" name="Spalte4760"/>
    <tableColumn id="4778" xr3:uid="{649DC3A3-64B4-40D1-9C1A-0D0F97220178}" name="Spalte4761"/>
    <tableColumn id="4779" xr3:uid="{ECE0359F-72DE-40D6-89FE-E12C2965B06E}" name="Spalte4762"/>
    <tableColumn id="4780" xr3:uid="{96FA6320-B6F5-4770-ABF7-DF599B8869EF}" name="Spalte4763"/>
    <tableColumn id="4781" xr3:uid="{5F4C9BD4-DCEC-44D2-B84E-7BA5B04A4A2B}" name="Spalte4764"/>
    <tableColumn id="4782" xr3:uid="{D8A8039B-43D7-4000-9672-17A385590403}" name="Spalte4765"/>
    <tableColumn id="4783" xr3:uid="{E9791453-C777-46E4-893A-6D80F774A19D}" name="Spalte4766"/>
    <tableColumn id="4784" xr3:uid="{932952B7-CDE2-41D8-82F1-D4945B58243C}" name="Spalte4767"/>
    <tableColumn id="4785" xr3:uid="{BF16FB9E-F794-4B88-B0B3-10A527679038}" name="Spalte4768"/>
    <tableColumn id="4786" xr3:uid="{0CA6777F-3B0B-47B4-B4C5-D0A6FAE30BF3}" name="Spalte4769"/>
    <tableColumn id="4787" xr3:uid="{17DB092B-D448-491B-9E73-722A1996C99C}" name="Spalte4770"/>
    <tableColumn id="4788" xr3:uid="{1F46C186-2A87-4705-81B1-37C4A59280DC}" name="Spalte4771"/>
    <tableColumn id="4789" xr3:uid="{1E60272F-90BC-495C-80CB-6677B56F87EC}" name="Spalte4772"/>
    <tableColumn id="4790" xr3:uid="{D8ECA822-3EAF-479B-8EFD-3C2C8C3781AB}" name="Spalte4773"/>
    <tableColumn id="4791" xr3:uid="{D23AEB38-8294-4F88-8FEF-DDE25E6CCE77}" name="Spalte4774"/>
    <tableColumn id="4792" xr3:uid="{250C162F-C07C-4BEC-B01F-CE22C2488269}" name="Spalte4775"/>
    <tableColumn id="4793" xr3:uid="{02398E52-96CD-4858-B008-25916136CCAC}" name="Spalte4776"/>
    <tableColumn id="4794" xr3:uid="{C9BF98AF-E93A-41C0-A4E9-DBAF1E491183}" name="Spalte4777"/>
    <tableColumn id="4795" xr3:uid="{CE0AF18C-CCDE-4DF8-BE18-53BF01D8AC5C}" name="Spalte4778"/>
    <tableColumn id="4796" xr3:uid="{FD95F761-E228-4D8C-A6DF-22A94B0E213E}" name="Spalte4779"/>
    <tableColumn id="4797" xr3:uid="{D7AA6398-D047-4FF7-882E-AF9EFE7CF9A2}" name="Spalte4780"/>
    <tableColumn id="4798" xr3:uid="{24972E82-E390-47EF-8607-47D9D5B82B04}" name="Spalte4781"/>
    <tableColumn id="4799" xr3:uid="{38EF4BBD-4E78-4818-97A2-D553F07CD9E7}" name="Spalte4782"/>
    <tableColumn id="4800" xr3:uid="{C9FA5A03-6C64-4C1D-AD7F-A7A508EF8685}" name="Spalte4783"/>
    <tableColumn id="4801" xr3:uid="{D45A97C4-3934-4A1E-9FD5-1D37588109DE}" name="Spalte4784"/>
    <tableColumn id="4802" xr3:uid="{07A6C78F-0043-48D7-8E47-A543E25945D2}" name="Spalte4785"/>
    <tableColumn id="4803" xr3:uid="{FED6F5E8-8446-425A-B2D6-3E3AD7C2EE6C}" name="Spalte4786"/>
    <tableColumn id="4804" xr3:uid="{FAC3ACED-AF00-44E0-B65F-2AF8EE2244E3}" name="Spalte4787"/>
    <tableColumn id="4805" xr3:uid="{D3CA8DD9-C739-4240-AE86-CC2639FDD528}" name="Spalte4788"/>
    <tableColumn id="4806" xr3:uid="{AF38A982-E704-47D7-AFAA-59DF0E9BC2E2}" name="Spalte4789"/>
    <tableColumn id="4807" xr3:uid="{FB6C412D-3754-4929-9E11-E70CFEB8F864}" name="Spalte4790"/>
    <tableColumn id="4808" xr3:uid="{BBC83D82-153A-420A-BD93-EF991261E7BF}" name="Spalte4791"/>
    <tableColumn id="4809" xr3:uid="{84A94DE5-EAF4-44D0-B216-5D7B24AF5144}" name="Spalte4792"/>
    <tableColumn id="4810" xr3:uid="{F3304570-9448-4106-974C-E4BAA7A10FA4}" name="Spalte4793"/>
    <tableColumn id="4811" xr3:uid="{BECBDF08-AAE3-46F2-B8C3-A661164F6FD0}" name="Spalte4794"/>
    <tableColumn id="4812" xr3:uid="{2350C7CB-AC26-461A-8E27-EB3B1A552718}" name="Spalte4795"/>
    <tableColumn id="4813" xr3:uid="{DF420706-8527-4F0F-970E-78E69B356E98}" name="Spalte4796"/>
    <tableColumn id="4814" xr3:uid="{2542E84E-3522-4E1B-A8D8-E310CED057F1}" name="Spalte4797"/>
    <tableColumn id="4815" xr3:uid="{FC77022C-E805-46C7-94E7-3151E5B55DC0}" name="Spalte4798"/>
    <tableColumn id="4816" xr3:uid="{216B1DC6-C832-4C51-A909-AF77BB42F4BB}" name="Spalte4799"/>
    <tableColumn id="4817" xr3:uid="{0BD9B45B-58A2-4862-93F5-1431D85A32D6}" name="Spalte4800"/>
    <tableColumn id="4818" xr3:uid="{5B9B4CDA-FBC3-41D7-93E9-6CF67558B644}" name="Spalte4801"/>
    <tableColumn id="4819" xr3:uid="{7BF59B61-2ADA-434C-934A-B48F7B79E331}" name="Spalte4802"/>
    <tableColumn id="4820" xr3:uid="{4BE02991-C8C2-4A20-B87E-962B7A05E1F3}" name="Spalte4803"/>
    <tableColumn id="4821" xr3:uid="{EFF556B5-57C8-47F5-84C9-0224231742DF}" name="Spalte4804"/>
    <tableColumn id="4822" xr3:uid="{0A6557EB-0A93-484F-8ED6-862F94EAF538}" name="Spalte4805"/>
    <tableColumn id="4823" xr3:uid="{1C4D2869-8C82-4B48-8490-61E9A108D155}" name="Spalte4806"/>
    <tableColumn id="4824" xr3:uid="{19114C53-4B2E-4226-A6E6-9DE5CE11CBB0}" name="Spalte4807"/>
    <tableColumn id="4825" xr3:uid="{CA9FA26A-7176-488C-8DF1-921AD665E79D}" name="Spalte4808"/>
    <tableColumn id="4826" xr3:uid="{497C6F45-9057-41B2-95E3-3EA54207B515}" name="Spalte4809"/>
    <tableColumn id="4827" xr3:uid="{8DAE268A-78AC-492D-9998-661188A12E4B}" name="Spalte4810"/>
    <tableColumn id="4828" xr3:uid="{782042E9-E83A-4346-8EFD-A59CF51BE0CD}" name="Spalte4811"/>
    <tableColumn id="4829" xr3:uid="{C7404AF2-9257-4769-AEC8-A9B93B4ADEEB}" name="Spalte4812"/>
    <tableColumn id="4830" xr3:uid="{7A59FB65-E526-4ACF-AF20-A8F4A697211A}" name="Spalte4813"/>
    <tableColumn id="4831" xr3:uid="{88A495C2-C5A4-4642-9FE7-8C1951FC335D}" name="Spalte4814"/>
    <tableColumn id="4832" xr3:uid="{D6BF9742-C950-4002-B057-C45707F93D6F}" name="Spalte4815"/>
    <tableColumn id="4833" xr3:uid="{A9E78B59-C138-4CE2-A5E1-AF42E1C807A1}" name="Spalte4816"/>
    <tableColumn id="4834" xr3:uid="{BB8C09F8-F715-4369-91F8-0CDDCCE549EF}" name="Spalte4817"/>
    <tableColumn id="4835" xr3:uid="{738C7619-51BE-4233-B2C3-546C3273BF44}" name="Spalte4818"/>
    <tableColumn id="4836" xr3:uid="{A93E2AAB-C866-4E76-963B-179DF2CC9F24}" name="Spalte4819"/>
    <tableColumn id="4837" xr3:uid="{76ED281D-B65A-4A62-91D3-38E3C54F8C7F}" name="Spalte4820"/>
    <tableColumn id="4838" xr3:uid="{3BFC6862-15F0-4E63-8BCB-DADE43A515B7}" name="Spalte4821"/>
    <tableColumn id="4839" xr3:uid="{84F1A446-D0BE-4EB8-842E-454E2D9CF5EA}" name="Spalte4822"/>
    <tableColumn id="4840" xr3:uid="{83B78367-A258-44FD-8C90-64E3971DD8FE}" name="Spalte4823"/>
    <tableColumn id="4841" xr3:uid="{DDDD0A49-7F77-4DFA-B8C4-044165FB1CAA}" name="Spalte4824"/>
    <tableColumn id="4842" xr3:uid="{4452A78C-79BC-450A-BBFA-0D4162945406}" name="Spalte4825"/>
    <tableColumn id="4843" xr3:uid="{268A5120-29B4-4ED0-B6B8-CF90C25F4C89}" name="Spalte4826"/>
    <tableColumn id="4844" xr3:uid="{E0B244D9-A33B-4C19-9520-C291C42EAFB2}" name="Spalte4827"/>
    <tableColumn id="4845" xr3:uid="{22DBCDAE-CBAE-43A2-B445-6419CE5BF8FC}" name="Spalte4828"/>
    <tableColumn id="4846" xr3:uid="{7CD87215-7EDC-42E1-8D36-0C1DBB5ECD5D}" name="Spalte4829"/>
    <tableColumn id="4847" xr3:uid="{4107E7FD-A3B0-419A-9338-3155CA5D441C}" name="Spalte4830"/>
    <tableColumn id="4848" xr3:uid="{A66ADC37-9041-4F92-8BF6-14BB2AE4E87B}" name="Spalte4831"/>
    <tableColumn id="4849" xr3:uid="{0D91329C-E580-4289-88A4-3AF8C6480DD9}" name="Spalte4832"/>
    <tableColumn id="4850" xr3:uid="{0AAC9CA6-96BC-4FF9-852A-C61E269818E6}" name="Spalte4833"/>
    <tableColumn id="4851" xr3:uid="{C907AD3C-3125-469B-BAC9-63D9CEC1EA38}" name="Spalte4834"/>
    <tableColumn id="4852" xr3:uid="{95374CE8-4081-463C-977A-E437F79F1255}" name="Spalte4835"/>
    <tableColumn id="4853" xr3:uid="{1DE315CC-1DB4-44A9-9608-4527A099016D}" name="Spalte4836"/>
    <tableColumn id="4854" xr3:uid="{B5C82D7C-0F29-41CF-B5A6-A9B198A0E2E9}" name="Spalte4837"/>
    <tableColumn id="4855" xr3:uid="{C2053155-E216-460C-BE34-21377D76451E}" name="Spalte4838"/>
    <tableColumn id="4856" xr3:uid="{D15EE982-336D-4845-BD04-145F942B273D}" name="Spalte4839"/>
    <tableColumn id="4857" xr3:uid="{0A7B789C-F968-4623-BB3E-E9A0E06FF8A4}" name="Spalte4840"/>
    <tableColumn id="4858" xr3:uid="{4F0158DE-846B-40A8-99F6-E1D703CAC296}" name="Spalte4841"/>
    <tableColumn id="4859" xr3:uid="{CA201FE2-2D14-47B4-B11C-A0AC873D0C50}" name="Spalte4842"/>
    <tableColumn id="4860" xr3:uid="{22E9C831-5D6F-4071-B09A-BB55F6DC32D4}" name="Spalte4843"/>
    <tableColumn id="4861" xr3:uid="{E66230B3-F2F0-4BFC-8701-C612D751D266}" name="Spalte4844"/>
    <tableColumn id="4862" xr3:uid="{F47F31F4-4A80-4530-9F3F-121B558346DA}" name="Spalte4845"/>
    <tableColumn id="4863" xr3:uid="{F7BBC553-5DB1-41F4-A036-E3DDDD1EFFDD}" name="Spalte4846"/>
    <tableColumn id="4864" xr3:uid="{95B2B79D-20A8-4F63-A42A-50A319754F6D}" name="Spalte4847"/>
    <tableColumn id="4865" xr3:uid="{1E71D46E-6C9A-4004-9F13-7D1BD84D2367}" name="Spalte4848"/>
    <tableColumn id="4866" xr3:uid="{F03358DC-8A3C-4483-86C4-CCE706876B71}" name="Spalte4849"/>
    <tableColumn id="4867" xr3:uid="{210158C4-9A43-42A8-BD1B-ED85E06E1C70}" name="Spalte4850"/>
    <tableColumn id="4868" xr3:uid="{9AAFB276-6314-407A-8F0B-A738B5634F2F}" name="Spalte4851"/>
    <tableColumn id="4869" xr3:uid="{8C7B967C-1C0E-4A31-9C0E-95C79AB2AF96}" name="Spalte4852"/>
    <tableColumn id="4870" xr3:uid="{7256FCB2-EE8F-4978-B34C-88781C310490}" name="Spalte4853"/>
    <tableColumn id="4871" xr3:uid="{BEABF576-CFB4-4797-AF44-625701093ECE}" name="Spalte4854"/>
    <tableColumn id="4872" xr3:uid="{45E52A93-6CB2-4D09-9722-9F04FA21AEA7}" name="Spalte4855"/>
    <tableColumn id="4873" xr3:uid="{6B25FFE2-6D99-4B7A-BFE3-099BEA36484E}" name="Spalte4856"/>
    <tableColumn id="4874" xr3:uid="{99DE0EEA-DB1E-416E-9EF2-9562AAF578B2}" name="Spalte4857"/>
    <tableColumn id="4875" xr3:uid="{B4196444-E6A0-4A18-98E1-989C18B3EA61}" name="Spalte4858"/>
    <tableColumn id="4876" xr3:uid="{A03625D2-C967-43DE-8125-76762DEC226D}" name="Spalte4859"/>
    <tableColumn id="4877" xr3:uid="{1C8ACA63-3B33-4651-9AA0-9106CCD0DD58}" name="Spalte4860"/>
    <tableColumn id="4878" xr3:uid="{909071DB-A642-49BD-BB97-4502E6851357}" name="Spalte4861"/>
    <tableColumn id="4879" xr3:uid="{B1271ECA-0612-4271-8C7C-55B272AFF1C8}" name="Spalte4862"/>
    <tableColumn id="4880" xr3:uid="{2CACFA23-2152-4C17-B38E-DEB0BAC94FC4}" name="Spalte4863"/>
    <tableColumn id="4881" xr3:uid="{8284621F-4B41-4D1B-8F28-0483B5278EF0}" name="Spalte4864"/>
    <tableColumn id="4882" xr3:uid="{602C56E8-BBF2-4C40-A501-55EF9341FE28}" name="Spalte4865"/>
    <tableColumn id="4883" xr3:uid="{2B14C1B3-66B8-40AE-B312-113246F7C7AF}" name="Spalte4866"/>
    <tableColumn id="4884" xr3:uid="{50DFED97-5F17-4BD3-9111-E40C9E087366}" name="Spalte4867"/>
    <tableColumn id="4885" xr3:uid="{FFA1FFAF-747D-485F-9DF2-00FF22896A58}" name="Spalte4868"/>
    <tableColumn id="4886" xr3:uid="{DAC68DEA-18D1-4945-8DBD-CE88B7193507}" name="Spalte4869"/>
    <tableColumn id="4887" xr3:uid="{3D5DEC24-6BA5-41D0-B24A-D8022033FC79}" name="Spalte4870"/>
    <tableColumn id="4888" xr3:uid="{06C3F0B8-900F-4C7E-A97A-445E3B342648}" name="Spalte4871"/>
    <tableColumn id="4889" xr3:uid="{ACEC821A-911B-46C3-97F2-9DE6CBED925D}" name="Spalte4872"/>
    <tableColumn id="4890" xr3:uid="{B2A7A573-5EAE-425C-B2BE-432068B33C13}" name="Spalte4873"/>
    <tableColumn id="4891" xr3:uid="{AA4C6003-A842-4B61-A195-8EBE976D332B}" name="Spalte4874"/>
    <tableColumn id="4892" xr3:uid="{90EB1647-E9C4-42DE-B9AA-1D7148277EA5}" name="Spalte4875"/>
    <tableColumn id="4893" xr3:uid="{65AE95CF-ACD8-49EC-A344-11AAD70AC89E}" name="Spalte4876"/>
    <tableColumn id="4894" xr3:uid="{5235BAEA-DC95-4EA4-AEBB-B56BEB7AAE86}" name="Spalte4877"/>
    <tableColumn id="4895" xr3:uid="{C19BE911-C332-4D27-8B7B-C59F22DB7216}" name="Spalte4878"/>
    <tableColumn id="4896" xr3:uid="{FB58F424-25C4-43F2-9F3A-C352B5F1834C}" name="Spalte4879"/>
    <tableColumn id="4897" xr3:uid="{C23C84AE-BC5E-4CF2-8069-34869D9891AC}" name="Spalte4880"/>
    <tableColumn id="4898" xr3:uid="{A570CA72-117F-4DEC-B1B4-E7EF8224E472}" name="Spalte4881"/>
    <tableColumn id="4899" xr3:uid="{9596A813-16F5-4A42-BF57-6787D350B720}" name="Spalte4882"/>
    <tableColumn id="4900" xr3:uid="{CE0A6C16-0460-4F35-A929-6F78904E1AC6}" name="Spalte4883"/>
    <tableColumn id="4901" xr3:uid="{B8591290-9E38-4ACE-9954-55A365388B24}" name="Spalte4884"/>
    <tableColumn id="4902" xr3:uid="{0B7BAEB2-4CD7-4D7F-9A9E-08249E572CF7}" name="Spalte4885"/>
    <tableColumn id="4903" xr3:uid="{098ED912-9520-45E0-A09E-6156489B9846}" name="Spalte4886"/>
    <tableColumn id="4904" xr3:uid="{A0F4505B-E682-4E09-BB9E-F5E8261E0903}" name="Spalte4887"/>
    <tableColumn id="4905" xr3:uid="{6F81AF4F-02BD-49E9-9DB0-87B8911EA10D}" name="Spalte4888"/>
    <tableColumn id="4906" xr3:uid="{1E1872E2-57C8-4966-9B0F-95F23F491D51}" name="Spalte4889"/>
    <tableColumn id="4907" xr3:uid="{7B78C01B-D541-42D5-AE23-D10B6266ABB8}" name="Spalte4890"/>
    <tableColumn id="4908" xr3:uid="{0476B5C8-83B0-4D68-8615-F17F7418BBC3}" name="Spalte4891"/>
    <tableColumn id="4909" xr3:uid="{CED04D99-5E53-4526-A025-E39861F95732}" name="Spalte4892"/>
    <tableColumn id="4910" xr3:uid="{1A8CE115-C12A-4261-B909-45AE65C500CF}" name="Spalte4893"/>
    <tableColumn id="4911" xr3:uid="{64338A98-B2B1-45F5-9106-F9949CA9F0E6}" name="Spalte4894"/>
    <tableColumn id="4912" xr3:uid="{EEF8B484-E7B3-4C1E-BBFD-785D5CB5ED66}" name="Spalte4895"/>
    <tableColumn id="4913" xr3:uid="{08E418ED-C97E-4044-8B9B-29E1590704FC}" name="Spalte4896"/>
    <tableColumn id="4914" xr3:uid="{5586773F-66F7-4785-BCC8-47D1F31A90C1}" name="Spalte4897"/>
    <tableColumn id="4915" xr3:uid="{9D36A080-6270-410D-873D-51CEDA091C90}" name="Spalte4898"/>
    <tableColumn id="4916" xr3:uid="{EF49D4F2-D033-4E49-983E-262779B69142}" name="Spalte4899"/>
    <tableColumn id="4917" xr3:uid="{9F4FF7C4-B856-411E-BD98-E2F83B238873}" name="Spalte4900"/>
    <tableColumn id="4918" xr3:uid="{C72115C5-D5E0-460B-9297-C35B0D716480}" name="Spalte4901"/>
    <tableColumn id="4919" xr3:uid="{CCD5EA52-A3FB-4416-9E51-AF579AD586FC}" name="Spalte4902"/>
    <tableColumn id="4920" xr3:uid="{A6D81FE3-F04C-42B4-AB9D-06DB1D3845EC}" name="Spalte4903"/>
    <tableColumn id="4921" xr3:uid="{DF09E79D-2C35-474C-A67C-D14A346F7367}" name="Spalte4904"/>
    <tableColumn id="4922" xr3:uid="{73670511-0847-42A0-B4D6-C85FE884FDC7}" name="Spalte4905"/>
    <tableColumn id="4923" xr3:uid="{C8A4CC6E-1533-443D-8461-16A7C14CBC3A}" name="Spalte4906"/>
    <tableColumn id="4924" xr3:uid="{B5A8D035-9971-401F-8083-53C6671304FB}" name="Spalte4907"/>
    <tableColumn id="4925" xr3:uid="{7549E553-999F-4179-A81F-06791B9C832E}" name="Spalte4908"/>
    <tableColumn id="4926" xr3:uid="{7F786596-00AF-45A5-9C56-20D8922362D5}" name="Spalte4909"/>
    <tableColumn id="4927" xr3:uid="{2CA1D6D1-A450-440A-B3F8-270C4C3084F8}" name="Spalte4910"/>
    <tableColumn id="4928" xr3:uid="{3217702A-6D77-435B-A35C-B87734CCD715}" name="Spalte4911"/>
    <tableColumn id="4929" xr3:uid="{24EDF1AA-C627-459D-A80D-B7CDAF98431E}" name="Spalte4912"/>
    <tableColumn id="4930" xr3:uid="{6617A000-D6C6-450D-ABB3-DA1FA962D57E}" name="Spalte4913"/>
    <tableColumn id="4931" xr3:uid="{0AB04377-42F2-4CC4-8A1D-0A5304B972F7}" name="Spalte4914"/>
    <tableColumn id="4932" xr3:uid="{8B9C3B52-0446-42AB-AD50-BC4137C0EE49}" name="Spalte4915"/>
    <tableColumn id="4933" xr3:uid="{A5E02CC4-FBD6-4E83-B0CB-F3EED55CFBE8}" name="Spalte4916"/>
    <tableColumn id="4934" xr3:uid="{DE67E2DD-77E5-46D8-A19D-C3CCBE1806B1}" name="Spalte4917"/>
    <tableColumn id="4935" xr3:uid="{BD81F8D8-3EB2-43CE-962D-931BCED60220}" name="Spalte4918"/>
    <tableColumn id="4936" xr3:uid="{330BA633-4B49-41CE-A714-F57DA3F7B7F8}" name="Spalte4919"/>
    <tableColumn id="4937" xr3:uid="{615354DE-EE34-4795-9EC1-69A66BB65BEF}" name="Spalte4920"/>
    <tableColumn id="4938" xr3:uid="{8DDE66F9-9A1D-449C-AEA9-7A85E8F1A620}" name="Spalte4921"/>
    <tableColumn id="4939" xr3:uid="{BA73D20E-1170-417A-BC62-8DEFA4DE727F}" name="Spalte4922"/>
    <tableColumn id="4940" xr3:uid="{5360CE15-3D12-4F0B-A468-CC18000E2CD0}" name="Spalte4923"/>
    <tableColumn id="4941" xr3:uid="{6BF0AA05-4F44-4066-8744-215877A9199D}" name="Spalte4924"/>
    <tableColumn id="4942" xr3:uid="{78D104EC-04F2-4CB4-942D-95BC927E66F6}" name="Spalte4925"/>
    <tableColumn id="4943" xr3:uid="{81CE1B3E-BCEB-436C-B1CD-8A255B74FEBA}" name="Spalte4926"/>
    <tableColumn id="4944" xr3:uid="{C1E4CA8A-6CAC-436F-A0C3-B2C1325A17A6}" name="Spalte4927"/>
    <tableColumn id="4945" xr3:uid="{A51601AC-0D5C-4857-A88E-B0232D7E114E}" name="Spalte4928"/>
    <tableColumn id="4946" xr3:uid="{465E0E1D-AA49-470F-A714-A1BC31E8249D}" name="Spalte4929"/>
    <tableColumn id="4947" xr3:uid="{CBE56AA3-F6EA-4D85-B3FD-DDED511D92ED}" name="Spalte4930"/>
    <tableColumn id="4948" xr3:uid="{1815FC67-687C-4A05-A996-16B5CC4C07BF}" name="Spalte4931"/>
    <tableColumn id="4949" xr3:uid="{C2969B01-E89C-401F-ADBF-0603B28C1932}" name="Spalte4932"/>
    <tableColumn id="4950" xr3:uid="{5298C45C-4F5A-40CB-9A77-343A07CFB379}" name="Spalte4933"/>
    <tableColumn id="4951" xr3:uid="{2880D2E7-CB05-4807-8091-A673BF43D1C7}" name="Spalte4934"/>
    <tableColumn id="4952" xr3:uid="{348C502B-6B2B-49C4-8E10-FD4B7EEB53CD}" name="Spalte4935"/>
    <tableColumn id="4953" xr3:uid="{42A9F1B3-D9F5-4E53-B034-7D83C5B67E4F}" name="Spalte4936"/>
    <tableColumn id="4954" xr3:uid="{CDAB110C-C72C-49C9-B97C-BA9D57896FA5}" name="Spalte4937"/>
    <tableColumn id="4955" xr3:uid="{208510A6-7BB8-4C85-B992-BE59810B1C9D}" name="Spalte4938"/>
    <tableColumn id="4956" xr3:uid="{0079CECC-16C0-4609-8AFB-6C622D5213B7}" name="Spalte4939"/>
    <tableColumn id="4957" xr3:uid="{339EDB35-1C6B-4191-BE8C-89D994BCAF91}" name="Spalte4940"/>
    <tableColumn id="4958" xr3:uid="{AD5F01D9-7AAD-4F6C-905C-0C45CD08F2AD}" name="Spalte4941"/>
    <tableColumn id="4959" xr3:uid="{1026F0D5-DFEA-4C9D-970B-75FE2E08042C}" name="Spalte4942"/>
    <tableColumn id="4960" xr3:uid="{832D987D-C2F7-4EE7-A74E-93FEAF07230E}" name="Spalte4943"/>
    <tableColumn id="4961" xr3:uid="{77E1E0E7-0B31-4A2D-A4D5-AEB7D1E3B7BC}" name="Spalte4944"/>
    <tableColumn id="4962" xr3:uid="{3771AC40-4A04-461A-9FA1-106791E0C2D1}" name="Spalte4945"/>
    <tableColumn id="4963" xr3:uid="{DE880E47-8D7F-4F9D-B7C2-7B4F6ADA6CCF}" name="Spalte4946"/>
    <tableColumn id="4964" xr3:uid="{D96E8E56-3DC1-4770-8E1C-4702C0FCA50D}" name="Spalte4947"/>
    <tableColumn id="4965" xr3:uid="{610468CE-E29D-43A8-AEA9-48D5C0509971}" name="Spalte4948"/>
    <tableColumn id="4966" xr3:uid="{50247243-7C88-47B9-AB99-23851859534A}" name="Spalte4949"/>
    <tableColumn id="4967" xr3:uid="{73522A74-22B3-4B76-9D0B-73F6FEB7D70D}" name="Spalte4950"/>
    <tableColumn id="4968" xr3:uid="{B9FC0809-3EE3-4CBE-BAAC-F71D86BA1961}" name="Spalte4951"/>
    <tableColumn id="4969" xr3:uid="{78836AC0-5D29-48F4-9B67-384CB508F4BA}" name="Spalte4952"/>
    <tableColumn id="4970" xr3:uid="{746FBB2A-A479-4971-9D97-9B6F5C3D1D91}" name="Spalte4953"/>
    <tableColumn id="4971" xr3:uid="{4518C567-CB3B-48A3-8926-BDA72664C6BC}" name="Spalte4954"/>
    <tableColumn id="4972" xr3:uid="{747E3403-7F3C-488E-A6D3-DC1DC68D476D}" name="Spalte4955"/>
    <tableColumn id="4973" xr3:uid="{4848D2A3-C0FB-479E-98DA-3680AA31563E}" name="Spalte4956"/>
    <tableColumn id="4974" xr3:uid="{2C7409C4-AB9C-440A-AD48-355B3D3773FC}" name="Spalte4957"/>
    <tableColumn id="4975" xr3:uid="{F1A4FFD8-3E95-4A42-B7AE-80BC334D48D9}" name="Spalte4958"/>
    <tableColumn id="4976" xr3:uid="{9CAA81B2-5142-4C80-888B-CA34EF1C4FDF}" name="Spalte4959"/>
    <tableColumn id="4977" xr3:uid="{BEADE2EA-68AF-48B4-89E0-E344A4D51468}" name="Spalte4960"/>
    <tableColumn id="4978" xr3:uid="{F4136E4D-DF5F-4A1F-B425-7CCEBECCE9CC}" name="Spalte4961"/>
    <tableColumn id="4979" xr3:uid="{16919DAC-6042-453E-B83E-95671F359428}" name="Spalte4962"/>
    <tableColumn id="4980" xr3:uid="{6E07BA10-3F0B-429A-B8E8-71C90BD7607E}" name="Spalte4963"/>
    <tableColumn id="4981" xr3:uid="{DE906A19-5423-48DB-906E-9C62A0FE569D}" name="Spalte4964"/>
    <tableColumn id="4982" xr3:uid="{067F3979-EE7D-4EDC-8322-50E0C3110F1B}" name="Spalte4965"/>
    <tableColumn id="4983" xr3:uid="{36763D14-5494-4C75-BAA0-EA5530888F3F}" name="Spalte4966"/>
    <tableColumn id="4984" xr3:uid="{FF194696-B3A5-4F0B-9796-29583CF1C2AA}" name="Spalte4967"/>
    <tableColumn id="4985" xr3:uid="{CA8AF6BE-70FB-40D7-8A93-2B19290A3FEE}" name="Spalte4968"/>
    <tableColumn id="4986" xr3:uid="{9DAD18DD-1866-46E7-B24B-D926C917FACB}" name="Spalte4969"/>
    <tableColumn id="4987" xr3:uid="{74C87775-336D-4A47-AA58-88A91C4E01E2}" name="Spalte4970"/>
    <tableColumn id="4988" xr3:uid="{E6148574-D9DF-45C8-866C-7E6A23DB2397}" name="Spalte4971"/>
    <tableColumn id="4989" xr3:uid="{D37E4899-CC49-413A-A570-B32B6BF62959}" name="Spalte4972"/>
    <tableColumn id="4990" xr3:uid="{49611080-934F-4D69-8E81-12EADB36355A}" name="Spalte4973"/>
    <tableColumn id="4991" xr3:uid="{9CB34F36-4681-4A94-AC7D-1D65E9A5CA27}" name="Spalte4974"/>
    <tableColumn id="4992" xr3:uid="{91C7416C-F372-4D72-BE70-0C66855592C4}" name="Spalte4975"/>
    <tableColumn id="4993" xr3:uid="{00AC1812-4D82-4AE5-A91D-609C85E3EA4D}" name="Spalte4976"/>
    <tableColumn id="4994" xr3:uid="{EFF68F3E-672C-427B-A959-E940B578CF91}" name="Spalte4977"/>
    <tableColumn id="4995" xr3:uid="{32806AB0-FA57-417C-A029-40A6FA73A43E}" name="Spalte4978"/>
    <tableColumn id="4996" xr3:uid="{CC630791-F807-4B47-A904-580B54A51D02}" name="Spalte4979"/>
    <tableColumn id="4997" xr3:uid="{89BA00EA-4BCB-48E4-AB22-16A895DCBCA4}" name="Spalte4980"/>
    <tableColumn id="4998" xr3:uid="{BEA12C3D-C98C-43C9-9B5A-A500137AF98C}" name="Spalte4981"/>
    <tableColumn id="4999" xr3:uid="{355AC771-4737-4F8A-BB4E-369F6170B886}" name="Spalte4982"/>
    <tableColumn id="5000" xr3:uid="{9B27D93D-07C9-420A-B230-A7FF6D782766}" name="Spalte4983"/>
    <tableColumn id="5001" xr3:uid="{8E6EC018-0789-4277-AA49-F1107091B1F7}" name="Spalte4984"/>
    <tableColumn id="5002" xr3:uid="{6128A3A9-3F9E-43E7-877D-24F82D78D29F}" name="Spalte4985"/>
    <tableColumn id="5003" xr3:uid="{B4535ACF-913D-409D-AFF4-EE3A5B493505}" name="Spalte4986"/>
    <tableColumn id="5004" xr3:uid="{B1ACC3BB-F30D-4A19-91F8-90ACF524239B}" name="Spalte4987"/>
    <tableColumn id="5005" xr3:uid="{F9A6774B-C12F-4998-B6E5-ABF924A3914F}" name="Spalte4988"/>
    <tableColumn id="5006" xr3:uid="{AC98C16F-DA74-41E2-AF16-9C3D43BC525A}" name="Spalte4989"/>
    <tableColumn id="5007" xr3:uid="{34F6E1C7-DCFA-41C3-B199-0EB7BC43E601}" name="Spalte4990"/>
    <tableColumn id="5008" xr3:uid="{45B2DD90-E493-454C-90C8-DF0E649DF25A}" name="Spalte4991"/>
    <tableColumn id="5009" xr3:uid="{19AF2E0A-16CC-4333-9A6E-D9B717CC16CA}" name="Spalte4992"/>
    <tableColumn id="5010" xr3:uid="{2F847199-5C40-4C25-A228-C2C8AAE6AA52}" name="Spalte4993"/>
    <tableColumn id="5011" xr3:uid="{64F96852-5A69-40DA-B5F8-26172EF29371}" name="Spalte4994"/>
    <tableColumn id="5012" xr3:uid="{BE19655D-EF4D-40A6-B486-C4A5255394B8}" name="Spalte4995"/>
    <tableColumn id="5013" xr3:uid="{05DDAD32-73CE-4EED-AB35-64B074F2F989}" name="Spalte4996"/>
    <tableColumn id="5014" xr3:uid="{410657AF-773F-470A-8EBE-AEA5C18570DA}" name="Spalte4997"/>
    <tableColumn id="5015" xr3:uid="{F8157FCB-3C9E-4284-BF24-E4A1A40AFC97}" name="Spalte4998"/>
    <tableColumn id="5016" xr3:uid="{F1F8C110-836F-42BC-BC37-A68339FF5B2C}" name="Spalte4999"/>
    <tableColumn id="5017" xr3:uid="{50A0FC31-B5E0-419A-B888-8613AF5EBB7F}" name="Spalte5000"/>
    <tableColumn id="5018" xr3:uid="{DBC82D1C-7024-4184-BA96-23B2BDE377F1}" name="Spalte5001"/>
    <tableColumn id="5019" xr3:uid="{9E49E0CA-AD44-400F-8C31-055C5954400C}" name="Spalte5002"/>
    <tableColumn id="5020" xr3:uid="{589CE4E5-30E7-4465-8595-0B4FD8759D06}" name="Spalte5003"/>
    <tableColumn id="5021" xr3:uid="{83FE0E38-1EE8-4C72-94A0-723D809448EF}" name="Spalte5004"/>
    <tableColumn id="5022" xr3:uid="{75D77926-B76A-4C62-89EB-93B6FAC4382D}" name="Spalte5005"/>
    <tableColumn id="5023" xr3:uid="{BB268441-7944-4DA8-957D-ABF00D6DDED3}" name="Spalte5006"/>
    <tableColumn id="5024" xr3:uid="{F0F9DF19-8611-4357-92C7-F7F910654575}" name="Spalte5007"/>
    <tableColumn id="5025" xr3:uid="{D2DF82B7-176E-4663-ADAC-C56EB94E9F1A}" name="Spalte5008"/>
    <tableColumn id="5026" xr3:uid="{0E841D1A-1580-412C-A156-7CA43BBCF49A}" name="Spalte5009"/>
    <tableColumn id="5027" xr3:uid="{C7E00C69-F33E-41AE-B0A3-2B1BD7B38B0F}" name="Spalte5010"/>
    <tableColumn id="5028" xr3:uid="{8DADB835-A1CF-4467-B116-B0446BD92967}" name="Spalte5011"/>
    <tableColumn id="5029" xr3:uid="{EA0901AF-EF30-41C6-AB49-0F990C8718B5}" name="Spalte5012"/>
    <tableColumn id="5030" xr3:uid="{BB254C8D-872A-4D33-8C1E-54C96725F70F}" name="Spalte5013"/>
    <tableColumn id="5031" xr3:uid="{A1ED1C52-457E-4309-99AE-85DC48772F33}" name="Spalte5014"/>
    <tableColumn id="5032" xr3:uid="{8814F912-DDFE-4304-AD9A-584CEC1B5822}" name="Spalte5015"/>
    <tableColumn id="5033" xr3:uid="{12411199-BC95-4977-83B5-22121CCA6CB6}" name="Spalte5016"/>
    <tableColumn id="5034" xr3:uid="{E0784C5D-5461-4990-A76B-689F5645EA91}" name="Spalte5017"/>
    <tableColumn id="5035" xr3:uid="{4A4A7DA2-8AA7-48F6-AC09-6B38E2B60E2B}" name="Spalte5018"/>
    <tableColumn id="5036" xr3:uid="{5FAF3245-AA72-45EA-967D-C5CDE8948974}" name="Spalte5019"/>
    <tableColumn id="5037" xr3:uid="{87F396A1-B8C1-4E17-9417-209D0245EEC2}" name="Spalte5020"/>
    <tableColumn id="5038" xr3:uid="{CCAC2EE1-718E-4C78-B13E-6C67BE4AB1C0}" name="Spalte5021"/>
    <tableColumn id="5039" xr3:uid="{A94D2B83-BA5B-49C7-9037-E5D9207332E8}" name="Spalte5022"/>
    <tableColumn id="5040" xr3:uid="{2F9CC171-9668-4F55-B307-983EBC79ACC7}" name="Spalte5023"/>
    <tableColumn id="5041" xr3:uid="{9B26F529-5335-4D92-BA5F-9CAB74D6E0B3}" name="Spalte5024"/>
    <tableColumn id="5042" xr3:uid="{4DFA5D46-7598-4E9B-A208-A74DE59770F0}" name="Spalte5025"/>
    <tableColumn id="5043" xr3:uid="{D2383D6E-9799-4193-A38D-D2878F9B333B}" name="Spalte5026"/>
    <tableColumn id="5044" xr3:uid="{4E4A42CD-16D2-458D-A766-1700EEC9866E}" name="Spalte5027"/>
    <tableColumn id="5045" xr3:uid="{F394754D-129D-4F97-9E34-5D55306C87E8}" name="Spalte5028"/>
    <tableColumn id="5046" xr3:uid="{2B9827AA-E6B4-43AE-905F-2F30D8FC2682}" name="Spalte5029"/>
    <tableColumn id="5047" xr3:uid="{2D28F338-401E-4416-90E7-4595091F4F0A}" name="Spalte5030"/>
    <tableColumn id="5048" xr3:uid="{17C058E3-2266-44F9-9D81-A6C76A3FCA5F}" name="Spalte5031"/>
    <tableColumn id="5049" xr3:uid="{25BF1ABA-E3FE-4A7A-8D42-5E081786941F}" name="Spalte5032"/>
    <tableColumn id="5050" xr3:uid="{293142BD-29A6-4004-AAD1-D4CACDEC700F}" name="Spalte5033"/>
    <tableColumn id="5051" xr3:uid="{CD8F352C-8331-481D-8918-6E0325560D08}" name="Spalte5034"/>
    <tableColumn id="5052" xr3:uid="{8E5F198D-E377-4578-83F8-27B8BEEACEC8}" name="Spalte5035"/>
    <tableColumn id="5053" xr3:uid="{34F3D046-D66B-4AC6-B785-0CFC5043E986}" name="Spalte5036"/>
    <tableColumn id="5054" xr3:uid="{CE26A034-811D-486F-A2F6-6A3888ECD55E}" name="Spalte5037"/>
    <tableColumn id="5055" xr3:uid="{2D623423-1553-44E4-B80F-365A9411E8CF}" name="Spalte5038"/>
    <tableColumn id="5056" xr3:uid="{F01E562F-4783-4C95-96F4-F1A9410A24E1}" name="Spalte5039"/>
    <tableColumn id="5057" xr3:uid="{DEDFE63D-2B57-4ACC-BC01-9D30163ABDF0}" name="Spalte5040"/>
    <tableColumn id="5058" xr3:uid="{7A250B24-D3C5-4D94-B499-BB2D37A95DF7}" name="Spalte5041"/>
    <tableColumn id="5059" xr3:uid="{7CEBDCD9-AF0B-42AE-A84E-CEFF237A8025}" name="Spalte5042"/>
    <tableColumn id="5060" xr3:uid="{43874B0B-FA05-4606-B1CB-15F55ADAF42B}" name="Spalte5043"/>
    <tableColumn id="5061" xr3:uid="{BE0EA269-A4EF-4510-8F91-CA8680AA60AF}" name="Spalte5044"/>
    <tableColumn id="5062" xr3:uid="{F195A9FE-20F0-4431-8C10-0D9128E0FE1D}" name="Spalte5045"/>
    <tableColumn id="5063" xr3:uid="{B7945183-C683-4B4F-A24C-D4CDFA8868E3}" name="Spalte5046"/>
    <tableColumn id="5064" xr3:uid="{3766FE3C-849B-4361-AF85-8F8EB4EF60B4}" name="Spalte5047"/>
    <tableColumn id="5065" xr3:uid="{D9D0FC54-EC5F-4C85-B073-D8FC425DFC42}" name="Spalte5048"/>
    <tableColumn id="5066" xr3:uid="{C6CF5500-7869-4019-A1F7-98F5428E99C4}" name="Spalte5049"/>
    <tableColumn id="5067" xr3:uid="{B11F5250-7E44-4472-B3AA-1F1EE1C19258}" name="Spalte5050"/>
    <tableColumn id="5068" xr3:uid="{036D81D1-7E65-4AA8-A72A-D2AF9AFC5A8C}" name="Spalte5051"/>
    <tableColumn id="5069" xr3:uid="{B27AAB1A-7342-4D9A-A6EC-7315FBEB45CF}" name="Spalte5052"/>
    <tableColumn id="5070" xr3:uid="{5450F85A-81F5-4155-800E-F317BFEF8353}" name="Spalte5053"/>
    <tableColumn id="5071" xr3:uid="{EE3E40C9-31E4-47F6-B0B0-4296F26C34C0}" name="Spalte5054"/>
    <tableColumn id="5072" xr3:uid="{7109C066-6BC6-4111-84E3-3B6A12D767B8}" name="Spalte5055"/>
    <tableColumn id="5073" xr3:uid="{9303DD2A-3238-4054-960D-8DE12404D6BE}" name="Spalte5056"/>
    <tableColumn id="5074" xr3:uid="{488A4148-4093-403A-B010-69495ADF94E3}" name="Spalte5057"/>
    <tableColumn id="5075" xr3:uid="{AAC951B3-DE92-4D9F-8B1F-0742969D0050}" name="Spalte5058"/>
    <tableColumn id="5076" xr3:uid="{102FA0D3-4C64-4526-B988-ED7B47AC9FA1}" name="Spalte5059"/>
    <tableColumn id="5077" xr3:uid="{7C3AC56E-F5C9-4623-B3E6-A841C3647D62}" name="Spalte5060"/>
    <tableColumn id="5078" xr3:uid="{776E3391-48C7-4E9F-BD15-97ADCE7F2981}" name="Spalte5061"/>
    <tableColumn id="5079" xr3:uid="{CA418C92-E8AD-48F9-A8CF-83A0C5E45A15}" name="Spalte5062"/>
    <tableColumn id="5080" xr3:uid="{1983FB3F-8B03-4373-A5DB-493E6506B5A9}" name="Spalte5063"/>
    <tableColumn id="5081" xr3:uid="{846C33A9-0131-446E-AE92-94C82456161E}" name="Spalte5064"/>
    <tableColumn id="5082" xr3:uid="{71E59B27-CB0E-45C9-A62D-145EE1EBA4BA}" name="Spalte5065"/>
    <tableColumn id="5083" xr3:uid="{04648507-3BC4-4479-964A-A284062EF026}" name="Spalte5066"/>
    <tableColumn id="5084" xr3:uid="{7055BA46-89CD-4BC9-B76A-372DCED0B1F6}" name="Spalte5067"/>
    <tableColumn id="5085" xr3:uid="{1D27BD31-C364-4BC0-8E21-1EEA4DCAAE0C}" name="Spalte5068"/>
    <tableColumn id="5086" xr3:uid="{4CA6C63C-D2C6-4EDF-B317-5A8756D2EEC4}" name="Spalte5069"/>
    <tableColumn id="5087" xr3:uid="{B1D8C4DC-7CB8-4272-B43F-C388C406FFBC}" name="Spalte5070"/>
    <tableColumn id="5088" xr3:uid="{12660E87-E84A-4883-930A-4AB0A686504F}" name="Spalte5071"/>
    <tableColumn id="5089" xr3:uid="{1C4266C0-732E-4402-A919-ABF6F52BAA73}" name="Spalte5072"/>
    <tableColumn id="5090" xr3:uid="{441CF082-467F-4A8F-8580-58E3409FC53C}" name="Spalte5073"/>
    <tableColumn id="5091" xr3:uid="{273CA6F6-34D6-4899-8A97-CC2EC6D99541}" name="Spalte5074"/>
    <tableColumn id="5092" xr3:uid="{0592403D-ED44-4678-B4DC-6FD38C5237FC}" name="Spalte5075"/>
    <tableColumn id="5093" xr3:uid="{1DABBC1C-9C69-4BD2-82D2-36849BBAF5FF}" name="Spalte5076"/>
    <tableColumn id="5094" xr3:uid="{E527182A-659A-411B-8401-72E4C6A69A18}" name="Spalte5077"/>
    <tableColumn id="5095" xr3:uid="{4132E9E7-9F45-4152-A670-23E5B24A447F}" name="Spalte5078"/>
    <tableColumn id="5096" xr3:uid="{3EEF0CE3-7A94-44DC-BBF0-3306974B23E4}" name="Spalte5079"/>
    <tableColumn id="5097" xr3:uid="{2327B0D7-5651-4639-9193-994CBB61C7B1}" name="Spalte5080"/>
    <tableColumn id="5098" xr3:uid="{4671DC75-A61C-471B-B3BE-BEB207395244}" name="Spalte5081"/>
    <tableColumn id="5099" xr3:uid="{C4ACEA7E-4F69-4216-B9E9-864F67BDDD8F}" name="Spalte5082"/>
    <tableColumn id="5100" xr3:uid="{D8CD49F3-ED50-40A6-8DDA-A40A99468BC7}" name="Spalte5083"/>
    <tableColumn id="5101" xr3:uid="{49B65314-DE85-452D-B6C6-610754468E41}" name="Spalte5084"/>
    <tableColumn id="5102" xr3:uid="{3F988D4C-06B5-4F0A-9F20-8D0B98FCC4BA}" name="Spalte5085"/>
    <tableColumn id="5103" xr3:uid="{B84DB447-142D-4E37-9833-47E6B9F323DF}" name="Spalte5086"/>
    <tableColumn id="5104" xr3:uid="{FAAC0ED2-9CCA-41A5-B23A-69962B9C1A1A}" name="Spalte5087"/>
    <tableColumn id="5105" xr3:uid="{166247CB-EBFE-4310-9D71-9C312AB47CB0}" name="Spalte5088"/>
    <tableColumn id="5106" xr3:uid="{74E0C8F7-49FD-48E5-B8A4-FFB08A21EF9C}" name="Spalte5089"/>
    <tableColumn id="5107" xr3:uid="{8ABC67FA-1A38-458E-AFF6-3FBE977BDD15}" name="Spalte5090"/>
    <tableColumn id="5108" xr3:uid="{79998DFE-795D-4639-817C-AEEE9AD53DAC}" name="Spalte5091"/>
    <tableColumn id="5109" xr3:uid="{E84368A9-16C1-438A-BC31-4C1F5B2CAC3A}" name="Spalte5092"/>
    <tableColumn id="5110" xr3:uid="{284E2CC0-E9B2-4CD8-B1D0-B2CDCD23F86A}" name="Spalte5093"/>
    <tableColumn id="5111" xr3:uid="{2878A282-4E98-4C4F-90CC-2E5D7104C2A4}" name="Spalte5094"/>
    <tableColumn id="5112" xr3:uid="{96BB7E83-5D4D-4FCC-895F-40ADD55563ED}" name="Spalte5095"/>
    <tableColumn id="5113" xr3:uid="{B3BE34D0-F578-49BB-B29A-9698C6AD1AE9}" name="Spalte5096"/>
    <tableColumn id="5114" xr3:uid="{1278AD18-2EBD-49EF-9C25-C0C0DDE4C022}" name="Spalte5097"/>
    <tableColumn id="5115" xr3:uid="{0667D2D3-4637-44AE-A3B7-0420C2C00BF7}" name="Spalte5098"/>
    <tableColumn id="5116" xr3:uid="{3B8C26C8-1BF4-47C1-9151-7D52FA40465D}" name="Spalte5099"/>
    <tableColumn id="5117" xr3:uid="{700DCA0C-13F7-416A-92D7-A3AD59F2F530}" name="Spalte5100"/>
    <tableColumn id="5118" xr3:uid="{989305C4-FA34-4DBA-9D6F-00F8FC1604BF}" name="Spalte5101"/>
    <tableColumn id="5119" xr3:uid="{BF225308-A2B1-4176-88F6-3E7E62E31D6B}" name="Spalte5102"/>
    <tableColumn id="5120" xr3:uid="{D036FAD6-5273-403B-BB41-63F2F1FBC079}" name="Spalte5103"/>
    <tableColumn id="5121" xr3:uid="{D17ADD45-AE7F-4FFE-B1AA-A27A55BF5A35}" name="Spalte5104"/>
    <tableColumn id="5122" xr3:uid="{63E3BF80-2CF2-4994-890B-C939BC51FD5F}" name="Spalte5105"/>
    <tableColumn id="5123" xr3:uid="{13400D0C-519F-46B8-BC69-F0ED11D1175E}" name="Spalte5106"/>
    <tableColumn id="5124" xr3:uid="{2FD48DBE-29E4-4634-8334-6470D0F098A7}" name="Spalte5107"/>
    <tableColumn id="5125" xr3:uid="{CE21ABCA-32E4-4AC2-A407-B84F00325D83}" name="Spalte5108"/>
    <tableColumn id="5126" xr3:uid="{0ADB082E-7DE5-45AA-8B43-30793405E554}" name="Spalte5109"/>
    <tableColumn id="5127" xr3:uid="{00D36A03-B79A-48D6-9E0A-1F9422A915D4}" name="Spalte5110"/>
    <tableColumn id="5128" xr3:uid="{3BADAFB1-BAAA-4443-AB29-1C18C10F7A34}" name="Spalte5111"/>
    <tableColumn id="5129" xr3:uid="{B29E5AD5-1AE5-4166-ACF4-F299BCC68DF0}" name="Spalte5112"/>
    <tableColumn id="5130" xr3:uid="{27F549B4-1AB3-4255-A92F-8FBC02DA6B6F}" name="Spalte5113"/>
    <tableColumn id="5131" xr3:uid="{236ACE88-C2EE-4E1B-9430-F9BCBDA8BC06}" name="Spalte5114"/>
    <tableColumn id="5132" xr3:uid="{E9639B67-14F1-4B61-B8BD-09618E9113A3}" name="Spalte5115"/>
    <tableColumn id="5133" xr3:uid="{232C2768-B14A-40ED-B640-D6F17E8A9F6F}" name="Spalte5116"/>
    <tableColumn id="5134" xr3:uid="{C9924FAF-BE09-451E-ACE5-31CDC9E71EFE}" name="Spalte5117"/>
    <tableColumn id="5135" xr3:uid="{F0F31B8D-0769-4D8E-BA24-09D9677E7A31}" name="Spalte5118"/>
    <tableColumn id="5136" xr3:uid="{379CBFFB-B6FD-496F-BE2B-8FB5EBB8FC9A}" name="Spalte5119"/>
    <tableColumn id="5137" xr3:uid="{52C06810-C22C-48D7-98D9-762D979242A2}" name="Spalte5120"/>
    <tableColumn id="5138" xr3:uid="{73D1E358-3FCF-4A10-8913-B82D35454A0C}" name="Spalte5121"/>
    <tableColumn id="5139" xr3:uid="{DB4E9987-A0C4-4622-8068-73E24429CDB8}" name="Spalte5122"/>
    <tableColumn id="5140" xr3:uid="{1B743AFC-AC6B-43B8-9877-E7F083518B62}" name="Spalte5123"/>
    <tableColumn id="5141" xr3:uid="{CBD9D404-524B-4CE0-AB18-EDA880BD4788}" name="Spalte5124"/>
    <tableColumn id="5142" xr3:uid="{2849977C-18C5-4D99-92BE-16F425E6A803}" name="Spalte5125"/>
    <tableColumn id="5143" xr3:uid="{D46E944D-A6BD-4706-B478-6467AD2D085D}" name="Spalte5126"/>
    <tableColumn id="5144" xr3:uid="{0E3AE933-0643-4D5A-9888-F8E795FA1898}" name="Spalte5127"/>
    <tableColumn id="5145" xr3:uid="{4DF55712-4F99-4692-BC05-A4956C367E11}" name="Spalte5128"/>
    <tableColumn id="5146" xr3:uid="{F1010C7B-9524-458D-A309-567D407FEE51}" name="Spalte5129"/>
    <tableColumn id="5147" xr3:uid="{1914B2A7-FA65-47AB-A9E0-302F546BF222}" name="Spalte5130"/>
    <tableColumn id="5148" xr3:uid="{95086ADB-4485-4C58-970F-A1188ED22DAE}" name="Spalte5131"/>
    <tableColumn id="5149" xr3:uid="{6DB29165-9A53-4414-AEB5-BC70F4C3F56B}" name="Spalte5132"/>
    <tableColumn id="5150" xr3:uid="{D568D302-5BD0-4EF2-9C51-AF9422AF17D5}" name="Spalte5133"/>
    <tableColumn id="5151" xr3:uid="{51D3C761-2FA5-4720-B8E3-DEBA12DE752F}" name="Spalte5134"/>
    <tableColumn id="5152" xr3:uid="{65DEA852-8B53-47C9-B807-3C9F455057C9}" name="Spalte5135"/>
    <tableColumn id="5153" xr3:uid="{5386F1F3-94C5-4002-BC7C-CDA174F72E3E}" name="Spalte5136"/>
    <tableColumn id="5154" xr3:uid="{2A0A31C5-4A8A-4BBD-BC77-9D6DBFC44706}" name="Spalte5137"/>
    <tableColumn id="5155" xr3:uid="{6F2306C9-CEE9-431C-A031-4FC8ABD5FFFF}" name="Spalte5138"/>
    <tableColumn id="5156" xr3:uid="{B5E5574E-715D-4871-85BA-8B29DC4936D3}" name="Spalte5139"/>
    <tableColumn id="5157" xr3:uid="{63ACA5DA-5CD0-4653-8517-33A0B4846F6A}" name="Spalte5140"/>
    <tableColumn id="5158" xr3:uid="{E7B2AFB3-41BC-4863-B7D9-D93AC6306ED8}" name="Spalte5141"/>
    <tableColumn id="5159" xr3:uid="{8A6AAE50-ACED-43F3-9C53-B0780E06FD80}" name="Spalte5142"/>
    <tableColumn id="5160" xr3:uid="{18429202-3105-46D3-8A88-9C9BAA2609DF}" name="Spalte5143"/>
    <tableColumn id="5161" xr3:uid="{70C9EC75-651A-4004-992A-869975A78001}" name="Spalte5144"/>
    <tableColumn id="5162" xr3:uid="{A9104173-A9AC-447C-A28F-CEC9B6BD3747}" name="Spalte5145"/>
    <tableColumn id="5163" xr3:uid="{DE761717-A798-43B3-B8E5-C454567A79C4}" name="Spalte5146"/>
    <tableColumn id="5164" xr3:uid="{12186BFD-8429-42B0-A1A7-926B59F58890}" name="Spalte5147"/>
    <tableColumn id="5165" xr3:uid="{47E0146B-5280-4E20-9E6E-A229D644435E}" name="Spalte5148"/>
    <tableColumn id="5166" xr3:uid="{510AD8E1-E0B4-4C35-BC60-E71397585A26}" name="Spalte5149"/>
    <tableColumn id="5167" xr3:uid="{44A9D128-F1BB-4598-B71D-3C681C560B4C}" name="Spalte5150"/>
    <tableColumn id="5168" xr3:uid="{F90E7548-A7BE-4EB3-B557-26DFFB285D5C}" name="Spalte5151"/>
    <tableColumn id="5169" xr3:uid="{2C747E69-E48C-4664-ADB0-AD8934CA69E5}" name="Spalte5152"/>
    <tableColumn id="5170" xr3:uid="{D62ACB0C-FDE1-4E9B-BB99-29A305A63955}" name="Spalte5153"/>
    <tableColumn id="5171" xr3:uid="{242B89F3-12A0-4563-9C28-60AE22D816C3}" name="Spalte5154"/>
    <tableColumn id="5172" xr3:uid="{4023BAD4-BD7D-4DC6-9DEF-04486243CD05}" name="Spalte5155"/>
    <tableColumn id="5173" xr3:uid="{A7F197D2-195F-43A1-8058-F7566CA42C4D}" name="Spalte5156"/>
    <tableColumn id="5174" xr3:uid="{E4C59A9A-F08F-4BBC-A70E-2EF05DBEC71F}" name="Spalte5157"/>
    <tableColumn id="5175" xr3:uid="{4FB31C11-56F4-4F97-BA10-08EF2FCB843B}" name="Spalte5158"/>
    <tableColumn id="5176" xr3:uid="{A4364C0C-48C9-4BB4-9502-3401614E1BF9}" name="Spalte5159"/>
    <tableColumn id="5177" xr3:uid="{E3B5C015-F57D-436D-8CA3-1DD42BAD7AA4}" name="Spalte5160"/>
    <tableColumn id="5178" xr3:uid="{09854C16-DA60-4AF4-B6AD-A1F48B6AD23D}" name="Spalte5161"/>
    <tableColumn id="5179" xr3:uid="{2F363B89-B0BD-4D5B-975D-7CF7689E0F73}" name="Spalte5162"/>
    <tableColumn id="5180" xr3:uid="{741CC490-7A8B-4188-B9E3-C9AA295E9BB0}" name="Spalte5163"/>
    <tableColumn id="5181" xr3:uid="{45B0CBA4-79F6-4249-A614-D9A68A6E1BCC}" name="Spalte5164"/>
    <tableColumn id="5182" xr3:uid="{A5FB7151-5F7F-479B-9F16-7D658E78004D}" name="Spalte5165"/>
    <tableColumn id="5183" xr3:uid="{644EC0CC-68E0-4905-B8EF-FFD5898D9814}" name="Spalte5166"/>
    <tableColumn id="5184" xr3:uid="{82AB5132-347C-4797-A028-B011649F04A7}" name="Spalte5167"/>
    <tableColumn id="5185" xr3:uid="{EA0E7CB1-605C-4F02-B440-158EAE203604}" name="Spalte5168"/>
    <tableColumn id="5186" xr3:uid="{80781496-4614-4849-A1D3-6D9D39978382}" name="Spalte5169"/>
    <tableColumn id="5187" xr3:uid="{EA907D96-9E56-4D40-9DF0-3E4581012C22}" name="Spalte5170"/>
    <tableColumn id="5188" xr3:uid="{B062F19C-DB32-4A8C-BE3C-4D3C8D0A6D3E}" name="Spalte5171"/>
    <tableColumn id="5189" xr3:uid="{7A443AA7-006B-4236-8858-38A7EF68B66E}" name="Spalte5172"/>
    <tableColumn id="5190" xr3:uid="{64796614-28DA-41A3-B441-A3815E879DC0}" name="Spalte5173"/>
    <tableColumn id="5191" xr3:uid="{A1203B33-A397-4C3F-917E-915678254E0A}" name="Spalte5174"/>
    <tableColumn id="5192" xr3:uid="{32303909-3A99-4CC8-91AB-EEAE62ED9620}" name="Spalte5175"/>
    <tableColumn id="5193" xr3:uid="{919B617C-5ECA-496C-9134-DDB10976BD0B}" name="Spalte5176"/>
    <tableColumn id="5194" xr3:uid="{F709FA10-8DA0-4CD9-AB61-74A5AD9838AE}" name="Spalte5177"/>
    <tableColumn id="5195" xr3:uid="{F88B71E4-BCD4-4E2C-BBD9-8B50D774693C}" name="Spalte5178"/>
    <tableColumn id="5196" xr3:uid="{D0EE7AC9-B49E-4AEE-98ED-A6F53E5516B3}" name="Spalte5179"/>
    <tableColumn id="5197" xr3:uid="{EF235AA2-B4B3-44B9-A78C-E58A16873C85}" name="Spalte5180"/>
    <tableColumn id="5198" xr3:uid="{A2CB0629-007B-44E4-8D55-78EB90C738A3}" name="Spalte5181"/>
    <tableColumn id="5199" xr3:uid="{906EBA41-947C-4157-A36D-EBEDB9CEF32E}" name="Spalte5182"/>
    <tableColumn id="5200" xr3:uid="{351F496D-8CB1-45E6-87EF-95F32215C55B}" name="Spalte5183"/>
    <tableColumn id="5201" xr3:uid="{DAAAD960-92C8-4B01-8ED2-E68CDE3B3961}" name="Spalte5184"/>
    <tableColumn id="5202" xr3:uid="{486C407C-D7B7-4780-AB6C-F171B8B6B58F}" name="Spalte5185"/>
    <tableColumn id="5203" xr3:uid="{B9E797B5-30F0-4781-AE28-65FF78AD19DF}" name="Spalte5186"/>
    <tableColumn id="5204" xr3:uid="{D876A724-A0F7-4DA0-9B4C-D9305923DB60}" name="Spalte5187"/>
    <tableColumn id="5205" xr3:uid="{833EFEBC-8A94-461B-B8FB-613EC067549C}" name="Spalte5188"/>
    <tableColumn id="5206" xr3:uid="{FB58C8EA-4A3C-4153-9847-0FE43C6319D4}" name="Spalte5189"/>
    <tableColumn id="5207" xr3:uid="{C7B0ED2C-A72E-438D-8346-DD3C22B96F3F}" name="Spalte5190"/>
    <tableColumn id="5208" xr3:uid="{B5EC693C-9C3E-4644-9DB3-07C4C04888BC}" name="Spalte5191"/>
    <tableColumn id="5209" xr3:uid="{FF46F85B-97CC-4A03-A47E-C28B94556E0C}" name="Spalte5192"/>
    <tableColumn id="5210" xr3:uid="{C2EEB9DB-3A98-4C5E-B686-BB053F89738E}" name="Spalte5193"/>
    <tableColumn id="5211" xr3:uid="{95836F52-2D88-4134-B4CC-573FFC1D3CE8}" name="Spalte5194"/>
    <tableColumn id="5212" xr3:uid="{BE17AB54-7DA1-4912-AFD2-0A5831D77DD5}" name="Spalte5195"/>
    <tableColumn id="5213" xr3:uid="{01727906-F080-4CDD-BEC9-1FA2E5722D1B}" name="Spalte5196"/>
    <tableColumn id="5214" xr3:uid="{1D50F9A3-C206-4E8B-9FD5-E61BD76E1CA9}" name="Spalte5197"/>
    <tableColumn id="5215" xr3:uid="{7CED1EBC-5C86-42F3-8160-9273CC206924}" name="Spalte5198"/>
    <tableColumn id="5216" xr3:uid="{D3EC11DB-3AA6-4921-9EAC-79CBA30AFE55}" name="Spalte5199"/>
    <tableColumn id="5217" xr3:uid="{3610DA83-5E92-4452-BBC5-07EAE8E8386D}" name="Spalte5200"/>
    <tableColumn id="5218" xr3:uid="{D29E9BA3-F559-45A6-BB29-9CAE7C90D188}" name="Spalte5201"/>
    <tableColumn id="5219" xr3:uid="{2BD4C110-2C5F-4CA9-8E65-EABFB4FAEEE8}" name="Spalte5202"/>
    <tableColumn id="5220" xr3:uid="{427363EE-BA08-4546-8ADD-91E71E2A00E5}" name="Spalte5203"/>
    <tableColumn id="5221" xr3:uid="{1096117B-B537-4B8F-8B8C-243F03C150B4}" name="Spalte5204"/>
    <tableColumn id="5222" xr3:uid="{FC5733AF-77DC-4313-BF87-E7885DF7FDED}" name="Spalte5205"/>
    <tableColumn id="5223" xr3:uid="{6D124512-6CB9-4559-B328-05D660B67811}" name="Spalte5206"/>
    <tableColumn id="5224" xr3:uid="{4A6AADC6-F1ED-40E4-960B-89D04099633E}" name="Spalte5207"/>
    <tableColumn id="5225" xr3:uid="{D4F1C5A5-D5D5-4AF3-998B-33DCD37F09E4}" name="Spalte5208"/>
    <tableColumn id="5226" xr3:uid="{F8C16C14-4609-4F0D-8308-2B44F64CA4F0}" name="Spalte5209"/>
    <tableColumn id="5227" xr3:uid="{57B1EBD5-3513-419E-A533-95C62AED0AF9}" name="Spalte5210"/>
    <tableColumn id="5228" xr3:uid="{6ADDF397-A86A-4FDC-94A9-B226D6DAAD60}" name="Spalte5211"/>
    <tableColumn id="5229" xr3:uid="{CB445DB8-0462-42A3-847D-25928B559FFB}" name="Spalte5212"/>
    <tableColumn id="5230" xr3:uid="{65F182E6-CEF0-427A-91BD-D13432034A46}" name="Spalte5213"/>
    <tableColumn id="5231" xr3:uid="{7DE8C02D-690F-4D31-910B-75E17E45BB2F}" name="Spalte5214"/>
    <tableColumn id="5232" xr3:uid="{52E7737B-C48B-4999-9415-B4DD9DAB0F02}" name="Spalte5215"/>
    <tableColumn id="5233" xr3:uid="{AD3C9FBE-A040-409C-98BA-2D42156AA679}" name="Spalte5216"/>
    <tableColumn id="5234" xr3:uid="{7CA22A1E-265A-4570-8FA3-5ABAB8A01307}" name="Spalte5217"/>
    <tableColumn id="5235" xr3:uid="{5DFD6D64-8EBD-432C-B01E-A995DD966040}" name="Spalte5218"/>
    <tableColumn id="5236" xr3:uid="{14CC04BE-40BD-4E52-B2F3-BE9B118A64B2}" name="Spalte5219"/>
    <tableColumn id="5237" xr3:uid="{7208E7D3-C600-451B-8BF1-4368E72CD27D}" name="Spalte5220"/>
    <tableColumn id="5238" xr3:uid="{2832937D-736D-40CE-8043-D05D38DC965D}" name="Spalte5221"/>
    <tableColumn id="5239" xr3:uid="{5C8AB98A-BD5A-4EB3-B2C1-9803E47A4F00}" name="Spalte5222"/>
    <tableColumn id="5240" xr3:uid="{6C30BBFB-94E7-43B7-975A-562B7F2DEE63}" name="Spalte5223"/>
    <tableColumn id="5241" xr3:uid="{FBD2FCBA-C5B4-4CEF-A7E6-0B1668F96026}" name="Spalte5224"/>
    <tableColumn id="5242" xr3:uid="{1B3E6FCF-CBC3-4518-98B3-3EAB5BB6739B}" name="Spalte5225"/>
    <tableColumn id="5243" xr3:uid="{206C6BB4-D714-49E5-A03A-C881353AA327}" name="Spalte5226"/>
    <tableColumn id="5244" xr3:uid="{D1D4A9A8-4DD8-4D6B-8063-881333F42A52}" name="Spalte5227"/>
    <tableColumn id="5245" xr3:uid="{0A374FDF-7C27-443F-9E27-299C3B7DC984}" name="Spalte5228"/>
    <tableColumn id="5246" xr3:uid="{4BB36F07-01B1-427C-A11C-0D2F65E688D1}" name="Spalte5229"/>
    <tableColumn id="5247" xr3:uid="{2F26E089-CE5E-417E-ABF5-22A6024392DA}" name="Spalte5230"/>
    <tableColumn id="5248" xr3:uid="{39A71685-45FF-4B57-9DDA-8611ADAA4171}" name="Spalte5231"/>
    <tableColumn id="5249" xr3:uid="{B71E63D0-A9CA-488C-AF09-5EE6D5B9C195}" name="Spalte5232"/>
    <tableColumn id="5250" xr3:uid="{3E3D0FEA-E9D1-4A20-8331-BF91C15E3CE6}" name="Spalte5233"/>
    <tableColumn id="5251" xr3:uid="{A12B17AE-C18D-4C9E-B780-D7F89A0F5D35}" name="Spalte5234"/>
    <tableColumn id="5252" xr3:uid="{6C6E29B7-BFD5-4DAB-952F-314F6024EBCC}" name="Spalte5235"/>
    <tableColumn id="5253" xr3:uid="{02AC8F5D-25A0-41D0-BDAE-40B81EF420A4}" name="Spalte5236"/>
    <tableColumn id="5254" xr3:uid="{76CFC2DB-3E0A-4CA4-BA3A-FBF24C96DFF2}" name="Spalte5237"/>
    <tableColumn id="5255" xr3:uid="{38D8A50E-0F72-4BC2-AEE6-22FABC816A9A}" name="Spalte5238"/>
    <tableColumn id="5256" xr3:uid="{0DA1C569-8755-4CE0-9EE8-3D4BB0415A40}" name="Spalte5239"/>
    <tableColumn id="5257" xr3:uid="{D0683C82-FAA1-4FFF-88DA-18823313BCD6}" name="Spalte5240"/>
    <tableColumn id="5258" xr3:uid="{17F234FA-A747-4B19-ADB5-85904B192CF6}" name="Spalte5241"/>
    <tableColumn id="5259" xr3:uid="{09DE69A4-86B3-4F5E-940F-C208D5085BBF}" name="Spalte5242"/>
    <tableColumn id="5260" xr3:uid="{F5897F52-5EC8-4875-83F9-5E6A9BF71622}" name="Spalte5243"/>
    <tableColumn id="5261" xr3:uid="{5DED38FD-B369-4F5A-B8D7-A9421CAB184A}" name="Spalte5244"/>
    <tableColumn id="5262" xr3:uid="{677F8659-0378-4EC6-A01F-F0AA619010CB}" name="Spalte5245"/>
    <tableColumn id="5263" xr3:uid="{93D0FC14-8FA4-4D30-8385-DD9D9BBBD3DD}" name="Spalte5246"/>
    <tableColumn id="5264" xr3:uid="{925DA26F-3B04-4178-9EA0-A7E5DE3FC1B1}" name="Spalte5247"/>
    <tableColumn id="5265" xr3:uid="{A0DDA55E-B17B-4E74-81F1-20D5F98A901A}" name="Spalte5248"/>
    <tableColumn id="5266" xr3:uid="{432B3349-6E88-4AD9-8597-E632AB759EF1}" name="Spalte5249"/>
    <tableColumn id="5267" xr3:uid="{7563253C-418C-48EB-8FAD-4E2CF869EAFD}" name="Spalte5250"/>
    <tableColumn id="5268" xr3:uid="{1C1B7685-E686-4B67-9E68-04295FF6FCF8}" name="Spalte5251"/>
    <tableColumn id="5269" xr3:uid="{F8ECC848-B40D-4E94-9B77-B28C25C50BB4}" name="Spalte5252"/>
    <tableColumn id="5270" xr3:uid="{85E4E1EB-A00E-48D3-A6DF-CE96969015B1}" name="Spalte5253"/>
    <tableColumn id="5271" xr3:uid="{3F27F0E9-8459-4159-B108-2687FE712094}" name="Spalte5254"/>
    <tableColumn id="5272" xr3:uid="{E7ED27F6-8CED-423A-BE7B-08E9F6AE4957}" name="Spalte5255"/>
    <tableColumn id="5273" xr3:uid="{64F4F8D4-FAAC-4FB0-A2C4-E7B481707545}" name="Spalte5256"/>
    <tableColumn id="5274" xr3:uid="{21F606B5-3177-4028-A7B3-1A9154C133CD}" name="Spalte5257"/>
    <tableColumn id="5275" xr3:uid="{56AE5058-4852-4525-B9BF-5839DCEBAD9A}" name="Spalte5258"/>
    <tableColumn id="5276" xr3:uid="{8BB089ED-B98B-481F-A1EE-94CCFD99CE3C}" name="Spalte5259"/>
    <tableColumn id="5277" xr3:uid="{352C5203-D670-4F78-9EC4-35326C3B1E01}" name="Spalte5260"/>
    <tableColumn id="5278" xr3:uid="{AB51FF89-5423-4776-979D-4F75B1A8BDBA}" name="Spalte5261"/>
    <tableColumn id="5279" xr3:uid="{00BD86CA-8D28-424A-B72A-9CCB4B66A052}" name="Spalte5262"/>
    <tableColumn id="5280" xr3:uid="{F63DBE24-1B9A-425A-9C66-6BC2A467881F}" name="Spalte5263"/>
    <tableColumn id="5281" xr3:uid="{7BAF6B69-A04B-43EC-89AF-97718153B7F8}" name="Spalte5264"/>
    <tableColumn id="5282" xr3:uid="{AED8DD92-8010-4E4D-9119-D2995DA1D1D8}" name="Spalte5265"/>
    <tableColumn id="5283" xr3:uid="{AC2B25A5-4002-4161-BFED-A4BD4936A0B4}" name="Spalte5266"/>
    <tableColumn id="5284" xr3:uid="{53B27845-1344-4189-BA04-EF08C088E357}" name="Spalte5267"/>
    <tableColumn id="5285" xr3:uid="{30211DB4-553A-4DF5-816F-040FA86B3DDA}" name="Spalte5268"/>
    <tableColumn id="5286" xr3:uid="{1730853B-D189-40D9-8855-E9AACA812FBD}" name="Spalte5269"/>
    <tableColumn id="5287" xr3:uid="{E38E446E-8080-4E20-971D-DDEE97842BB4}" name="Spalte5270"/>
    <tableColumn id="5288" xr3:uid="{9968A7F3-3414-4CFB-A84C-F8A7D441BFCA}" name="Spalte5271"/>
    <tableColumn id="5289" xr3:uid="{115A0283-050E-4296-90EF-92A86054FEE9}" name="Spalte5272"/>
    <tableColumn id="5290" xr3:uid="{C5341C63-599D-4C20-8E3C-4D2860B098E7}" name="Spalte5273"/>
    <tableColumn id="5291" xr3:uid="{0FCCCBBE-A4EA-4F74-A894-F205BBE29915}" name="Spalte5274"/>
    <tableColumn id="5292" xr3:uid="{A709D5FE-2B09-42A1-A8DB-51EB80D7F6A4}" name="Spalte5275"/>
    <tableColumn id="5293" xr3:uid="{8C59C4E9-6305-4CBB-BEE7-5DDD5D48C30D}" name="Spalte5276"/>
    <tableColumn id="5294" xr3:uid="{B282FE86-3048-4F0F-BDF6-8FB9D5BE1DF3}" name="Spalte5277"/>
    <tableColumn id="5295" xr3:uid="{0A5839BF-080E-42C9-BF53-C707F6CFCBEE}" name="Spalte5278"/>
    <tableColumn id="5296" xr3:uid="{9B9D7D47-2281-4A1D-BF34-814EAC449A2B}" name="Spalte5279"/>
    <tableColumn id="5297" xr3:uid="{1E6BCB88-BF8C-42F4-900F-BDA46FBA6702}" name="Spalte5280"/>
    <tableColumn id="5298" xr3:uid="{DEE6C54D-16D0-4323-B227-D554B7044DE9}" name="Spalte5281"/>
    <tableColumn id="5299" xr3:uid="{BC2E1D55-6F26-41A2-8263-63F8AC624A9A}" name="Spalte5282"/>
    <tableColumn id="5300" xr3:uid="{AECAE128-1788-472C-9340-99A0D9504C6C}" name="Spalte5283"/>
    <tableColumn id="5301" xr3:uid="{52C2F9CC-35BF-4038-BF56-1BAC728922A6}" name="Spalte5284"/>
    <tableColumn id="5302" xr3:uid="{A79EC7F2-4610-4901-AE53-B308D8ABFDBE}" name="Spalte5285"/>
    <tableColumn id="5303" xr3:uid="{4FF29580-5CF4-4C29-8BFB-EE9D3A3E5BB2}" name="Spalte5286"/>
    <tableColumn id="5304" xr3:uid="{C4819C7A-295F-4151-9374-F769B816FA04}" name="Spalte5287"/>
    <tableColumn id="5305" xr3:uid="{3EF87084-9FD4-4430-A7CB-841E92F34710}" name="Spalte5288"/>
    <tableColumn id="5306" xr3:uid="{E612ADCB-F126-432B-9C85-836BF95E9FD6}" name="Spalte5289"/>
    <tableColumn id="5307" xr3:uid="{4D33C7C5-CB45-418C-8A35-838DABF6AADA}" name="Spalte5290"/>
    <tableColumn id="5308" xr3:uid="{28AFB01B-3E32-40C9-B3C5-E7AE73B07F29}" name="Spalte5291"/>
    <tableColumn id="5309" xr3:uid="{0476789E-A1C9-4F85-BD79-4233CF792A22}" name="Spalte5292"/>
    <tableColumn id="5310" xr3:uid="{FA5116E3-2883-44D4-8252-EBE11C0A6AAF}" name="Spalte5293"/>
    <tableColumn id="5311" xr3:uid="{99B5C8AF-ED2C-4141-AE9F-A75BAB63D213}" name="Spalte5294"/>
    <tableColumn id="5312" xr3:uid="{F270B033-65B8-49AA-8F82-E2B3E0391FF6}" name="Spalte5295"/>
    <tableColumn id="5313" xr3:uid="{6645E9F5-7666-4C2C-B0E0-93E4BAC6487B}" name="Spalte5296"/>
    <tableColumn id="5314" xr3:uid="{02C8AA4B-7038-46EB-A8C8-0214EF217110}" name="Spalte5297"/>
    <tableColumn id="5315" xr3:uid="{F3A0A18F-AC20-452E-9E44-07FB514C5267}" name="Spalte5298"/>
    <tableColumn id="5316" xr3:uid="{2D43BD26-FE1E-4C5D-81F8-57DD10D72763}" name="Spalte5299"/>
    <tableColumn id="5317" xr3:uid="{1B25822F-B832-4705-8349-2720E449421D}" name="Spalte5300"/>
    <tableColumn id="5318" xr3:uid="{196EB586-1E65-46A3-B645-1E8E477538C6}" name="Spalte5301"/>
    <tableColumn id="5319" xr3:uid="{73907238-366A-43E4-AB2E-86E958B80F92}" name="Spalte5302"/>
    <tableColumn id="5320" xr3:uid="{884FD916-E15C-447A-BCF7-380601C18F94}" name="Spalte5303"/>
    <tableColumn id="5321" xr3:uid="{DD83FF0A-6B63-4F90-AD13-7186716CA375}" name="Spalte5304"/>
    <tableColumn id="5322" xr3:uid="{262FA53B-FCF2-4BEF-A8D0-DF04B3D492B7}" name="Spalte5305"/>
    <tableColumn id="5323" xr3:uid="{BC23E636-AB83-421B-997A-6F6CA803959D}" name="Spalte5306"/>
    <tableColumn id="5324" xr3:uid="{2C9310AF-B666-42E0-AFDB-43ECF2433551}" name="Spalte5307"/>
    <tableColumn id="5325" xr3:uid="{FBAC5E0A-603A-48DA-816E-77A938D9E024}" name="Spalte5308"/>
    <tableColumn id="5326" xr3:uid="{0D83F0C3-BFF3-4E5A-9948-6DD2B327DA28}" name="Spalte5309"/>
    <tableColumn id="5327" xr3:uid="{BDA78206-C1A8-4AFF-9C54-608102F85B3E}" name="Spalte5310"/>
    <tableColumn id="5328" xr3:uid="{B09AB8F0-0393-49BF-9A10-2140182B99C6}" name="Spalte5311"/>
    <tableColumn id="5329" xr3:uid="{E5A97CB3-AFD6-4184-9FE4-0C55F3587A96}" name="Spalte5312"/>
    <tableColumn id="5330" xr3:uid="{34842BF4-83AD-4191-B1EF-CF40A91CDDE3}" name="Spalte5313"/>
    <tableColumn id="5331" xr3:uid="{E564774F-5772-4AF7-9D69-F2B24D4E8A0E}" name="Spalte5314"/>
    <tableColumn id="5332" xr3:uid="{ECDA3691-DC5F-469D-BC50-BAADBC27A4D9}" name="Spalte5315"/>
    <tableColumn id="5333" xr3:uid="{7A7CD1FD-A3D3-457C-8FA8-C24A3F759E01}" name="Spalte5316"/>
    <tableColumn id="5334" xr3:uid="{05755AB3-6A90-4423-917B-7F8C3FA2C45A}" name="Spalte5317"/>
    <tableColumn id="5335" xr3:uid="{F1B7406B-2893-4DB3-A82A-49356FBAEB3A}" name="Spalte5318"/>
    <tableColumn id="5336" xr3:uid="{51912F81-C3A0-4965-8FCB-91443E0C9D16}" name="Spalte5319"/>
    <tableColumn id="5337" xr3:uid="{71F5222F-9071-4259-B524-7F437467F67E}" name="Spalte5320"/>
    <tableColumn id="5338" xr3:uid="{D3B3E7F0-F580-44C5-92C0-7626FDD9BA0B}" name="Spalte5321"/>
    <tableColumn id="5339" xr3:uid="{17FB7016-D29D-4310-86D5-AAB1090A395B}" name="Spalte5322"/>
    <tableColumn id="5340" xr3:uid="{7F4EE3B1-28A5-445A-BC2A-CFC0DB8822A1}" name="Spalte5323"/>
    <tableColumn id="5341" xr3:uid="{64213A81-6B1A-4F03-8940-27F72D6B2B60}" name="Spalte5324"/>
    <tableColumn id="5342" xr3:uid="{2DE8C69E-BA80-4ACB-9CB5-964D70618434}" name="Spalte5325"/>
    <tableColumn id="5343" xr3:uid="{68947462-7716-43FA-A3D7-058DA69B2E37}" name="Spalte5326"/>
    <tableColumn id="5344" xr3:uid="{1D0F9928-5F4F-479F-B36C-0DB9A091E52C}" name="Spalte5327"/>
    <tableColumn id="5345" xr3:uid="{77EFFF74-8F06-4CF0-8C35-025C3CC54CF7}" name="Spalte5328"/>
    <tableColumn id="5346" xr3:uid="{7DED870A-2689-463A-B459-58C2FF212B36}" name="Spalte5329"/>
    <tableColumn id="5347" xr3:uid="{CAB0E2ED-F01B-4094-B96E-56B3C2DA5E26}" name="Spalte5330"/>
    <tableColumn id="5348" xr3:uid="{1C575DEA-E9A2-4AE9-B023-2F3412E2FC10}" name="Spalte5331"/>
    <tableColumn id="5349" xr3:uid="{F19586C3-C94D-4AAE-99DB-596545A8D175}" name="Spalte5332"/>
    <tableColumn id="5350" xr3:uid="{3A3396A4-0A69-41CC-8650-A1AED23BAFC1}" name="Spalte5333"/>
    <tableColumn id="5351" xr3:uid="{A5455935-027C-432A-AB01-2E1C61B644B2}" name="Spalte5334"/>
    <tableColumn id="5352" xr3:uid="{30B0724D-A5F8-4E1E-A4F9-7650BF57775D}" name="Spalte5335"/>
    <tableColumn id="5353" xr3:uid="{D393BF19-32CC-4F62-8988-42EE8D47ED14}" name="Spalte5336"/>
    <tableColumn id="5354" xr3:uid="{E52E2CA7-BE86-45E4-8B37-CCDB12043B3F}" name="Spalte5337"/>
    <tableColumn id="5355" xr3:uid="{52AB7A92-48FC-4E07-980C-69A0ABCE0735}" name="Spalte5338"/>
    <tableColumn id="5356" xr3:uid="{4F495851-9F2E-471F-8307-9646B1025D42}" name="Spalte5339"/>
    <tableColumn id="5357" xr3:uid="{DD685AE4-D0DC-4529-B3D7-BF9EBC9EFA21}" name="Spalte5340"/>
    <tableColumn id="5358" xr3:uid="{E22025B0-B425-477F-86B8-628A024A7F85}" name="Spalte5341"/>
    <tableColumn id="5359" xr3:uid="{FDF0F03D-623D-499E-9D54-CE1479E0792E}" name="Spalte5342"/>
    <tableColumn id="5360" xr3:uid="{8A0C4BDC-1319-439E-83FB-A669BAE08918}" name="Spalte5343"/>
    <tableColumn id="5361" xr3:uid="{A63F1B43-A581-4479-807C-274B069A9519}" name="Spalte5344"/>
    <tableColumn id="5362" xr3:uid="{F64EF5EB-515F-4E42-865B-64BEE118C33F}" name="Spalte5345"/>
    <tableColumn id="5363" xr3:uid="{FC955426-6438-4C56-82BE-92CE2CD38098}" name="Spalte5346"/>
    <tableColumn id="5364" xr3:uid="{2919FAD5-01F5-49B0-B2A1-7DAD6EE0CC32}" name="Spalte5347"/>
    <tableColumn id="5365" xr3:uid="{D5DD6E37-7B83-482E-90CE-8262C6E08EDB}" name="Spalte5348"/>
    <tableColumn id="5366" xr3:uid="{5FA09438-ACBC-41EB-BC8F-1A1EE86D229F}" name="Spalte5349"/>
    <tableColumn id="5367" xr3:uid="{19793CB5-A342-4230-B8B8-247C535B865B}" name="Spalte5350"/>
    <tableColumn id="5368" xr3:uid="{7F778373-43B4-4834-BCC8-3C3E833902BB}" name="Spalte5351"/>
    <tableColumn id="5369" xr3:uid="{BE6B0224-7EBB-47DC-95B3-84BCC7830359}" name="Spalte5352"/>
    <tableColumn id="5370" xr3:uid="{2262C518-9DB7-427D-9267-D97D921B37B0}" name="Spalte5353"/>
    <tableColumn id="5371" xr3:uid="{AF7C7B5A-9AFB-4739-AEE2-5E6BA58161AC}" name="Spalte5354"/>
    <tableColumn id="5372" xr3:uid="{DDD6431F-83BB-4E1B-A4C6-498F9C7C5BC6}" name="Spalte5355"/>
    <tableColumn id="5373" xr3:uid="{3622929D-A54B-43C7-AD46-918F81C763AC}" name="Spalte5356"/>
    <tableColumn id="5374" xr3:uid="{807B51DE-783F-43B4-BA00-7EB9F6864A94}" name="Spalte5357"/>
    <tableColumn id="5375" xr3:uid="{3D35F917-E414-490E-A67E-92BD2709FDEE}" name="Spalte5358"/>
    <tableColumn id="5376" xr3:uid="{C3162990-F42B-44F3-85A2-50421E3088E4}" name="Spalte5359"/>
    <tableColumn id="5377" xr3:uid="{3A74572A-899A-4E52-B9AC-FFCD20D39FA8}" name="Spalte5360"/>
    <tableColumn id="5378" xr3:uid="{007A3D0B-BC68-44C4-969C-424A121C7904}" name="Spalte5361"/>
    <tableColumn id="5379" xr3:uid="{B231A813-9B95-40D0-9497-364F1CD712C4}" name="Spalte5362"/>
    <tableColumn id="5380" xr3:uid="{6184E09A-13BE-48A0-BB96-6603AB7E5415}" name="Spalte5363"/>
    <tableColumn id="5381" xr3:uid="{15F9C1B4-7FFF-4B9B-82C8-F3BBFDA0CE92}" name="Spalte5364"/>
    <tableColumn id="5382" xr3:uid="{682F5AC6-EB30-4D1E-8A3E-CD65645E8086}" name="Spalte5365"/>
    <tableColumn id="5383" xr3:uid="{61876D08-E6C3-42F8-BBE8-02FFA63C779E}" name="Spalte5366"/>
    <tableColumn id="5384" xr3:uid="{E12066FC-9AFC-40AF-8E26-B44923CF9063}" name="Spalte5367"/>
    <tableColumn id="5385" xr3:uid="{77B6BF66-9802-40D3-84ED-E4B7E29DD139}" name="Spalte5368"/>
    <tableColumn id="5386" xr3:uid="{CFD161A7-0D1A-451E-A4D7-A2B979720ED4}" name="Spalte5369"/>
    <tableColumn id="5387" xr3:uid="{87D13638-A83B-497E-B551-D0089482ED43}" name="Spalte5370"/>
    <tableColumn id="5388" xr3:uid="{24D68A5E-94BF-4961-9F8A-8B3190C34AA5}" name="Spalte5371"/>
    <tableColumn id="5389" xr3:uid="{C85926EA-CA71-4B77-A6B1-F92992FACDFD}" name="Spalte5372"/>
    <tableColumn id="5390" xr3:uid="{550189D7-92F9-4640-BCAA-284AB062F652}" name="Spalte5373"/>
    <tableColumn id="5391" xr3:uid="{43634E38-9567-4854-B337-1681B1823C8C}" name="Spalte5374"/>
    <tableColumn id="5392" xr3:uid="{E4A232E8-8177-4D91-A5B1-42A04C5BA103}" name="Spalte5375"/>
    <tableColumn id="5393" xr3:uid="{F485DA29-3928-4995-BE3C-EF64F80F44C3}" name="Spalte5376"/>
    <tableColumn id="5394" xr3:uid="{EE661C74-8444-4D36-9A92-9609076DE051}" name="Spalte5377"/>
    <tableColumn id="5395" xr3:uid="{987474E3-6ACD-40A9-BE16-29860D7B57A3}" name="Spalte5378"/>
    <tableColumn id="5396" xr3:uid="{6CD4E142-1EB4-437E-8FE0-990012A49574}" name="Spalte5379"/>
    <tableColumn id="5397" xr3:uid="{FC44642C-F327-44A9-A0D6-1A47E9F5218B}" name="Spalte5380"/>
    <tableColumn id="5398" xr3:uid="{4E45EADB-4875-4EFC-902B-B7E3419BEADB}" name="Spalte5381"/>
    <tableColumn id="5399" xr3:uid="{737B5006-2B6A-4475-BEF5-520A7FD63D4E}" name="Spalte5382"/>
    <tableColumn id="5400" xr3:uid="{DA65B433-580F-4AF5-988E-838E222A5863}" name="Spalte5383"/>
    <tableColumn id="5401" xr3:uid="{DEFB7717-C1CD-46E6-9237-0C91519AF8E9}" name="Spalte5384"/>
    <tableColumn id="5402" xr3:uid="{2394EB22-7A76-4087-86A5-22A066D13828}" name="Spalte5385"/>
    <tableColumn id="5403" xr3:uid="{BEB483C0-EADE-4ED3-82A3-47719C0E9C9F}" name="Spalte5386"/>
    <tableColumn id="5404" xr3:uid="{B96B8C91-0082-4D10-B637-64C39CACD157}" name="Spalte5387"/>
    <tableColumn id="5405" xr3:uid="{8D649C24-C3CE-4087-8E53-A2E776A91BC9}" name="Spalte5388"/>
    <tableColumn id="5406" xr3:uid="{87873626-1C3E-41DF-8CEC-E53CEB7BE328}" name="Spalte5389"/>
    <tableColumn id="5407" xr3:uid="{DC11D69A-0831-41F6-9699-62719706BB99}" name="Spalte5390"/>
    <tableColumn id="5408" xr3:uid="{243A1170-D6F1-4A61-AD8F-C2FB1B262587}" name="Spalte5391"/>
    <tableColumn id="5409" xr3:uid="{29CAA629-2AEB-4CD8-BD6A-E32D094F3DE4}" name="Spalte5392"/>
    <tableColumn id="5410" xr3:uid="{E8EA4D2F-3ED8-4360-AD23-57EB75F297A9}" name="Spalte5393"/>
    <tableColumn id="5411" xr3:uid="{C0553A0A-9F3B-4921-A1BF-FCBF9CA34495}" name="Spalte5394"/>
    <tableColumn id="5412" xr3:uid="{D71D3551-23BF-4D48-86AB-6DA8E9E46A94}" name="Spalte5395"/>
    <tableColumn id="5413" xr3:uid="{05CBB873-4005-400E-94E9-7BBE5FCA41AA}" name="Spalte5396"/>
    <tableColumn id="5414" xr3:uid="{A1E25D51-82A7-4696-AB87-CC2F6453400A}" name="Spalte5397"/>
    <tableColumn id="5415" xr3:uid="{F41DA8C3-C13C-4AF9-8158-11B3286BFE71}" name="Spalte5398"/>
    <tableColumn id="5416" xr3:uid="{8CD70709-5DA0-4798-BDC1-E5216557F600}" name="Spalte5399"/>
    <tableColumn id="5417" xr3:uid="{AED68DB5-21FF-4098-BF17-1351CA17450F}" name="Spalte5400"/>
    <tableColumn id="5418" xr3:uid="{52AE4835-F25B-4E0F-B740-716F1CCFB22E}" name="Spalte5401"/>
    <tableColumn id="5419" xr3:uid="{23015E0F-4DB9-408B-BB35-6FBBA1918132}" name="Spalte5402"/>
    <tableColumn id="5420" xr3:uid="{E4F2890E-EDB2-4EED-975E-4FA463F1B1F0}" name="Spalte5403"/>
    <tableColumn id="5421" xr3:uid="{684EC190-588C-48E8-AD21-5162AB472839}" name="Spalte5404"/>
    <tableColumn id="5422" xr3:uid="{1FFA7819-C5FF-4457-BB3B-15BBAAF0F0CE}" name="Spalte5405"/>
    <tableColumn id="5423" xr3:uid="{A4BD384C-12C1-4028-9F78-607722AD9F38}" name="Spalte5406"/>
    <tableColumn id="5424" xr3:uid="{8D935DB3-553C-4411-A032-22255228F732}" name="Spalte5407"/>
    <tableColumn id="5425" xr3:uid="{924F8F76-843A-447C-8D23-1D57DB33FB02}" name="Spalte5408"/>
    <tableColumn id="5426" xr3:uid="{ECC0E6B8-9CD1-4BAB-A2E4-245E010D6CC5}" name="Spalte5409"/>
    <tableColumn id="5427" xr3:uid="{A9B66B3B-300E-4BEB-A92B-79D2DA123CEE}" name="Spalte5410"/>
    <tableColumn id="5428" xr3:uid="{8E880AC9-8391-4932-81EF-E7FA2F79F950}" name="Spalte5411"/>
    <tableColumn id="5429" xr3:uid="{DC798C0D-F92E-41DA-87FD-E9E1EDA49A6B}" name="Spalte5412"/>
    <tableColumn id="5430" xr3:uid="{16F851C6-0970-4118-9C41-F91C45AD1A4D}" name="Spalte5413"/>
    <tableColumn id="5431" xr3:uid="{A25A6B36-2D35-498C-94B5-5966F7069112}" name="Spalte5414"/>
    <tableColumn id="5432" xr3:uid="{0E221434-DD7F-4FE8-8A0D-43375EEC8392}" name="Spalte5415"/>
    <tableColumn id="5433" xr3:uid="{D52BB6C7-0A93-4702-B087-BF46576210C4}" name="Spalte5416"/>
    <tableColumn id="5434" xr3:uid="{AB032D08-2A65-4CA5-91E5-79A8993E8982}" name="Spalte5417"/>
    <tableColumn id="5435" xr3:uid="{661FA138-8A7F-4CDB-8208-6F18F737C182}" name="Spalte5418"/>
    <tableColumn id="5436" xr3:uid="{22EAA95D-3B67-47F8-81D0-1E0CB0B69520}" name="Spalte5419"/>
    <tableColumn id="5437" xr3:uid="{8ED6A6D6-D37D-4C53-A14A-1358DCBD1D96}" name="Spalte5420"/>
    <tableColumn id="5438" xr3:uid="{9C6C5988-5AE8-400F-BAA0-DE9E74EA7DC2}" name="Spalte5421"/>
    <tableColumn id="5439" xr3:uid="{1234FD19-FCEE-40B3-B498-D1D34EE9B251}" name="Spalte5422"/>
    <tableColumn id="5440" xr3:uid="{23EA613D-94BF-4B04-94BC-7DE5D4DA46F8}" name="Spalte5423"/>
    <tableColumn id="5441" xr3:uid="{AB5BF5D1-3558-4CD3-95BA-F6302D1943F1}" name="Spalte5424"/>
    <tableColumn id="5442" xr3:uid="{027D918A-835C-4158-9143-94DF302B0631}" name="Spalte5425"/>
    <tableColumn id="5443" xr3:uid="{CC29204E-49BA-4155-894C-281108ECB103}" name="Spalte5426"/>
    <tableColumn id="5444" xr3:uid="{C18A7DB5-5F6B-41F9-8F69-76DE8FB2510E}" name="Spalte5427"/>
    <tableColumn id="5445" xr3:uid="{CBFC4148-7084-4A42-B584-14DD98D86110}" name="Spalte5428"/>
    <tableColumn id="5446" xr3:uid="{B597D729-5771-4DBB-B966-EFF865117F02}" name="Spalte5429"/>
    <tableColumn id="5447" xr3:uid="{971D3275-797A-4958-89F3-52EFA359B4FC}" name="Spalte5430"/>
    <tableColumn id="5448" xr3:uid="{0D1D67DA-8903-49AA-8FB4-90A671DFB9EC}" name="Spalte5431"/>
    <tableColumn id="5449" xr3:uid="{A190A58F-4EBB-4C0C-868C-795501215EB6}" name="Spalte5432"/>
    <tableColumn id="5450" xr3:uid="{D2D4AECD-974C-423A-A95C-8CCF7002A42F}" name="Spalte5433"/>
    <tableColumn id="5451" xr3:uid="{7C7DC347-C0C0-4995-B9E0-E14DD697F988}" name="Spalte5434"/>
    <tableColumn id="5452" xr3:uid="{D3B63D48-0449-4C08-9A63-CD2A8314543B}" name="Spalte5435"/>
    <tableColumn id="5453" xr3:uid="{1F2AA515-EE92-4371-9655-D2CCAEA2F9BD}" name="Spalte5436"/>
    <tableColumn id="5454" xr3:uid="{771438F9-A09C-4933-BD7B-414CA75E76DA}" name="Spalte5437"/>
    <tableColumn id="5455" xr3:uid="{2CDE6F66-E3A7-4F16-BD96-B4F9207CB697}" name="Spalte5438"/>
    <tableColumn id="5456" xr3:uid="{8D790219-7865-40A9-AE64-29F95E6D69DD}" name="Spalte5439"/>
    <tableColumn id="5457" xr3:uid="{FA4E7EF9-9130-4208-84F9-2C2AF199A65E}" name="Spalte5440"/>
    <tableColumn id="5458" xr3:uid="{343ED231-F06B-4ED6-ACBC-0CEFB6795AD1}" name="Spalte5441"/>
    <tableColumn id="5459" xr3:uid="{12ECA9C5-F93D-454D-A774-02E7E46E423D}" name="Spalte5442"/>
    <tableColumn id="5460" xr3:uid="{8A0D1C30-8002-48E0-ACCD-2854E4DDA770}" name="Spalte5443"/>
    <tableColumn id="5461" xr3:uid="{F50458D0-5729-4810-B91E-A18F226F3C04}" name="Spalte5444"/>
    <tableColumn id="5462" xr3:uid="{84D5FCAD-27ED-44BF-A214-8F7324651008}" name="Spalte5445"/>
    <tableColumn id="5463" xr3:uid="{FDDECA43-5C70-4C0B-9130-F9461AE89E2B}" name="Spalte5446"/>
    <tableColumn id="5464" xr3:uid="{33A240F0-26C8-49DE-A93E-862D8381F2B9}" name="Spalte5447"/>
    <tableColumn id="5465" xr3:uid="{B583276F-D395-4AFC-9678-682C01239896}" name="Spalte5448"/>
    <tableColumn id="5466" xr3:uid="{46515B96-6F94-447B-BA5B-D438C875B60A}" name="Spalte5449"/>
    <tableColumn id="5467" xr3:uid="{6950A2A8-BC64-4584-8538-EBA0B1A210B2}" name="Spalte5450"/>
    <tableColumn id="5468" xr3:uid="{499325A5-66CD-4C7C-9542-07DA8D5BF62E}" name="Spalte5451"/>
    <tableColumn id="5469" xr3:uid="{5E7EEC90-B92F-49E4-88A9-EA8E75CC067F}" name="Spalte5452"/>
    <tableColumn id="5470" xr3:uid="{1C15BAEE-61AC-43C6-9C03-B3399E17C5CA}" name="Spalte5453"/>
    <tableColumn id="5471" xr3:uid="{57DA2562-41EF-44AF-A910-AAFF6EB2EBD4}" name="Spalte5454"/>
    <tableColumn id="5472" xr3:uid="{15B6B767-0BD5-4FA2-921E-3331BBB2E44D}" name="Spalte5455"/>
    <tableColumn id="5473" xr3:uid="{5BF9EC3A-1D4E-4495-9024-BFE293DCC1CA}" name="Spalte5456"/>
    <tableColumn id="5474" xr3:uid="{5A05E340-04D2-4EE0-A6FD-AF86F7E79F9D}" name="Spalte5457"/>
    <tableColumn id="5475" xr3:uid="{A5265ADE-FFD4-4102-B40F-EBF92927FD8A}" name="Spalte5458"/>
    <tableColumn id="5476" xr3:uid="{7D4422E2-2B50-4563-822B-74D68418F0D6}" name="Spalte5459"/>
    <tableColumn id="5477" xr3:uid="{96A900D1-C2DD-4A69-9A0A-FF3B7621137E}" name="Spalte5460"/>
    <tableColumn id="5478" xr3:uid="{412617E2-B2AD-445A-8C4E-BE61ECABA6D8}" name="Spalte5461"/>
    <tableColumn id="5479" xr3:uid="{78301CFE-8980-4836-BA2B-837B1F3A5C66}" name="Spalte5462"/>
    <tableColumn id="5480" xr3:uid="{1E4AA4D2-EC4E-41D0-9E86-3824A4F16864}" name="Spalte5463"/>
    <tableColumn id="5481" xr3:uid="{FD736B39-9D89-49A4-926A-49B657797008}" name="Spalte5464"/>
    <tableColumn id="5482" xr3:uid="{8FF9659B-2832-46EB-94D5-27CD2DD5C37A}" name="Spalte5465"/>
    <tableColumn id="5483" xr3:uid="{D48B1959-9A20-4E06-9DC3-987E5A7807E8}" name="Spalte5466"/>
    <tableColumn id="5484" xr3:uid="{F7A62795-CA77-4416-8589-74F3AE43BB6D}" name="Spalte5467"/>
    <tableColumn id="5485" xr3:uid="{6351D3FE-4EFA-44A8-8687-788EC80B3560}" name="Spalte5468"/>
    <tableColumn id="5486" xr3:uid="{6A357D64-CA3C-409C-82A9-78F48BA6BE03}" name="Spalte5469"/>
    <tableColumn id="5487" xr3:uid="{6E9D53D5-3814-4F12-9D43-F02736FE74F7}" name="Spalte5470"/>
    <tableColumn id="5488" xr3:uid="{BB831C98-01C5-4732-8834-84A308EB61AF}" name="Spalte5471"/>
    <tableColumn id="5489" xr3:uid="{CE18149F-BEFA-4865-B79F-1FFDA3642CCF}" name="Spalte5472"/>
    <tableColumn id="5490" xr3:uid="{B015AD99-90C6-4074-8371-42A9117F889B}" name="Spalte5473"/>
    <tableColumn id="5491" xr3:uid="{56429A1B-E8A8-43E0-B4E4-4B0F6EB725BD}" name="Spalte5474"/>
    <tableColumn id="5492" xr3:uid="{B9BA237A-0C9F-4AAC-AF94-049CC02F62BD}" name="Spalte5475"/>
    <tableColumn id="5493" xr3:uid="{C11A3C57-0B66-44FB-8A6E-8688CE1E2597}" name="Spalte5476"/>
    <tableColumn id="5494" xr3:uid="{132DC08A-A99F-4312-9891-A28C83FD96CF}" name="Spalte5477"/>
    <tableColumn id="5495" xr3:uid="{A201033B-ACA2-41A0-91A1-7984A21759AD}" name="Spalte5478"/>
    <tableColumn id="5496" xr3:uid="{603FB39D-3AF7-4AE2-B159-5EDDC910BA4E}" name="Spalte5479"/>
    <tableColumn id="5497" xr3:uid="{75031A4E-3F01-4FCF-9D8F-8DD76DEFDC4B}" name="Spalte5480"/>
    <tableColumn id="5498" xr3:uid="{CC29F881-2068-4836-923E-384686925FEC}" name="Spalte5481"/>
    <tableColumn id="5499" xr3:uid="{E1AE8167-9C79-4D7E-AEC8-AA2902577724}" name="Spalte5482"/>
    <tableColumn id="5500" xr3:uid="{CF572E60-EC0A-4F17-B1FF-61252646F253}" name="Spalte5483"/>
    <tableColumn id="5501" xr3:uid="{79887C6E-E15D-4476-9045-4A071D72884A}" name="Spalte5484"/>
    <tableColumn id="5502" xr3:uid="{E0272247-C137-4F5E-8128-162840330835}" name="Spalte5485"/>
    <tableColumn id="5503" xr3:uid="{1BBEB4E4-30E2-4E05-B938-ADFCA61B7E00}" name="Spalte5486"/>
    <tableColumn id="5504" xr3:uid="{4917037E-49A8-4345-AC21-F9B392FFDA0B}" name="Spalte5487"/>
    <tableColumn id="5505" xr3:uid="{DD7DB24C-F4B3-4F64-B325-9D59994E6234}" name="Spalte5488"/>
    <tableColumn id="5506" xr3:uid="{8F4A9639-F99B-4FE6-B6E2-EB69D7C5CA41}" name="Spalte5489"/>
    <tableColumn id="5507" xr3:uid="{2C03179F-6925-40B3-A1E7-8E95A2AD35AF}" name="Spalte5490"/>
    <tableColumn id="5508" xr3:uid="{60A1D2F0-2D8B-49BC-BCA9-F641DCB3A415}" name="Spalte5491"/>
    <tableColumn id="5509" xr3:uid="{825A0C64-7672-4918-A160-0BB821F6AFB3}" name="Spalte5492"/>
    <tableColumn id="5510" xr3:uid="{FF1844AD-A6D5-4B5D-836C-9D23F0A4DDDD}" name="Spalte5493"/>
    <tableColumn id="5511" xr3:uid="{8EC9B87B-AD66-4DF7-8EDF-343652E39296}" name="Spalte5494"/>
    <tableColumn id="5512" xr3:uid="{7CAC01BC-46F6-4249-8F6C-9D7A86A8445D}" name="Spalte5495"/>
    <tableColumn id="5513" xr3:uid="{5734308C-8AD6-49FB-9BDD-56765A9DFC2E}" name="Spalte5496"/>
    <tableColumn id="5514" xr3:uid="{1F1D677D-E1AA-4813-879F-72D8CCC60DFA}" name="Spalte5497"/>
    <tableColumn id="5515" xr3:uid="{711301AC-BB57-43F0-8B29-1F2F39A328BA}" name="Spalte5498"/>
    <tableColumn id="5516" xr3:uid="{32A37556-D6F1-45E6-9B76-0B54E7CB1A34}" name="Spalte5499"/>
    <tableColumn id="5517" xr3:uid="{E2D56596-8C19-43C3-A9D2-505FF0C906A4}" name="Spalte5500"/>
    <tableColumn id="5518" xr3:uid="{3A5A4EEE-FEB4-4F70-B53A-7A7445DCB7BA}" name="Spalte5501"/>
    <tableColumn id="5519" xr3:uid="{A948B109-438F-4EC2-AFE5-8B878260F4DE}" name="Spalte5502"/>
    <tableColumn id="5520" xr3:uid="{6687C3E7-DF2A-41BE-AB52-E82A53B79D1D}" name="Spalte5503"/>
    <tableColumn id="5521" xr3:uid="{9C825828-2562-46E8-80B8-537066EE9566}" name="Spalte5504"/>
    <tableColumn id="5522" xr3:uid="{C3A2EBFA-D599-4995-B804-7211A791E0AC}" name="Spalte5505"/>
    <tableColumn id="5523" xr3:uid="{671261CE-4597-4259-A633-0A8C9AB2A002}" name="Spalte5506"/>
    <tableColumn id="5524" xr3:uid="{BDC419C0-23E9-4BFE-87C9-87D32F2144A3}" name="Spalte5507"/>
    <tableColumn id="5525" xr3:uid="{48C46BA1-B87B-4F65-91CE-0488AD3849C0}" name="Spalte5508"/>
    <tableColumn id="5526" xr3:uid="{BF087DB9-B954-489D-BA4D-1E9BF0F86CFF}" name="Spalte5509"/>
    <tableColumn id="5527" xr3:uid="{5E31F0A4-A7AC-421C-A8C2-FA96D8876773}" name="Spalte5510"/>
    <tableColumn id="5528" xr3:uid="{69F2F6C9-15C1-46C6-990E-5F7F68BB05A4}" name="Spalte5511"/>
    <tableColumn id="5529" xr3:uid="{1FCB1BF3-391A-40BC-90BA-127D314719D7}" name="Spalte5512"/>
    <tableColumn id="5530" xr3:uid="{F17D00A6-F42F-4392-9C8A-251B30E1D8DF}" name="Spalte5513"/>
    <tableColumn id="5531" xr3:uid="{CEDD7F42-82C4-49BD-916F-6E7372FF01F0}" name="Spalte5514"/>
    <tableColumn id="5532" xr3:uid="{1C3414D6-E18D-4525-B52B-71E57C12C3B1}" name="Spalte5515"/>
    <tableColumn id="5533" xr3:uid="{66F27CA5-F9C7-46EE-A35F-6071C6DB1F50}" name="Spalte5516"/>
    <tableColumn id="5534" xr3:uid="{1053EFD1-4691-4D78-8BF9-C8A3BCA887A2}" name="Spalte5517"/>
    <tableColumn id="5535" xr3:uid="{856E5A99-2BC0-409C-9CA0-EC7D77227C7B}" name="Spalte5518"/>
    <tableColumn id="5536" xr3:uid="{A161A74A-4DC6-4609-AF73-269C4846F89E}" name="Spalte5519"/>
    <tableColumn id="5537" xr3:uid="{A75CC117-020F-45BD-9DEE-DA628F21323B}" name="Spalte5520"/>
    <tableColumn id="5538" xr3:uid="{F740768D-EF44-4D09-943A-42CBAC95AA31}" name="Spalte5521"/>
    <tableColumn id="5539" xr3:uid="{626715A9-525E-4124-904B-6C841BC155C1}" name="Spalte5522"/>
    <tableColumn id="5540" xr3:uid="{6C6E9AB0-FC4A-4D33-A7BE-7F7581CF23D4}" name="Spalte5523"/>
    <tableColumn id="5541" xr3:uid="{AEB45D8F-2964-4F11-9214-F677F9279DF0}" name="Spalte5524"/>
    <tableColumn id="5542" xr3:uid="{1EDF54C3-D483-4E8F-92B4-2650F7541682}" name="Spalte5525"/>
    <tableColumn id="5543" xr3:uid="{21BF4E28-086B-44BB-AD2B-AEBBCD4AA385}" name="Spalte5526"/>
    <tableColumn id="5544" xr3:uid="{F0623BB3-F0C0-41DB-96E2-5F11399A1A96}" name="Spalte5527"/>
    <tableColumn id="5545" xr3:uid="{F3962596-CEB8-4201-8382-922694CB6836}" name="Spalte5528"/>
    <tableColumn id="5546" xr3:uid="{D8255E33-2C82-41FA-90F6-AEDA96D27856}" name="Spalte5529"/>
    <tableColumn id="5547" xr3:uid="{BAC8E453-EE69-4936-9C14-3B8BFF748F25}" name="Spalte5530"/>
    <tableColumn id="5548" xr3:uid="{31BE56C9-103C-46F8-9507-A996410C26A1}" name="Spalte5531"/>
    <tableColumn id="5549" xr3:uid="{31013DCC-B8B0-4474-AEE7-B09840641981}" name="Spalte5532"/>
    <tableColumn id="5550" xr3:uid="{FBBB8204-FC02-40DC-A08B-BFF7A00A84B7}" name="Spalte5533"/>
    <tableColumn id="5551" xr3:uid="{286D6143-1551-4FD3-82A6-656B5175846F}" name="Spalte5534"/>
    <tableColumn id="5552" xr3:uid="{559ECA57-0811-40B3-837B-B9B1241DE549}" name="Spalte5535"/>
    <tableColumn id="5553" xr3:uid="{9332D23E-AC50-4193-A603-9CE304968E50}" name="Spalte5536"/>
    <tableColumn id="5554" xr3:uid="{774829E6-EECF-4A54-99B1-69AADEFD8040}" name="Spalte5537"/>
    <tableColumn id="5555" xr3:uid="{AAEAC737-E7E2-496C-AE66-A11C3EF3115A}" name="Spalte5538"/>
    <tableColumn id="5556" xr3:uid="{14D51875-06F7-4E8A-927F-B9FA6A22F6E2}" name="Spalte5539"/>
    <tableColumn id="5557" xr3:uid="{8430F104-3169-43E6-B21D-5C89E77749F6}" name="Spalte5540"/>
    <tableColumn id="5558" xr3:uid="{0CA6B768-8704-43CA-8961-5D5C19F05C4F}" name="Spalte5541"/>
    <tableColumn id="5559" xr3:uid="{49CC773B-3D5D-4FC7-AF4C-72DD0655862A}" name="Spalte5542"/>
    <tableColumn id="5560" xr3:uid="{D6D87237-B643-48E0-A473-3D01C0DC012C}" name="Spalte5543"/>
    <tableColumn id="5561" xr3:uid="{5FBC6DF4-1D28-4D7C-9ADC-43E321885CAE}" name="Spalte5544"/>
    <tableColumn id="5562" xr3:uid="{E57BBD60-43A6-4152-A0C5-AD9189A5BCE2}" name="Spalte5545"/>
    <tableColumn id="5563" xr3:uid="{EF95FE00-1283-471E-B414-77F77DFEEF40}" name="Spalte5546"/>
    <tableColumn id="5564" xr3:uid="{221568CC-85BA-4008-9495-7F20FDA67F6D}" name="Spalte5547"/>
    <tableColumn id="5565" xr3:uid="{F4E85C0C-8A8A-4047-A544-AC3381865B86}" name="Spalte5548"/>
    <tableColumn id="5566" xr3:uid="{0E037A22-0348-40CE-952D-6F7E423F4764}" name="Spalte5549"/>
    <tableColumn id="5567" xr3:uid="{C19C7821-25EF-4C06-90A6-6F027F8710E9}" name="Spalte5550"/>
    <tableColumn id="5568" xr3:uid="{9962912A-E42F-4B51-A017-7279C782DD0A}" name="Spalte5551"/>
    <tableColumn id="5569" xr3:uid="{E237E8FC-D85E-4ACC-9775-F2A704690CEE}" name="Spalte5552"/>
    <tableColumn id="5570" xr3:uid="{35A4E775-2572-46E4-8668-FA2DD50262B1}" name="Spalte5553"/>
    <tableColumn id="5571" xr3:uid="{020CF191-3392-4051-8256-3BB03C5883F3}" name="Spalte5554"/>
    <tableColumn id="5572" xr3:uid="{B9D28A05-5CFB-4032-88B5-779070807155}" name="Spalte5555"/>
    <tableColumn id="5573" xr3:uid="{7A054058-B291-466E-A058-8F95316BCE0F}" name="Spalte5556"/>
    <tableColumn id="5574" xr3:uid="{7556AE84-319C-4B4A-9ED4-B53460287707}" name="Spalte5557"/>
    <tableColumn id="5575" xr3:uid="{61E818DE-B0BF-4833-9963-2FFB001E103D}" name="Spalte5558"/>
    <tableColumn id="5576" xr3:uid="{D289B5CF-F895-4FAC-8D9D-B25E2DED441D}" name="Spalte5559"/>
    <tableColumn id="5577" xr3:uid="{E62FEC18-D5AA-4D4C-BCD4-A728BA9E60BF}" name="Spalte5560"/>
    <tableColumn id="5578" xr3:uid="{643EFC49-D604-4F95-97C0-1535CDAB3333}" name="Spalte5561"/>
    <tableColumn id="5579" xr3:uid="{4D461308-26BE-4F72-B116-414ABB344C72}" name="Spalte5562"/>
    <tableColumn id="5580" xr3:uid="{80C5F9E6-0E44-440E-9FB8-26DCDE4A4CF5}" name="Spalte5563"/>
    <tableColumn id="5581" xr3:uid="{0FA4AF42-7ECD-44C9-AB51-E7515DF190E0}" name="Spalte5564"/>
    <tableColumn id="5582" xr3:uid="{0479080F-A8E6-4C77-802B-CC66ED4CC480}" name="Spalte5565"/>
    <tableColumn id="5583" xr3:uid="{4C86B810-5989-4703-9A0D-0A56855F563D}" name="Spalte5566"/>
    <tableColumn id="5584" xr3:uid="{FB6F4716-CC59-4BAD-890E-F42FD35374B0}" name="Spalte5567"/>
    <tableColumn id="5585" xr3:uid="{BC5F03A4-3124-418B-8946-E59B9B092F76}" name="Spalte5568"/>
    <tableColumn id="5586" xr3:uid="{CF8986D7-39CC-43E6-AB97-BB6BC380B704}" name="Spalte5569"/>
    <tableColumn id="5587" xr3:uid="{2116CFBE-DE7D-4D46-AED6-3971ADA4475D}" name="Spalte5570"/>
    <tableColumn id="5588" xr3:uid="{B6873160-885A-4AF6-9EC3-BD26B7F8E092}" name="Spalte5571"/>
    <tableColumn id="5589" xr3:uid="{61769DFC-A0D4-4EAF-9055-74B068E66113}" name="Spalte5572"/>
    <tableColumn id="5590" xr3:uid="{B97944B8-8132-446B-81AE-C9D5E8D4ADCE}" name="Spalte5573"/>
    <tableColumn id="5591" xr3:uid="{649CFD52-FC2F-498F-B4F8-A680D8D2D88D}" name="Spalte5574"/>
    <tableColumn id="5592" xr3:uid="{D2351FA3-954A-475F-A957-00186AA51E52}" name="Spalte5575"/>
    <tableColumn id="5593" xr3:uid="{D30F5D7C-36E2-4CBE-BD81-45DD8C0AD160}" name="Spalte5576"/>
    <tableColumn id="5594" xr3:uid="{2A1D5BA3-3EA2-4DF3-8D25-EAEE96594CC7}" name="Spalte5577"/>
    <tableColumn id="5595" xr3:uid="{930247B8-2B98-45DF-B9A1-92F872F4952E}" name="Spalte5578"/>
    <tableColumn id="5596" xr3:uid="{EE743436-C0BD-4A71-9C99-2B33EC957518}" name="Spalte5579"/>
    <tableColumn id="5597" xr3:uid="{DB8BEAA9-4292-4F79-8EAB-EF80287DABBE}" name="Spalte5580"/>
    <tableColumn id="5598" xr3:uid="{77E2D43F-CD24-4BA5-9E36-813142EFDE59}" name="Spalte5581"/>
    <tableColumn id="5599" xr3:uid="{81D6E8F2-5FF3-4532-A2A0-5CE651667257}" name="Spalte5582"/>
    <tableColumn id="5600" xr3:uid="{6E53644A-6195-4ED5-BC02-AA7BD18AFF57}" name="Spalte5583"/>
    <tableColumn id="5601" xr3:uid="{5FF53CFE-C80B-4602-8B6D-2D07C9B4719C}" name="Spalte5584"/>
    <tableColumn id="5602" xr3:uid="{6084E4E8-E7A5-4872-80BA-0F61C2CF0463}" name="Spalte5585"/>
    <tableColumn id="5603" xr3:uid="{BEA666DF-B34A-438E-B025-5128DB826A53}" name="Spalte5586"/>
    <tableColumn id="5604" xr3:uid="{EBD433B4-09F6-4E87-A96F-A13FA5607FEE}" name="Spalte5587"/>
    <tableColumn id="5605" xr3:uid="{42A6030E-31C5-4082-B8BF-FE0CE481C88D}" name="Spalte5588"/>
    <tableColumn id="5606" xr3:uid="{D8E51E60-7EE0-471A-9CBF-A41B945F8746}" name="Spalte5589"/>
    <tableColumn id="5607" xr3:uid="{ACCB5B9E-716C-476A-9E55-7BF730769787}" name="Spalte5590"/>
    <tableColumn id="5608" xr3:uid="{EC7716EB-6795-464D-AB8D-4E6AFD5258AB}" name="Spalte5591"/>
    <tableColumn id="5609" xr3:uid="{0DF6E9AB-65AB-4F33-82E6-C903A4733696}" name="Spalte5592"/>
    <tableColumn id="5610" xr3:uid="{BB421018-8C9A-4E04-8210-95C04CBCFE92}" name="Spalte5593"/>
    <tableColumn id="5611" xr3:uid="{811753BD-F393-45B1-8E21-8B4A92817500}" name="Spalte5594"/>
    <tableColumn id="5612" xr3:uid="{2D3BF287-59B3-4482-ACB0-E54C4985F56A}" name="Spalte5595"/>
    <tableColumn id="5613" xr3:uid="{BC32C51F-C708-499B-82D7-708A6FAE3FFE}" name="Spalte5596"/>
    <tableColumn id="5614" xr3:uid="{19013B49-8ABE-434A-85AE-41AA48565836}" name="Spalte5597"/>
    <tableColumn id="5615" xr3:uid="{1F483CC9-87B8-4ECE-93B3-DBBDC2BFB82E}" name="Spalte5598"/>
    <tableColumn id="5616" xr3:uid="{F23470D0-B573-48E3-801A-4B68FF0EB950}" name="Spalte5599"/>
    <tableColumn id="5617" xr3:uid="{6A3B36A1-EF4C-4E38-89C1-C807987CB2F3}" name="Spalte5600"/>
    <tableColumn id="5618" xr3:uid="{669507F9-BA15-4DD4-9A83-E332085856C5}" name="Spalte5601"/>
    <tableColumn id="5619" xr3:uid="{633AB399-EF1F-4F61-90DE-121151C0C17E}" name="Spalte5602"/>
    <tableColumn id="5620" xr3:uid="{2582ED8D-C8DF-4A9F-A53D-C825DA065DD6}" name="Spalte5603"/>
    <tableColumn id="5621" xr3:uid="{153E16FC-6B5E-4271-B115-81BBE2AE9633}" name="Spalte5604"/>
    <tableColumn id="5622" xr3:uid="{A10BF8A8-0F12-49F0-A43A-4E0790757D5C}" name="Spalte5605"/>
    <tableColumn id="5623" xr3:uid="{609EEBF7-7E13-4190-9ED3-F581B5EB1D96}" name="Spalte5606"/>
    <tableColumn id="5624" xr3:uid="{D771E17E-97CA-4FD7-B1A0-827E4056ACFD}" name="Spalte5607"/>
    <tableColumn id="5625" xr3:uid="{AA822309-A1FD-4828-B9B1-B033AE7C0F98}" name="Spalte5608"/>
    <tableColumn id="5626" xr3:uid="{566F4E3F-DA4C-42C7-AE5D-E630B519E7D9}" name="Spalte5609"/>
    <tableColumn id="5627" xr3:uid="{DD61BAC3-AF09-44F3-901E-7302DCC36D6F}" name="Spalte5610"/>
    <tableColumn id="5628" xr3:uid="{29DD0F9D-1810-432C-B1CA-34F7564C0E4A}" name="Spalte5611"/>
    <tableColumn id="5629" xr3:uid="{D3D977CB-6D3A-41E8-8082-8A2C1A6447FD}" name="Spalte5612"/>
    <tableColumn id="5630" xr3:uid="{3649D5CC-26C7-433B-A4F2-1C00F51E8C20}" name="Spalte5613"/>
    <tableColumn id="5631" xr3:uid="{507E50DC-E5CD-45E0-B193-4B9F684A939A}" name="Spalte5614"/>
    <tableColumn id="5632" xr3:uid="{613E07E9-8754-4269-9C25-63AAB9F8FF43}" name="Spalte5615"/>
    <tableColumn id="5633" xr3:uid="{D19B98C4-1328-4C1C-89B7-0FE42DF905D9}" name="Spalte5616"/>
    <tableColumn id="5634" xr3:uid="{EC84DE64-6140-4835-BFC3-F0D27DCDD000}" name="Spalte5617"/>
    <tableColumn id="5635" xr3:uid="{7C7A20A1-EC6E-407A-B09F-20ABB0F3E535}" name="Spalte5618"/>
    <tableColumn id="5636" xr3:uid="{EEB4F939-C6E8-4A90-B497-61A53BF5A727}" name="Spalte5619"/>
    <tableColumn id="5637" xr3:uid="{912FA76D-E119-4D23-92B7-36CEC37B8BD0}" name="Spalte5620"/>
    <tableColumn id="5638" xr3:uid="{921198A6-68AC-45F1-8ABA-EF6457EFB602}" name="Spalte5621"/>
    <tableColumn id="5639" xr3:uid="{EA579C65-C778-4D49-AEF4-EA401B616913}" name="Spalte5622"/>
    <tableColumn id="5640" xr3:uid="{1044178B-4848-4CE7-88C5-0165BC77D8F5}" name="Spalte5623"/>
    <tableColumn id="5641" xr3:uid="{3AC57F47-4BBF-45E1-AC11-6EBAB601185C}" name="Spalte5624"/>
    <tableColumn id="5642" xr3:uid="{B352A71E-689E-4C1D-A077-E7A9A6288683}" name="Spalte5625"/>
    <tableColumn id="5643" xr3:uid="{292B0189-7EEA-4AF8-89F8-63B67BA5392B}" name="Spalte5626"/>
    <tableColumn id="5644" xr3:uid="{91EA82DC-64D8-4E97-837E-CD0222D21902}" name="Spalte5627"/>
    <tableColumn id="5645" xr3:uid="{43C946D1-7640-4F88-9AFD-801EA8453F47}" name="Spalte5628"/>
    <tableColumn id="5646" xr3:uid="{DF91AFCD-A60E-424A-9974-8640C2848C23}" name="Spalte5629"/>
    <tableColumn id="5647" xr3:uid="{17BE1B93-5E12-4F0B-A0E5-9D80A7C20CC9}" name="Spalte5630"/>
    <tableColumn id="5648" xr3:uid="{26EE18FC-FEF5-4731-AE21-AC09E992F030}" name="Spalte5631"/>
    <tableColumn id="5649" xr3:uid="{2CA5FF8D-C3FD-47EF-8FB1-1EE0722A43FB}" name="Spalte5632"/>
    <tableColumn id="5650" xr3:uid="{F5892DF6-E402-431D-91D2-19A3FD8409D6}" name="Spalte5633"/>
    <tableColumn id="5651" xr3:uid="{E1037256-C9FF-4E1B-A467-3B795D74CE0E}" name="Spalte5634"/>
    <tableColumn id="5652" xr3:uid="{9A943D0D-B9AE-4D75-8D07-C5A8EDAB3257}" name="Spalte5635"/>
    <tableColumn id="5653" xr3:uid="{58DE2DB2-96E5-43E7-99B8-B6435A60C0A5}" name="Spalte5636"/>
    <tableColumn id="5654" xr3:uid="{5CEBF303-98A3-4BAB-BC57-8EE9EEEB1683}" name="Spalte5637"/>
    <tableColumn id="5655" xr3:uid="{8092CEFD-D9E6-4AE0-8331-37EB7D557A90}" name="Spalte5638"/>
    <tableColumn id="5656" xr3:uid="{0A39DC56-D80E-40A4-A235-F18ACB51F7F5}" name="Spalte5639"/>
    <tableColumn id="5657" xr3:uid="{2F13257C-F516-4515-B0EA-AD8A812DB5D5}" name="Spalte5640"/>
    <tableColumn id="5658" xr3:uid="{930EC8AA-B739-481B-AB4C-D0F64E89DDCD}" name="Spalte5641"/>
    <tableColumn id="5659" xr3:uid="{49E38DCA-DB45-41E6-8089-67A019AE6CED}" name="Spalte5642"/>
    <tableColumn id="5660" xr3:uid="{9998F2BB-1D93-426E-B556-21BFD838AC0F}" name="Spalte5643"/>
    <tableColumn id="5661" xr3:uid="{8F2C5F15-F168-4607-915B-CAF4FEBAA101}" name="Spalte5644"/>
    <tableColumn id="5662" xr3:uid="{ADA61E73-3DA4-4770-85A5-2330C709E389}" name="Spalte5645"/>
    <tableColumn id="5663" xr3:uid="{1B0B206E-2184-4837-804B-677EB72B8E36}" name="Spalte5646"/>
    <tableColumn id="5664" xr3:uid="{7E690F33-4D2C-4F73-B1AA-B28A7941FCFD}" name="Spalte5647"/>
    <tableColumn id="5665" xr3:uid="{AABE6D84-7741-4B95-996B-9FF611EDE028}" name="Spalte5648"/>
    <tableColumn id="5666" xr3:uid="{72FE1AA3-2AB7-41F1-8F5B-E8AE4E915BEF}" name="Spalte5649"/>
    <tableColumn id="5667" xr3:uid="{10BB7523-97E8-4CE6-B9FD-E823DAF94D7A}" name="Spalte5650"/>
    <tableColumn id="5668" xr3:uid="{7B9B6D27-2BAE-4FBB-9AC4-4C53FAC3BB71}" name="Spalte5651"/>
    <tableColumn id="5669" xr3:uid="{B608FA43-E6F5-4C69-8DEB-710F4119BB78}" name="Spalte5652"/>
    <tableColumn id="5670" xr3:uid="{5D22657C-C1A6-434D-B730-8DF2A0A638F1}" name="Spalte5653"/>
    <tableColumn id="5671" xr3:uid="{DF284AE9-1DFD-401A-AF99-41597040DD3D}" name="Spalte5654"/>
    <tableColumn id="5672" xr3:uid="{B419D34A-2ED1-44AF-BAF5-67D4E27219B9}" name="Spalte5655"/>
    <tableColumn id="5673" xr3:uid="{B83677AF-CDC8-469A-AC56-0DE9DBDDF4BC}" name="Spalte5656"/>
    <tableColumn id="5674" xr3:uid="{504DA266-2170-4374-AC30-16FD03A91CFE}" name="Spalte5657"/>
    <tableColumn id="5675" xr3:uid="{D024ACB5-058A-43AE-A8A4-D399C2B32557}" name="Spalte5658"/>
    <tableColumn id="5676" xr3:uid="{A79CFE96-1711-4CD1-88E3-8A9E2155BDEB}" name="Spalte5659"/>
    <tableColumn id="5677" xr3:uid="{8DE2EA84-B62C-40F5-B1A6-A74257C55548}" name="Spalte5660"/>
    <tableColumn id="5678" xr3:uid="{79269518-1060-4744-9989-7A0029B4C10D}" name="Spalte5661"/>
    <tableColumn id="5679" xr3:uid="{B60CA997-0960-4F99-BA23-654816F0DF8C}" name="Spalte5662"/>
    <tableColumn id="5680" xr3:uid="{3ABBA051-A604-4106-BA6A-212BB7C4DFDD}" name="Spalte5663"/>
    <tableColumn id="5681" xr3:uid="{DBE82470-C411-4B47-B1E0-D143FAE99C5D}" name="Spalte5664"/>
    <tableColumn id="5682" xr3:uid="{E5BB6B8A-681F-4035-B457-1044F9ED87DE}" name="Spalte5665"/>
    <tableColumn id="5683" xr3:uid="{A055C6F6-DA96-4446-855C-980E5D776DEC}" name="Spalte5666"/>
    <tableColumn id="5684" xr3:uid="{0C4E5EF6-EC09-48E6-92AB-D6E56DE2242B}" name="Spalte5667"/>
    <tableColumn id="5685" xr3:uid="{16DB7B7F-AEC1-4D8B-90C4-F5C0B35AAD07}" name="Spalte5668"/>
    <tableColumn id="5686" xr3:uid="{D7E911D4-8109-4F91-B464-D3E780007048}" name="Spalte5669"/>
    <tableColumn id="5687" xr3:uid="{76306F37-5758-4522-938D-0A94977A0EFF}" name="Spalte5670"/>
    <tableColumn id="5688" xr3:uid="{0A59FB92-9400-47B3-BD1A-347546FE76E7}" name="Spalte5671"/>
    <tableColumn id="5689" xr3:uid="{15A0800D-EFB2-4B6B-9E98-672C10645ED7}" name="Spalte5672"/>
    <tableColumn id="5690" xr3:uid="{473C41C3-2825-44E3-8C8F-E6A5249591BE}" name="Spalte5673"/>
    <tableColumn id="5691" xr3:uid="{A5580C3F-8113-4AFE-8C77-245432974944}" name="Spalte5674"/>
    <tableColumn id="5692" xr3:uid="{B253BDA5-FEF2-412D-BC0A-D4CD9FF2081E}" name="Spalte5675"/>
    <tableColumn id="5693" xr3:uid="{0D974933-CF2A-40C7-97D0-04F6999A82AE}" name="Spalte5676"/>
    <tableColumn id="5694" xr3:uid="{388E5528-76E3-4D6A-A7FD-92514FA153BF}" name="Spalte5677"/>
    <tableColumn id="5695" xr3:uid="{8825E5C5-A501-43CE-ACD9-DF82E423D4E3}" name="Spalte5678"/>
    <tableColumn id="5696" xr3:uid="{51F019E3-E99C-4015-87DA-34539A119BDA}" name="Spalte5679"/>
    <tableColumn id="5697" xr3:uid="{A01EFEF3-8466-47CF-8D0F-5ADE5CFD3CAD}" name="Spalte5680"/>
    <tableColumn id="5698" xr3:uid="{FCCF09B8-CD6A-4422-9AA5-0794B134E76B}" name="Spalte5681"/>
    <tableColumn id="5699" xr3:uid="{2C0610C1-F653-49EE-8DEF-EAE25DE86EE9}" name="Spalte5682"/>
    <tableColumn id="5700" xr3:uid="{EF2ED4B9-B4A7-4A5B-AAAF-849D4FB0B085}" name="Spalte5683"/>
    <tableColumn id="5701" xr3:uid="{AD08A38A-957A-4414-8DF1-99FDF68A5E80}" name="Spalte5684"/>
    <tableColumn id="5702" xr3:uid="{88943377-B530-4D6A-AC35-F0809E8E3703}" name="Spalte5685"/>
    <tableColumn id="5703" xr3:uid="{87526F93-B814-4FF8-91F6-83E8AB2CC7A8}" name="Spalte5686"/>
    <tableColumn id="5704" xr3:uid="{C3B07BC2-F45F-4CCD-84D4-9EC9B803F3C2}" name="Spalte5687"/>
    <tableColumn id="5705" xr3:uid="{08EEED9E-EE38-4472-92D5-E6A98CAFBB85}" name="Spalte5688"/>
    <tableColumn id="5706" xr3:uid="{3A78BC47-E97F-4E4F-A3A3-5966CDC3A622}" name="Spalte5689"/>
    <tableColumn id="5707" xr3:uid="{AE79F3D5-4D3C-4A4B-A26C-FB2792F5DDA3}" name="Spalte5690"/>
    <tableColumn id="5708" xr3:uid="{D556D2B2-C69C-4B3F-8DC5-726F331ED461}" name="Spalte5691"/>
    <tableColumn id="5709" xr3:uid="{A7CB94A8-0711-4A41-A943-2EAFBC75A43C}" name="Spalte5692"/>
    <tableColumn id="5710" xr3:uid="{517C12CE-66F8-40D9-ADF2-ABA947F22C3F}" name="Spalte5693"/>
    <tableColumn id="5711" xr3:uid="{C0A92BCD-08A2-47DA-B5C4-7522534283D2}" name="Spalte5694"/>
    <tableColumn id="5712" xr3:uid="{38B45287-F750-4E91-870E-DAACF4198106}" name="Spalte5695"/>
    <tableColumn id="5713" xr3:uid="{3FCE1DF8-2F01-43B4-9DC6-0BF267B1D2D6}" name="Spalte5696"/>
    <tableColumn id="5714" xr3:uid="{4F3172A2-D807-49A7-A605-5B9C5AC08395}" name="Spalte5697"/>
    <tableColumn id="5715" xr3:uid="{0C04B06E-1527-4410-81B6-988D79D94932}" name="Spalte5698"/>
    <tableColumn id="5716" xr3:uid="{25FBF774-FA02-4E2C-A733-251C00686254}" name="Spalte5699"/>
    <tableColumn id="5717" xr3:uid="{27C6DED7-44B1-4BF6-8E7C-6A0A4819456D}" name="Spalte5700"/>
    <tableColumn id="5718" xr3:uid="{7BD9EBEF-1161-4B17-BA19-09783E16D5A1}" name="Spalte5701"/>
    <tableColumn id="5719" xr3:uid="{66BAEDED-3125-435A-A377-CCA40F310DB1}" name="Spalte5702"/>
    <tableColumn id="5720" xr3:uid="{A1DECD65-AC8E-4E37-9B15-5D34278E3613}" name="Spalte5703"/>
    <tableColumn id="5721" xr3:uid="{34DD202C-A34C-4FF5-A311-B5F0E5D56207}" name="Spalte5704"/>
    <tableColumn id="5722" xr3:uid="{88BA6C54-6079-4D6D-B2C1-0D8067B44975}" name="Spalte5705"/>
    <tableColumn id="5723" xr3:uid="{34AD8417-3D45-42DF-8F40-0B6974FC1D03}" name="Spalte5706"/>
    <tableColumn id="5724" xr3:uid="{6A2C075F-C8A5-4BF9-BE88-95BA3197F66F}" name="Spalte5707"/>
    <tableColumn id="5725" xr3:uid="{5A06FD99-F16C-4FAA-8EEF-321A27AEF63A}" name="Spalte5708"/>
    <tableColumn id="5726" xr3:uid="{263E7B31-CF00-42EB-827D-1D0FB5964EB7}" name="Spalte5709"/>
    <tableColumn id="5727" xr3:uid="{0D5FE297-DE9D-4C50-B540-5BFE8F2BB550}" name="Spalte5710"/>
    <tableColumn id="5728" xr3:uid="{D1C2B45B-FDD4-46AD-B5E4-10F9CB866E1B}" name="Spalte5711"/>
    <tableColumn id="5729" xr3:uid="{8BC4327B-F6EF-4225-9E00-52547A2DF56B}" name="Spalte5712"/>
    <tableColumn id="5730" xr3:uid="{D3DE3499-2BE4-49CA-9024-415C394F45DF}" name="Spalte5713"/>
    <tableColumn id="5731" xr3:uid="{51504E75-0530-4F13-BEBB-F26F4A2C1D5D}" name="Spalte5714"/>
    <tableColumn id="5732" xr3:uid="{A6C74E91-9772-4DC2-B1FF-D5B858542000}" name="Spalte5715"/>
    <tableColumn id="5733" xr3:uid="{35C5EAD6-BABB-4E23-8D7B-AC0724A9A0C7}" name="Spalte5716"/>
    <tableColumn id="5734" xr3:uid="{5593A0A0-1593-4E98-978F-5F4A620C0F5C}" name="Spalte5717"/>
    <tableColumn id="5735" xr3:uid="{90BD3D34-018F-40BD-AA66-9D27B27C2C4D}" name="Spalte5718"/>
    <tableColumn id="5736" xr3:uid="{CBD02B6C-E487-4958-810F-22A83C525CF1}" name="Spalte5719"/>
    <tableColumn id="5737" xr3:uid="{06BBB8DC-255B-4AC1-8575-AEDB6998ECD9}" name="Spalte5720"/>
    <tableColumn id="5738" xr3:uid="{3CEFDBF2-EC1E-4933-BB0C-7656EEE26CE8}" name="Spalte5721"/>
    <tableColumn id="5739" xr3:uid="{37C286A0-12FF-407A-9801-C8F9127B7379}" name="Spalte5722"/>
    <tableColumn id="5740" xr3:uid="{E80FBAB5-9C9F-4827-BA23-8F13844B1D5A}" name="Spalte5723"/>
    <tableColumn id="5741" xr3:uid="{28594E62-2ADD-4261-B861-6B3D4644E83E}" name="Spalte5724"/>
    <tableColumn id="5742" xr3:uid="{225AD9C0-BB31-49E1-A42A-7A89911BBA39}" name="Spalte5725"/>
    <tableColumn id="5743" xr3:uid="{2A79D093-4F52-423A-8DCE-9D9FA6DFD885}" name="Spalte5726"/>
    <tableColumn id="5744" xr3:uid="{DC61161A-3BB3-4B61-BEEF-1C35C2ED007D}" name="Spalte5727"/>
    <tableColumn id="5745" xr3:uid="{9E43AFF5-006F-4A2A-A429-FE961D93EAFA}" name="Spalte5728"/>
    <tableColumn id="5746" xr3:uid="{55C1E6A9-460B-4555-9509-D731AE2E9765}" name="Spalte5729"/>
    <tableColumn id="5747" xr3:uid="{35624B88-B0C1-479B-82BF-A48DBC9A32BD}" name="Spalte5730"/>
    <tableColumn id="5748" xr3:uid="{438A3847-C73C-480E-985A-3EF7BA3CF157}" name="Spalte5731"/>
    <tableColumn id="5749" xr3:uid="{D12EDAC6-A7BD-4E9D-B8DA-234F486AAA5E}" name="Spalte5732"/>
    <tableColumn id="5750" xr3:uid="{48F88A4B-17FF-42A8-AA31-933329BAB0FF}" name="Spalte5733"/>
    <tableColumn id="5751" xr3:uid="{D5FE4D59-41F3-483C-980C-63AEF9CE19DC}" name="Spalte5734"/>
    <tableColumn id="5752" xr3:uid="{56D57F22-B5EA-4D96-A522-5F1C39D07CC6}" name="Spalte5735"/>
    <tableColumn id="5753" xr3:uid="{5BF36AC5-C2C8-4D9D-AECA-263280787C51}" name="Spalte5736"/>
    <tableColumn id="5754" xr3:uid="{CA5843CC-4ED6-46ED-B51F-065F18DAB06A}" name="Spalte5737"/>
    <tableColumn id="5755" xr3:uid="{A0539A7C-8EC4-4C88-A837-1831E29B9E10}" name="Spalte5738"/>
    <tableColumn id="5756" xr3:uid="{42033CAD-8966-48FF-834B-8483E1F50D61}" name="Spalte5739"/>
    <tableColumn id="5757" xr3:uid="{FBC2E3B9-A4A8-4412-8AB7-C6A2C2E4C043}" name="Spalte5740"/>
    <tableColumn id="5758" xr3:uid="{3C15262A-9B65-4315-AC7A-A758BAB2D87A}" name="Spalte5741"/>
    <tableColumn id="5759" xr3:uid="{B87019F8-8D80-4D8D-BC27-0E6253EC9E84}" name="Spalte5742"/>
    <tableColumn id="5760" xr3:uid="{20F06612-9458-43F3-9C6A-F9C5584C02A4}" name="Spalte5743"/>
    <tableColumn id="5761" xr3:uid="{B7E2C349-E509-43D1-BCFC-FF3EEEE1CB11}" name="Spalte5744"/>
    <tableColumn id="5762" xr3:uid="{92AABCE6-CBE6-4486-A1D1-F1F21D0B7D55}" name="Spalte5745"/>
    <tableColumn id="5763" xr3:uid="{A7E9EE95-A09B-4B18-BA91-8BD1108402EC}" name="Spalte5746"/>
    <tableColumn id="5764" xr3:uid="{3F90DBAF-10A7-4AD2-9805-ED4C51B79802}" name="Spalte5747"/>
    <tableColumn id="5765" xr3:uid="{A34A4DF1-BE32-4E53-AEB0-DB5AD16BA899}" name="Spalte5748"/>
    <tableColumn id="5766" xr3:uid="{D3C7C2B9-0FC6-4248-B249-B19981A1B1C4}" name="Spalte5749"/>
    <tableColumn id="5767" xr3:uid="{CC0D9FA9-1494-4F1F-B2A8-9382D80618D6}" name="Spalte5750"/>
    <tableColumn id="5768" xr3:uid="{3DAC5675-889A-48E2-B058-D0CCE30BF0C9}" name="Spalte5751"/>
    <tableColumn id="5769" xr3:uid="{196CF13D-B59B-400C-B209-A7C17DC409BC}" name="Spalte5752"/>
    <tableColumn id="5770" xr3:uid="{0719CE73-37C2-4E2E-96BE-005E7A731B8C}" name="Spalte5753"/>
    <tableColumn id="5771" xr3:uid="{3BE08BCA-968C-4D12-86A1-63958BEB510D}" name="Spalte5754"/>
    <tableColumn id="5772" xr3:uid="{F2A5478E-199C-4DC7-A23E-4C777BE5760C}" name="Spalte5755"/>
    <tableColumn id="5773" xr3:uid="{BCBDE999-CBD4-4D41-AC9C-527AE21ACFAC}" name="Spalte5756"/>
    <tableColumn id="5774" xr3:uid="{ADB606CC-AF81-4CFE-908A-44B141C68280}" name="Spalte5757"/>
    <tableColumn id="5775" xr3:uid="{43C6CB30-0211-4CBD-8AE6-472CA69630F2}" name="Spalte5758"/>
    <tableColumn id="5776" xr3:uid="{5F304D40-32ED-4237-B986-BC4988AD7B3B}" name="Spalte5759"/>
    <tableColumn id="5777" xr3:uid="{2BD1C239-841F-4FB9-8403-5A6B020C767B}" name="Spalte5760"/>
    <tableColumn id="5778" xr3:uid="{5339A0CF-A053-4F28-92BA-C5B7D7665139}" name="Spalte5761"/>
    <tableColumn id="5779" xr3:uid="{FBD8BE37-5A5C-4551-9FC6-77A544974015}" name="Spalte5762"/>
    <tableColumn id="5780" xr3:uid="{20E87686-1DCD-487B-A3E7-67EBADDD5EA1}" name="Spalte5763"/>
    <tableColumn id="5781" xr3:uid="{DEAD0C6C-70E1-48A5-B1AE-2AE64144D88F}" name="Spalte5764"/>
    <tableColumn id="5782" xr3:uid="{3E118871-2B64-491E-A828-B09442F2CA61}" name="Spalte5765"/>
    <tableColumn id="5783" xr3:uid="{6E5EE768-FAFD-41CC-BAAE-CEB981C1CE38}" name="Spalte5766"/>
    <tableColumn id="5784" xr3:uid="{C796BFA2-261E-4793-AD29-4A450C001D15}" name="Spalte5767"/>
    <tableColumn id="5785" xr3:uid="{DA18EFD3-5597-41F7-930F-C5D82312075B}" name="Spalte5768"/>
    <tableColumn id="5786" xr3:uid="{96B5AA77-71AB-4957-B4B8-82569507CF49}" name="Spalte5769"/>
    <tableColumn id="5787" xr3:uid="{E1CAD012-3A75-4F4A-B30D-53F53045A007}" name="Spalte5770"/>
    <tableColumn id="5788" xr3:uid="{8B5C7A2A-543D-4552-923E-E98AA9E0721D}" name="Spalte5771"/>
    <tableColumn id="5789" xr3:uid="{ECA65C6F-A4A2-4763-919E-C46BE10AFDDB}" name="Spalte5772"/>
    <tableColumn id="5790" xr3:uid="{3E718DAF-B3F2-46E2-8C21-77510029F110}" name="Spalte5773"/>
    <tableColumn id="5791" xr3:uid="{287AF602-1D2C-4E18-BFA5-A6F555641742}" name="Spalte5774"/>
    <tableColumn id="5792" xr3:uid="{3D24004D-C860-47AE-8403-4F6389CE726C}" name="Spalte5775"/>
    <tableColumn id="5793" xr3:uid="{7B47F779-40E5-4C6A-B189-DA4802524D9A}" name="Spalte5776"/>
    <tableColumn id="5794" xr3:uid="{DC554794-52A9-4D9B-8EB3-B262170C45FC}" name="Spalte5777"/>
    <tableColumn id="5795" xr3:uid="{50453136-175B-4123-BC73-085BC9ED20BD}" name="Spalte5778"/>
    <tableColumn id="5796" xr3:uid="{050541EE-1FD2-467A-9B57-8B3BD6F16800}" name="Spalte5779"/>
    <tableColumn id="5797" xr3:uid="{ECCB74FC-71EA-4D3D-B9CF-42CB32600005}" name="Spalte5780"/>
    <tableColumn id="5798" xr3:uid="{338BC312-FDAF-4CCA-9CAD-AF81BBD1DC7B}" name="Spalte5781"/>
    <tableColumn id="5799" xr3:uid="{E8844101-133F-4AE8-96FE-FEE41D6B2AB8}" name="Spalte5782"/>
    <tableColumn id="5800" xr3:uid="{02457CD8-F161-4D70-8FD0-154D7AA86BC6}" name="Spalte5783"/>
    <tableColumn id="5801" xr3:uid="{8ED06494-1632-4354-8F61-098E7DA231AD}" name="Spalte5784"/>
    <tableColumn id="5802" xr3:uid="{67BBDFAA-D531-4388-8E59-24A8A7927294}" name="Spalte5785"/>
    <tableColumn id="5803" xr3:uid="{B66A1EB3-56B1-47AD-98A7-0F84B9F7C242}" name="Spalte5786"/>
    <tableColumn id="5804" xr3:uid="{8FF0425D-A2C4-499E-97B7-A5496BA478F7}" name="Spalte5787"/>
    <tableColumn id="5805" xr3:uid="{F59D746C-0A93-4FA2-ADA6-63FBA8A7D4FC}" name="Spalte5788"/>
    <tableColumn id="5806" xr3:uid="{F08F59B5-2ACD-4569-8BF7-3EF7A479D797}" name="Spalte5789"/>
    <tableColumn id="5807" xr3:uid="{ABE61575-BAA8-470E-B9CC-1E941D59A384}" name="Spalte5790"/>
    <tableColumn id="5808" xr3:uid="{D666F639-5E01-4655-8D92-A0DBD0D497F2}" name="Spalte5791"/>
    <tableColumn id="5809" xr3:uid="{EC28D642-D46F-46AF-965F-C6B921DF743C}" name="Spalte5792"/>
    <tableColumn id="5810" xr3:uid="{51A95C1D-86D9-426A-AAB9-27D91174F816}" name="Spalte5793"/>
    <tableColumn id="5811" xr3:uid="{6A8CD45A-0AB0-4F09-84DD-F4EB91D78DDF}" name="Spalte5794"/>
    <tableColumn id="5812" xr3:uid="{BDC2A6C9-0CE2-4177-9A55-FFE1D2483E5F}" name="Spalte5795"/>
    <tableColumn id="5813" xr3:uid="{6D7FEBAA-0B82-4F42-A323-B9FBE9B304CE}" name="Spalte5796"/>
    <tableColumn id="5814" xr3:uid="{9EB44528-291D-4DE7-A031-C1C3B755D061}" name="Spalte5797"/>
    <tableColumn id="5815" xr3:uid="{C1236B75-DF90-43BB-A3C2-28D46008CB61}" name="Spalte5798"/>
    <tableColumn id="5816" xr3:uid="{61BE437B-FECB-4F0C-9C15-0D2259B2B59F}" name="Spalte5799"/>
    <tableColumn id="5817" xr3:uid="{4769A6B7-3521-4A60-970C-4C8229BEAE88}" name="Spalte5800"/>
    <tableColumn id="5818" xr3:uid="{EFFF673C-017B-4931-990D-F8D521F41E0D}" name="Spalte5801"/>
    <tableColumn id="5819" xr3:uid="{3152C750-A42F-450B-9D9F-E0099A8F0C1E}" name="Spalte5802"/>
    <tableColumn id="5820" xr3:uid="{15E751D9-FA6E-4658-B57D-A8AA5DAC812E}" name="Spalte5803"/>
    <tableColumn id="5821" xr3:uid="{AD219951-82AC-4030-92B7-4BEC4A0CA603}" name="Spalte5804"/>
    <tableColumn id="5822" xr3:uid="{126451BF-8499-4C32-BE43-6BD4C941EA0F}" name="Spalte5805"/>
    <tableColumn id="5823" xr3:uid="{2B52DBD0-3AD8-4604-B257-ABE100AE8DAD}" name="Spalte5806"/>
    <tableColumn id="5824" xr3:uid="{4B2619DD-78B0-4737-8191-3CD6EEA07F38}" name="Spalte5807"/>
    <tableColumn id="5825" xr3:uid="{19298B97-4471-454F-925A-F1DB9A420DE0}" name="Spalte5808"/>
    <tableColumn id="5826" xr3:uid="{25578A4C-1C55-4D2A-A495-935E9B764C8E}" name="Spalte5809"/>
    <tableColumn id="5827" xr3:uid="{64A48EC9-B4D6-4455-B90E-40EE964C3348}" name="Spalte5810"/>
    <tableColumn id="5828" xr3:uid="{C4741F87-F713-478F-8A36-16CF32BF71A1}" name="Spalte5811"/>
    <tableColumn id="5829" xr3:uid="{D2E19589-9854-48C4-80D8-80142E459FEF}" name="Spalte5812"/>
    <tableColumn id="5830" xr3:uid="{A518D6BB-5162-46C4-B0C3-E88D3172C04C}" name="Spalte5813"/>
    <tableColumn id="5831" xr3:uid="{BBE94144-5ABB-4683-8524-60694099E411}" name="Spalte5814"/>
    <tableColumn id="5832" xr3:uid="{FE984B17-3408-43E1-9AD5-C6345F1D0669}" name="Spalte5815"/>
    <tableColumn id="5833" xr3:uid="{5147C881-460A-4059-B92F-12FB569C6C08}" name="Spalte5816"/>
    <tableColumn id="5834" xr3:uid="{4080EA51-E2B2-4C06-B6AA-B9E206AA83C2}" name="Spalte5817"/>
    <tableColumn id="5835" xr3:uid="{EF5B9AC7-263D-4E1A-A87C-F10851996198}" name="Spalte5818"/>
    <tableColumn id="5836" xr3:uid="{A81D9CF8-946B-459E-8A3E-C2691AA2992E}" name="Spalte5819"/>
    <tableColumn id="5837" xr3:uid="{93C4BFD5-42F8-4CA2-A17C-BD6A262DA54E}" name="Spalte5820"/>
    <tableColumn id="5838" xr3:uid="{38202C30-5B1F-43B7-BEBF-F9122BB0FAA0}" name="Spalte5821"/>
    <tableColumn id="5839" xr3:uid="{C93FC99D-AC8B-416C-B126-CE204CDE42FC}" name="Spalte5822"/>
    <tableColumn id="5840" xr3:uid="{48878239-AC9A-4B0D-BB45-74F90E1198F6}" name="Spalte5823"/>
    <tableColumn id="5841" xr3:uid="{5C33B05A-3702-441B-86BD-FE20754E0AE8}" name="Spalte5824"/>
    <tableColumn id="5842" xr3:uid="{A8427AA5-F460-4D77-B223-20CBA7AC5A04}" name="Spalte5825"/>
    <tableColumn id="5843" xr3:uid="{28B42678-AF80-4A60-A673-CFE31BB454DA}" name="Spalte5826"/>
    <tableColumn id="5844" xr3:uid="{4C49BF19-9FE5-4711-AE9C-B5C02CB7ECB2}" name="Spalte5827"/>
    <tableColumn id="5845" xr3:uid="{07BA7A2D-6296-4BBF-B302-9A4470D94430}" name="Spalte5828"/>
    <tableColumn id="5846" xr3:uid="{277C59D4-F894-4C86-860F-1AC930CABA05}" name="Spalte5829"/>
    <tableColumn id="5847" xr3:uid="{12861251-F18B-4499-AA2B-3292D012D7D0}" name="Spalte5830"/>
    <tableColumn id="5848" xr3:uid="{FD979F62-DEBA-4F3B-9188-8DFCFA329D53}" name="Spalte5831"/>
    <tableColumn id="5849" xr3:uid="{359C952A-A057-42A6-B394-6E191A40822E}" name="Spalte5832"/>
    <tableColumn id="5850" xr3:uid="{E000ED2D-8BE3-4DBA-9CB1-2B049E0204A7}" name="Spalte5833"/>
    <tableColumn id="5851" xr3:uid="{0BA7E6D7-FD94-4CB6-9D3A-802975639FE5}" name="Spalte5834"/>
    <tableColumn id="5852" xr3:uid="{8C6D4253-D5F0-4DC6-9E76-93259B57C980}" name="Spalte5835"/>
    <tableColumn id="5853" xr3:uid="{81CC6A1F-71A6-4807-8DD2-FD29D6E1B0EA}" name="Spalte5836"/>
    <tableColumn id="5854" xr3:uid="{2A846357-7432-4100-AEFC-2D6BA110B650}" name="Spalte5837"/>
    <tableColumn id="5855" xr3:uid="{B4AD19D8-67D3-46CB-A21E-E262B199B0BC}" name="Spalte5838"/>
    <tableColumn id="5856" xr3:uid="{D9595A3C-799F-4C10-8F35-49F6C83F4A52}" name="Spalte5839"/>
    <tableColumn id="5857" xr3:uid="{AC5E1918-FDE4-463B-8DB7-FEC2D2727EB6}" name="Spalte5840"/>
    <tableColumn id="5858" xr3:uid="{E57C01A6-31FB-4B76-8A57-A0C2C9A6C38F}" name="Spalte5841"/>
    <tableColumn id="5859" xr3:uid="{8F5B28A2-40D6-4DA5-8A78-8236CC9A7349}" name="Spalte5842"/>
    <tableColumn id="5860" xr3:uid="{A4DDCB60-64BE-4074-BE90-0BE833E38D08}" name="Spalte5843"/>
    <tableColumn id="5861" xr3:uid="{B3ED01A3-5A04-487B-8C38-94EE006FD493}" name="Spalte5844"/>
    <tableColumn id="5862" xr3:uid="{E5757058-F23C-4C8B-ADC5-83C9225C3864}" name="Spalte5845"/>
    <tableColumn id="5863" xr3:uid="{1E7BAF0D-63BD-4F68-A663-E7D0E3827766}" name="Spalte5846"/>
    <tableColumn id="5864" xr3:uid="{3A81C156-3CC4-440A-9C52-D0C6433EA5BC}" name="Spalte5847"/>
    <tableColumn id="5865" xr3:uid="{BD6C56BD-75AC-4ADD-9F42-60571353766D}" name="Spalte5848"/>
    <tableColumn id="5866" xr3:uid="{4F1117EE-8D1B-4D2C-8354-BC6F172E9F9E}" name="Spalte5849"/>
    <tableColumn id="5867" xr3:uid="{4975AD75-9EB8-40E2-9D5F-7C6145BF25E2}" name="Spalte5850"/>
    <tableColumn id="5868" xr3:uid="{89A8D337-FC6D-4887-8339-B82941B13E68}" name="Spalte5851"/>
    <tableColumn id="5869" xr3:uid="{70F24187-1990-45D4-AC6C-888FD9BDFAF6}" name="Spalte5852"/>
    <tableColumn id="5870" xr3:uid="{600E5924-2D2D-4056-BEF6-A2316636E744}" name="Spalte5853"/>
    <tableColumn id="5871" xr3:uid="{3DE73868-3BE0-45F4-8B35-4875124AE318}" name="Spalte5854"/>
    <tableColumn id="5872" xr3:uid="{DFA714AB-92A9-4061-9A43-B613AC4B02EF}" name="Spalte5855"/>
    <tableColumn id="5873" xr3:uid="{47F2A138-10E1-44F8-9C03-75BFC9CC3015}" name="Spalte5856"/>
    <tableColumn id="5874" xr3:uid="{8C01146C-A1FB-44B2-AED8-4E66BB84F00A}" name="Spalte5857"/>
    <tableColumn id="5875" xr3:uid="{47B847F8-0ED4-41D5-96F7-481127DDE457}" name="Spalte5858"/>
    <tableColumn id="5876" xr3:uid="{BDA2A1C6-09EC-4C19-B103-8B1B9DAB2455}" name="Spalte5859"/>
    <tableColumn id="5877" xr3:uid="{F87F33DF-CFC4-40CB-ADFD-6D598FC55C34}" name="Spalte5860"/>
    <tableColumn id="5878" xr3:uid="{36D5825A-54DB-4914-A52F-7622828E57C2}" name="Spalte5861"/>
    <tableColumn id="5879" xr3:uid="{3609F21A-1E66-4ABC-B7CC-090AC83804E0}" name="Spalte5862"/>
    <tableColumn id="5880" xr3:uid="{0E036074-6F94-4F0E-B044-6ABD95FD2B7A}" name="Spalte5863"/>
    <tableColumn id="5881" xr3:uid="{925611EE-3618-4D5F-A180-705AF504BB39}" name="Spalte5864"/>
    <tableColumn id="5882" xr3:uid="{DCFD5747-F2D0-45C6-BFE4-511CB225AA06}" name="Spalte5865"/>
    <tableColumn id="5883" xr3:uid="{A2291726-4530-4CD8-8D12-6393B8AB7CB9}" name="Spalte5866"/>
    <tableColumn id="5884" xr3:uid="{7BB92735-05BB-439C-9F85-8F651565722F}" name="Spalte5867"/>
    <tableColumn id="5885" xr3:uid="{CDA66AF9-78A2-4413-8330-4E79F141E7DE}" name="Spalte5868"/>
    <tableColumn id="5886" xr3:uid="{7B080968-E229-4514-A363-C93AEB7B1680}" name="Spalte5869"/>
    <tableColumn id="5887" xr3:uid="{639D6E9B-DADF-4F11-86C4-C24DDAA0C6D7}" name="Spalte5870"/>
    <tableColumn id="5888" xr3:uid="{49E9E773-387B-490F-B0DD-9641EF876940}" name="Spalte5871"/>
    <tableColumn id="5889" xr3:uid="{9258A25B-D2D6-4E55-96C3-30735135A8B7}" name="Spalte5872"/>
    <tableColumn id="5890" xr3:uid="{E6E2405E-0635-457C-B642-A8F6BC6D5C71}" name="Spalte5873"/>
    <tableColumn id="5891" xr3:uid="{452AA37A-5FA3-4CD9-89FC-A77DE627A6A2}" name="Spalte5874"/>
    <tableColumn id="5892" xr3:uid="{D0CE6A42-4161-4DA8-9082-B4E8DC423D56}" name="Spalte5875"/>
    <tableColumn id="5893" xr3:uid="{7934CC5A-2E72-486D-98A7-8EEC5707E4F1}" name="Spalte5876"/>
    <tableColumn id="5894" xr3:uid="{D46D0BAB-5684-4E7A-B91F-30B160E96865}" name="Spalte5877"/>
    <tableColumn id="5895" xr3:uid="{6F9096FD-B338-4AEB-89D6-ADE9BEB0516D}" name="Spalte5878"/>
    <tableColumn id="5896" xr3:uid="{E8EDF291-FB13-4787-BE01-D0C009F9DDB0}" name="Spalte5879"/>
    <tableColumn id="5897" xr3:uid="{E3E7F5D0-03B2-4B7F-B4E4-1D1DFA1A3BA2}" name="Spalte5880"/>
    <tableColumn id="5898" xr3:uid="{875FFF62-3311-4710-86AE-830FF7453624}" name="Spalte5881"/>
    <tableColumn id="5899" xr3:uid="{608FAE2B-EC50-4220-98CA-6810BEBA40FD}" name="Spalte5882"/>
    <tableColumn id="5900" xr3:uid="{E36D14FC-4DC5-499B-A2F5-67F97D27D174}" name="Spalte5883"/>
    <tableColumn id="5901" xr3:uid="{EBB270D8-38A8-4084-8EC4-5C140056F106}" name="Spalte5884"/>
    <tableColumn id="5902" xr3:uid="{082B0E97-50E3-4661-9355-87FB743E6A03}" name="Spalte5885"/>
    <tableColumn id="5903" xr3:uid="{F8AAF47F-2270-4EC7-8EDB-8309C05450B8}" name="Spalte5886"/>
    <tableColumn id="5904" xr3:uid="{2EEE1FD7-95F8-4A37-8350-BF0BBF53DCCB}" name="Spalte5887"/>
    <tableColumn id="5905" xr3:uid="{293EE5EE-2C50-4B16-9C4C-FC710459510C}" name="Spalte5888"/>
    <tableColumn id="5906" xr3:uid="{63AF9B73-8C51-44A4-B8A7-EE5B2CB07F78}" name="Spalte5889"/>
    <tableColumn id="5907" xr3:uid="{51FDA4C6-5FF0-40BF-9F87-1AE5A4B11280}" name="Spalte5890"/>
    <tableColumn id="5908" xr3:uid="{CA1C8CCB-B4B8-49A6-8047-7F67CC8477B7}" name="Spalte5891"/>
    <tableColumn id="5909" xr3:uid="{369A6CF0-E8A4-4950-A4C5-10672D5E22CD}" name="Spalte5892"/>
    <tableColumn id="5910" xr3:uid="{3FE1E42E-224D-4664-AEB2-886462C45435}" name="Spalte5893"/>
    <tableColumn id="5911" xr3:uid="{FEE369FD-B2A7-4CB3-8311-3F4CFB30CBB6}" name="Spalte5894"/>
    <tableColumn id="5912" xr3:uid="{CAD37A7D-5C39-49E3-8883-BA5FD9ECE1F3}" name="Spalte5895"/>
    <tableColumn id="5913" xr3:uid="{81D88840-470A-4D56-9BD5-2F05C79532C7}" name="Spalte5896"/>
    <tableColumn id="5914" xr3:uid="{A5773704-A458-4050-ABB4-ACFCE58EF164}" name="Spalte5897"/>
    <tableColumn id="5915" xr3:uid="{DC982122-B1C7-42C1-852E-189FB23A15FB}" name="Spalte5898"/>
    <tableColumn id="5916" xr3:uid="{1E112E54-22F0-45F5-AF8B-1AD774909C70}" name="Spalte5899"/>
    <tableColumn id="5917" xr3:uid="{E5155C15-19DC-44F3-A512-AE1FC2C00A49}" name="Spalte5900"/>
    <tableColumn id="5918" xr3:uid="{40A369AE-47E3-43BC-8B33-A781ED1CEB7E}" name="Spalte5901"/>
    <tableColumn id="5919" xr3:uid="{2FA38575-DE38-47C6-B9CF-6FB5D568A8B6}" name="Spalte5902"/>
    <tableColumn id="5920" xr3:uid="{DAB2CA80-BCE0-4BB2-93DC-CA2099FA6303}" name="Spalte5903"/>
    <tableColumn id="5921" xr3:uid="{F2BF6BC0-0009-45EC-8C24-941CD63E62D0}" name="Spalte5904"/>
    <tableColumn id="5922" xr3:uid="{1AFD71D7-BFFF-4143-A328-E491E3D61B89}" name="Spalte5905"/>
    <tableColumn id="5923" xr3:uid="{09B80831-4C86-49C7-B984-832E772BFD79}" name="Spalte5906"/>
    <tableColumn id="5924" xr3:uid="{97C803B8-3B29-4B81-A500-A8D3822D3EAA}" name="Spalte5907"/>
    <tableColumn id="5925" xr3:uid="{CAB3DD14-226D-48A1-A206-F756F8FECB2A}" name="Spalte5908"/>
    <tableColumn id="5926" xr3:uid="{12DF7656-F36F-43C8-8E8B-4A5FAC02CC5E}" name="Spalte5909"/>
    <tableColumn id="5927" xr3:uid="{2144BFF7-A863-4C97-A139-A7668DBAFA6F}" name="Spalte5910"/>
    <tableColumn id="5928" xr3:uid="{30E43E7E-38B7-4953-870D-2889DF9B08E6}" name="Spalte5911"/>
    <tableColumn id="5929" xr3:uid="{35AC687F-9E32-4137-B9DF-4EF976A58EE6}" name="Spalte5912"/>
    <tableColumn id="5930" xr3:uid="{85D6A36F-0BFD-4251-9DBF-5FC240C2CD75}" name="Spalte5913"/>
    <tableColumn id="5931" xr3:uid="{9FD0F626-C20D-444D-91A6-E11DCD632F0B}" name="Spalte5914"/>
    <tableColumn id="5932" xr3:uid="{A1009440-F1FC-4B27-A85F-CC6F54954550}" name="Spalte5915"/>
    <tableColumn id="5933" xr3:uid="{5A99E9D7-746F-4A73-BF83-41E409B34487}" name="Spalte5916"/>
    <tableColumn id="5934" xr3:uid="{CD4AC152-D9C7-464C-A03C-49A0E5A8799D}" name="Spalte5917"/>
    <tableColumn id="5935" xr3:uid="{490F782B-0A98-46B0-90A7-26F244193E28}" name="Spalte5918"/>
    <tableColumn id="5936" xr3:uid="{738B82B8-AC51-412E-8906-E86613E6B13A}" name="Spalte5919"/>
    <tableColumn id="5937" xr3:uid="{E7AFAD66-1244-4E50-BD3A-0AE942A2F27A}" name="Spalte5920"/>
    <tableColumn id="5938" xr3:uid="{C5D898E0-1F19-4773-98BE-ECBDA91A76C6}" name="Spalte5921"/>
    <tableColumn id="5939" xr3:uid="{1291A476-4610-4923-A7D8-F0004ABC189A}" name="Spalte5922"/>
    <tableColumn id="5940" xr3:uid="{1E659458-A24F-4355-90CD-12A33808941D}" name="Spalte5923"/>
    <tableColumn id="5941" xr3:uid="{07DDF344-23EB-412A-A284-9C91171A8BE9}" name="Spalte5924"/>
    <tableColumn id="5942" xr3:uid="{8EC7D056-4B9F-4CB4-9B5A-E5B6FE3EA6DE}" name="Spalte5925"/>
    <tableColumn id="5943" xr3:uid="{F21830C6-6E3F-4EAE-8A2E-261463EA2EF4}" name="Spalte5926"/>
    <tableColumn id="5944" xr3:uid="{129B8D04-F427-4E29-B5E4-AA1B203400F9}" name="Spalte5927"/>
    <tableColumn id="5945" xr3:uid="{A5AC444B-D492-4591-8BCC-CEEF6DF7D7B4}" name="Spalte5928"/>
    <tableColumn id="5946" xr3:uid="{4165E8BA-33E5-4B7C-993B-C9845DCD7B32}" name="Spalte5929"/>
    <tableColumn id="5947" xr3:uid="{4F78F53C-3B55-476B-A8A4-04DCEB2DEF46}" name="Spalte5930"/>
    <tableColumn id="5948" xr3:uid="{C7E2CF7F-0064-4913-9BDA-85D944BE72A7}" name="Spalte5931"/>
    <tableColumn id="5949" xr3:uid="{EE8F06D2-DD6A-436C-A178-DC8D65FC43D1}" name="Spalte5932"/>
    <tableColumn id="5950" xr3:uid="{6831D847-142C-4CF3-95F2-F11E1B995D2D}" name="Spalte5933"/>
    <tableColumn id="5951" xr3:uid="{3348388E-C161-4724-8E35-FC48885CACFD}" name="Spalte5934"/>
    <tableColumn id="5952" xr3:uid="{A897FDAF-1ACE-48C7-BEBC-CBDBAF2F928E}" name="Spalte5935"/>
    <tableColumn id="5953" xr3:uid="{647FC5C0-A18D-430A-8173-E3F655663365}" name="Spalte5936"/>
    <tableColumn id="5954" xr3:uid="{9122A7F6-69F8-4865-AB8E-0E5BB2343A0D}" name="Spalte5937"/>
    <tableColumn id="5955" xr3:uid="{267638EB-C0C1-4420-BD0D-C31F9821D056}" name="Spalte5938"/>
    <tableColumn id="5956" xr3:uid="{4C3CB7AE-060D-4FD3-8A42-96E5B82C1702}" name="Spalte5939"/>
    <tableColumn id="5957" xr3:uid="{96189226-651C-45F8-8D6E-1E5FD8E994BA}" name="Spalte5940"/>
    <tableColumn id="5958" xr3:uid="{951AF2D1-40A1-4699-BD64-39412829C60A}" name="Spalte5941"/>
    <tableColumn id="5959" xr3:uid="{D9518FCE-C3E4-464B-966C-9C1511267856}" name="Spalte5942"/>
    <tableColumn id="5960" xr3:uid="{4BA6B2FA-DAAD-4BCF-AF23-D9711D6D2013}" name="Spalte5943"/>
    <tableColumn id="5961" xr3:uid="{523CB872-54E7-4369-BBFE-A91C9F0CCD20}" name="Spalte5944"/>
    <tableColumn id="5962" xr3:uid="{2D2E5E1F-028D-40E9-A2A4-594A4A6275C6}" name="Spalte5945"/>
    <tableColumn id="5963" xr3:uid="{A466ACE1-D5C9-4779-9815-CDAFE41E6AFF}" name="Spalte5946"/>
    <tableColumn id="5964" xr3:uid="{EF23F4CA-0147-467D-9804-7F2D69422AD2}" name="Spalte5947"/>
    <tableColumn id="5965" xr3:uid="{48EE62F8-1344-407B-8928-83066493639B}" name="Spalte5948"/>
    <tableColumn id="5966" xr3:uid="{2AC6E72E-690D-42DC-887B-FBB7BD963AB8}" name="Spalte5949"/>
    <tableColumn id="5967" xr3:uid="{5F02FF8B-95DC-4871-A3A9-A4D28FD170F6}" name="Spalte5950"/>
    <tableColumn id="5968" xr3:uid="{D88274C6-BC82-4B86-976A-007198E2ACA7}" name="Spalte5951"/>
    <tableColumn id="5969" xr3:uid="{D983E0C8-66FF-4612-B270-C7E1C93E129F}" name="Spalte5952"/>
    <tableColumn id="5970" xr3:uid="{EFCFC216-9CB7-40DB-A9CB-BAF420DE3E4A}" name="Spalte5953"/>
    <tableColumn id="5971" xr3:uid="{7854946E-3138-41ED-8A9D-BA22BC103193}" name="Spalte5954"/>
    <tableColumn id="5972" xr3:uid="{3BA76E56-B418-4DCF-A9E1-E15C700E3859}" name="Spalte5955"/>
    <tableColumn id="5973" xr3:uid="{6F3F2D5D-3369-40DD-A35E-0BBEA084F940}" name="Spalte5956"/>
    <tableColumn id="5974" xr3:uid="{9E32D3C6-C62F-4E8E-8792-70E694C58311}" name="Spalte5957"/>
    <tableColumn id="5975" xr3:uid="{0CFB22D4-5C8F-461E-95D8-F776721A4F4A}" name="Spalte5958"/>
    <tableColumn id="5976" xr3:uid="{F9F44F22-562F-44CE-B895-1ECF0376A3AB}" name="Spalte5959"/>
    <tableColumn id="5977" xr3:uid="{18485BD5-4DEF-4ECC-A0D3-8FA0A379F5F7}" name="Spalte5960"/>
    <tableColumn id="5978" xr3:uid="{20369AD2-C19F-4C34-B8CC-C6555EF206E1}" name="Spalte5961"/>
    <tableColumn id="5979" xr3:uid="{4D5190B9-9DA9-49C5-9068-5C306C639ADF}" name="Spalte5962"/>
    <tableColumn id="5980" xr3:uid="{7E2F1BFB-3455-4530-A278-FFA8F6EDCA52}" name="Spalte5963"/>
    <tableColumn id="5981" xr3:uid="{A597D7D5-47E5-415E-89A4-167AB2B25774}" name="Spalte5964"/>
    <tableColumn id="5982" xr3:uid="{313723C4-97C4-4A5E-9878-402C027DBB22}" name="Spalte5965"/>
    <tableColumn id="5983" xr3:uid="{58DD930A-D40D-4185-B70C-F95E7EF146A8}" name="Spalte5966"/>
    <tableColumn id="5984" xr3:uid="{36E202FE-A232-4465-83A4-4F1DB7EC9C98}" name="Spalte5967"/>
    <tableColumn id="5985" xr3:uid="{299BF192-114C-4ACA-8086-1B6A4396EDEA}" name="Spalte5968"/>
    <tableColumn id="5986" xr3:uid="{F9CB2604-909F-48FD-AAC2-736B14F0481B}" name="Spalte5969"/>
    <tableColumn id="5987" xr3:uid="{F460CE45-AF4E-4179-8D61-5433ECA978B5}" name="Spalte5970"/>
    <tableColumn id="5988" xr3:uid="{3B389DD1-8501-4E38-8C5A-42407A46E554}" name="Spalte5971"/>
    <tableColumn id="5989" xr3:uid="{D558FD9B-4079-4CB8-B1CF-35E00F0C239E}" name="Spalte5972"/>
    <tableColumn id="5990" xr3:uid="{CB9452CB-0CED-4F76-899A-BF5C2F60B647}" name="Spalte5973"/>
    <tableColumn id="5991" xr3:uid="{5CC5DB3B-2203-4930-885D-08D3547BAD4C}" name="Spalte5974"/>
    <tableColumn id="5992" xr3:uid="{FDAAB88B-BE26-46C3-AAC3-A564087C2183}" name="Spalte5975"/>
    <tableColumn id="5993" xr3:uid="{AA15F935-DCC4-4FEC-8D7A-1FA5897A482A}" name="Spalte5976"/>
    <tableColumn id="5994" xr3:uid="{BA286809-2F3E-4EF2-9F50-2BFFF2CD9CC7}" name="Spalte5977"/>
    <tableColumn id="5995" xr3:uid="{A6DC1F1F-9AA9-47AC-8349-509B69BA25FC}" name="Spalte5978"/>
    <tableColumn id="5996" xr3:uid="{B09CFEE2-7FB1-4B04-AE2C-A83B773891B1}" name="Spalte5979"/>
    <tableColumn id="5997" xr3:uid="{C3333FD4-D751-488A-A40F-192B5D7ECBE5}" name="Spalte5980"/>
    <tableColumn id="5998" xr3:uid="{B77DC30F-DDD6-4609-93FC-3E1D46DDC711}" name="Spalte5981"/>
    <tableColumn id="5999" xr3:uid="{825AAEC8-51CC-42B4-862B-BECB0AC44713}" name="Spalte5982"/>
    <tableColumn id="6000" xr3:uid="{57FE7A6B-B360-4CFE-9FFF-BD757DA538DB}" name="Spalte5983"/>
    <tableColumn id="6001" xr3:uid="{935E7418-F2B7-43FB-ABBD-50967DDC9286}" name="Spalte5984"/>
    <tableColumn id="6002" xr3:uid="{18D6BEFD-14D5-4AD6-8D1C-9BE84E1CBBC5}" name="Spalte5985"/>
    <tableColumn id="6003" xr3:uid="{FDC081F9-0AC7-4AC1-8010-A611DD8913CB}" name="Spalte5986"/>
    <tableColumn id="6004" xr3:uid="{9D80C356-7139-48C2-A9C0-86152CC6098E}" name="Spalte5987"/>
    <tableColumn id="6005" xr3:uid="{3714BB9D-3DA8-4A42-B9E9-92B373BF8876}" name="Spalte5988"/>
    <tableColumn id="6006" xr3:uid="{621496E1-801D-4241-9452-9024F8DDA1FC}" name="Spalte5989"/>
    <tableColumn id="6007" xr3:uid="{A2783D1A-4BA3-4EAD-B6A3-C4AAB7DE9B69}" name="Spalte5990"/>
    <tableColumn id="6008" xr3:uid="{2ECABF26-E7B0-4BF7-AFB3-665B6555C86D}" name="Spalte5991"/>
    <tableColumn id="6009" xr3:uid="{5DCE6161-6531-4748-9A00-9A81A491284A}" name="Spalte5992"/>
    <tableColumn id="6010" xr3:uid="{83F1540B-A7FC-476F-AD9B-BBB1FD78963D}" name="Spalte5993"/>
    <tableColumn id="6011" xr3:uid="{BE8AFC07-2470-497A-8BE4-F7038AFF0C83}" name="Spalte5994"/>
    <tableColumn id="6012" xr3:uid="{9AE31009-F647-4930-88EA-14FA728163B8}" name="Spalte5995"/>
    <tableColumn id="6013" xr3:uid="{71E048AC-9939-470C-A4A2-87EC02C38655}" name="Spalte5996"/>
    <tableColumn id="6014" xr3:uid="{5A005A98-57A7-436E-9416-A2CB9F23D6E3}" name="Spalte5997"/>
    <tableColumn id="6015" xr3:uid="{84B6EBC9-C868-4EFE-809E-D44260872332}" name="Spalte5998"/>
    <tableColumn id="6016" xr3:uid="{6BEF59DD-E15D-4B68-A857-20D4E1A9154F}" name="Spalte5999"/>
    <tableColumn id="6017" xr3:uid="{77B37AB3-D6E9-4051-B863-7D58C302F14C}" name="Spalte6000"/>
    <tableColumn id="6018" xr3:uid="{F620DAF3-40B6-419D-852C-6B69A728F129}" name="Spalte6001"/>
    <tableColumn id="6019" xr3:uid="{C62D99A7-4165-4658-8B16-921D3AC2733E}" name="Spalte6002"/>
    <tableColumn id="6020" xr3:uid="{415C7EE0-65ED-42CE-AB13-30C6D7FC2FA6}" name="Spalte6003"/>
    <tableColumn id="6021" xr3:uid="{AA5E6DFB-45D9-4754-B6EB-F6547BEF4529}" name="Spalte6004"/>
    <tableColumn id="6022" xr3:uid="{A6955B7E-CC3D-471F-9D2C-0956594CF581}" name="Spalte6005"/>
    <tableColumn id="6023" xr3:uid="{CD64316D-45A2-4748-AC47-A9EFB24A2D9B}" name="Spalte6006"/>
    <tableColumn id="6024" xr3:uid="{8AF1055D-0F68-4BF9-B2E0-315166FFB000}" name="Spalte6007"/>
    <tableColumn id="6025" xr3:uid="{02AAFCFD-8BD9-4518-A269-3D2E51128E43}" name="Spalte6008"/>
    <tableColumn id="6026" xr3:uid="{CF0B27D7-649B-4AED-B63C-D0CF7FFAB788}" name="Spalte6009"/>
    <tableColumn id="6027" xr3:uid="{9B886CCA-BD71-4781-B217-0A9A0C2B33CA}" name="Spalte6010"/>
    <tableColumn id="6028" xr3:uid="{AFFFE199-81CB-4468-8025-632913443D1F}" name="Spalte6011"/>
    <tableColumn id="6029" xr3:uid="{57BA2592-197F-43A2-A3A0-B71C9C27F445}" name="Spalte6012"/>
    <tableColumn id="6030" xr3:uid="{397F5432-4A1D-4368-83F3-510CAD8734D2}" name="Spalte6013"/>
    <tableColumn id="6031" xr3:uid="{9729512C-03EE-4AD0-A504-860709367E6D}" name="Spalte6014"/>
    <tableColumn id="6032" xr3:uid="{9A46863D-53C5-4B2B-92C0-C312A36D5F3A}" name="Spalte6015"/>
    <tableColumn id="6033" xr3:uid="{CA4FF74C-724A-417D-893D-AC327FB9EF65}" name="Spalte6016"/>
    <tableColumn id="6034" xr3:uid="{915BCC3A-BD7A-4D29-A6A6-0E35270976F5}" name="Spalte6017"/>
    <tableColumn id="6035" xr3:uid="{81C409F5-41C0-4039-841D-754A709F3115}" name="Spalte6018"/>
    <tableColumn id="6036" xr3:uid="{F2917524-AA5F-4F86-99F2-0CA69234B691}" name="Spalte6019"/>
    <tableColumn id="6037" xr3:uid="{7799DBFD-C1C2-43E3-8D60-1A11A2BB9C8D}" name="Spalte6020"/>
    <tableColumn id="6038" xr3:uid="{8DE0E5FB-6E58-447C-A2A1-8DBA87382F85}" name="Spalte6021"/>
    <tableColumn id="6039" xr3:uid="{E6D938CE-087D-4F34-B6DF-B9480C37A8E8}" name="Spalte6022"/>
    <tableColumn id="6040" xr3:uid="{70E06DDE-7F94-4D11-908E-890E9438E8F3}" name="Spalte6023"/>
    <tableColumn id="6041" xr3:uid="{FE468E50-7122-4ED7-A5EB-EA60882F4A21}" name="Spalte6024"/>
    <tableColumn id="6042" xr3:uid="{ED75B0B9-27F0-4B0B-8C81-4F439C2D7725}" name="Spalte6025"/>
    <tableColumn id="6043" xr3:uid="{7D3A86A3-C14A-46A7-9620-63AFCBFA9E04}" name="Spalte6026"/>
    <tableColumn id="6044" xr3:uid="{41CD8317-51DD-405E-B538-3ADF57073B57}" name="Spalte6027"/>
    <tableColumn id="6045" xr3:uid="{FAD25E00-E1A8-4078-8493-1D4E8BC69305}" name="Spalte6028"/>
    <tableColumn id="6046" xr3:uid="{E679847F-F3AE-43D4-9148-E66AC05CC693}" name="Spalte6029"/>
    <tableColumn id="6047" xr3:uid="{E1961C8E-ECD1-44F7-BBDC-8538C7EEA8CA}" name="Spalte6030"/>
    <tableColumn id="6048" xr3:uid="{177B91D9-474C-4F23-A911-7B9BF6DCE408}" name="Spalte6031"/>
    <tableColumn id="6049" xr3:uid="{110A434A-8F27-41F4-86C2-3ECE5F57C382}" name="Spalte6032"/>
    <tableColumn id="6050" xr3:uid="{A95EED01-A345-446A-A19E-EDB0A94FCA9A}" name="Spalte6033"/>
    <tableColumn id="6051" xr3:uid="{9F86CFE0-9AF3-47A6-B9FF-E34008B8B523}" name="Spalte6034"/>
    <tableColumn id="6052" xr3:uid="{6813C7BF-6CBD-4763-B029-95D28E4C489D}" name="Spalte6035"/>
    <tableColumn id="6053" xr3:uid="{009C89B5-12BF-41EE-9E9C-8538FA0F94C6}" name="Spalte6036"/>
    <tableColumn id="6054" xr3:uid="{AB4954F8-B381-47E9-B136-28247B788325}" name="Spalte6037"/>
    <tableColumn id="6055" xr3:uid="{8CFFED51-15F1-4492-A143-5362114BA5BB}" name="Spalte6038"/>
    <tableColumn id="6056" xr3:uid="{D15A7035-3927-4DB5-BBBA-3AED031C61F1}" name="Spalte6039"/>
    <tableColumn id="6057" xr3:uid="{D65CFD08-0625-4055-998B-6A61EDEFF733}" name="Spalte6040"/>
    <tableColumn id="6058" xr3:uid="{5CBD6B5A-3FA8-4AEC-9B44-E212A26BCD49}" name="Spalte6041"/>
    <tableColumn id="6059" xr3:uid="{9CF7C6FE-5F56-4178-8C50-6A5529D0FB05}" name="Spalte6042"/>
    <tableColumn id="6060" xr3:uid="{3D25C8EA-3968-4710-9C6A-7B9CD6BE9D6C}" name="Spalte6043"/>
    <tableColumn id="6061" xr3:uid="{C277EAD9-5CF6-4DDF-AC33-7770BCA308E2}" name="Spalte6044"/>
    <tableColumn id="6062" xr3:uid="{7AC32319-33A0-4F1E-9DA9-63E5393E9B21}" name="Spalte6045"/>
    <tableColumn id="6063" xr3:uid="{6745A1B0-E12C-4DAF-BC0D-601B6A8E4851}" name="Spalte6046"/>
    <tableColumn id="6064" xr3:uid="{E8B15FF7-7A51-448B-A0F0-D9AB2F94B0D0}" name="Spalte6047"/>
    <tableColumn id="6065" xr3:uid="{4BF7A59D-6480-461C-BACF-8C1C7E43905C}" name="Spalte6048"/>
    <tableColumn id="6066" xr3:uid="{D8C345C7-FE9B-459C-8B21-E9F7598F8F13}" name="Spalte6049"/>
    <tableColumn id="6067" xr3:uid="{D070180B-CF98-4CAD-845A-9889460D20BD}" name="Spalte6050"/>
    <tableColumn id="6068" xr3:uid="{B68AA264-5A7A-4BAE-B6B3-A9620F498F98}" name="Spalte6051"/>
    <tableColumn id="6069" xr3:uid="{1B9CE37C-B3BB-4A03-8DC3-6B51DDD3CECD}" name="Spalte6052"/>
    <tableColumn id="6070" xr3:uid="{5DAC1F26-5F12-40D1-A0A1-18F7D06F4273}" name="Spalte6053"/>
    <tableColumn id="6071" xr3:uid="{4D888B57-CDF7-4A82-880B-C2E783B0869D}" name="Spalte6054"/>
    <tableColumn id="6072" xr3:uid="{30AC8A94-740A-41B7-84E9-CA9CA96F6901}" name="Spalte6055"/>
    <tableColumn id="6073" xr3:uid="{BFA72972-9190-4091-9BDE-3F59A26BDED4}" name="Spalte6056"/>
    <tableColumn id="6074" xr3:uid="{0CE3222C-04EE-47AE-B1BE-2BF54B7B3BF5}" name="Spalte6057"/>
    <tableColumn id="6075" xr3:uid="{059C6E28-3EF6-4B91-8673-1976FCD5897E}" name="Spalte6058"/>
    <tableColumn id="6076" xr3:uid="{B478E1C0-27B9-4CE6-865D-5DE590E715D9}" name="Spalte6059"/>
    <tableColumn id="6077" xr3:uid="{1AC0CA8E-0AC5-431A-973C-9479646F21FC}" name="Spalte6060"/>
    <tableColumn id="6078" xr3:uid="{9E5077D5-E3E6-4C1E-BA6E-CBE4B9D6A3A3}" name="Spalte6061"/>
    <tableColumn id="6079" xr3:uid="{ACEC1913-2B2F-49B1-B685-3D1A689B52FD}" name="Spalte6062"/>
    <tableColumn id="6080" xr3:uid="{04AC88AB-D615-40BF-BDD0-7313E72E697E}" name="Spalte6063"/>
    <tableColumn id="6081" xr3:uid="{7B4F28F2-8BDD-4A93-9F07-038F8255645F}" name="Spalte6064"/>
    <tableColumn id="6082" xr3:uid="{7A7BE2CC-9914-419A-A8C9-F4172EC7D234}" name="Spalte6065"/>
    <tableColumn id="6083" xr3:uid="{B2AB7A6B-DD9E-487C-80D6-BC59222EEB06}" name="Spalte6066"/>
    <tableColumn id="6084" xr3:uid="{A67A2023-ED2B-4E22-926F-F9C8E301AE1A}" name="Spalte6067"/>
    <tableColumn id="6085" xr3:uid="{874A0393-F8BB-4963-A33E-61165FB85011}" name="Spalte6068"/>
    <tableColumn id="6086" xr3:uid="{F395043B-3C0A-4B14-9C5D-CA350513604F}" name="Spalte6069"/>
    <tableColumn id="6087" xr3:uid="{B2665229-1E1F-42BB-826B-D41E9C57CA29}" name="Spalte6070"/>
    <tableColumn id="6088" xr3:uid="{01DAA7B9-5D17-445F-9B00-4D374DE47918}" name="Spalte6071"/>
    <tableColumn id="6089" xr3:uid="{1C88E9E8-4ADF-4E32-86A6-866FAEBBAE21}" name="Spalte6072"/>
    <tableColumn id="6090" xr3:uid="{2FD9218B-3EDA-4C6C-AE17-527983D6C2FE}" name="Spalte6073"/>
    <tableColumn id="6091" xr3:uid="{EB839A98-03C1-4C0D-B0A2-D491B9F549FA}" name="Spalte6074"/>
    <tableColumn id="6092" xr3:uid="{23D7AEF9-9E15-466D-9376-F9CFB4C78D98}" name="Spalte6075"/>
    <tableColumn id="6093" xr3:uid="{91402A2B-4635-4D41-BCB4-B525AEDC7F7E}" name="Spalte6076"/>
    <tableColumn id="6094" xr3:uid="{A6BD2AD8-74B4-41A9-97D5-51FAE8FFFFB3}" name="Spalte6077"/>
    <tableColumn id="6095" xr3:uid="{16C56DC5-84ED-4D0E-B664-CAAAD12A0C93}" name="Spalte6078"/>
    <tableColumn id="6096" xr3:uid="{89440A9F-9FB6-4574-BF18-90E4283D352A}" name="Spalte6079"/>
    <tableColumn id="6097" xr3:uid="{6D1B979A-662B-4F0A-B866-6DB26316BC77}" name="Spalte6080"/>
    <tableColumn id="6098" xr3:uid="{EA1C5FE9-1C1F-4B3D-9718-63F41ADC8DA9}" name="Spalte6081"/>
    <tableColumn id="6099" xr3:uid="{FA40FB72-B3B3-4E30-B8BB-2D0F435879AE}" name="Spalte6082"/>
    <tableColumn id="6100" xr3:uid="{D697539F-2DBC-4B5A-8BFC-A3EE729EA30A}" name="Spalte6083"/>
    <tableColumn id="6101" xr3:uid="{4E6FA81E-5E5D-45AF-89EB-39926FAE3DE5}" name="Spalte6084"/>
    <tableColumn id="6102" xr3:uid="{3ABF5805-A5C7-410C-89EC-FBCFDA02A675}" name="Spalte6085"/>
    <tableColumn id="6103" xr3:uid="{B2AE8F89-0616-42CF-A73B-4A7EC257FCB5}" name="Spalte6086"/>
    <tableColumn id="6104" xr3:uid="{FBD4E91B-DAA6-43C7-BAE6-99531716FF90}" name="Spalte6087"/>
    <tableColumn id="6105" xr3:uid="{8B1F0016-3DA1-40E1-9151-D636FC4FE210}" name="Spalte6088"/>
    <tableColumn id="6106" xr3:uid="{5D0A9688-FF8B-488A-9DF4-EF336D3491C3}" name="Spalte6089"/>
    <tableColumn id="6107" xr3:uid="{B63C2E06-B2E8-4543-B297-117415721E03}" name="Spalte6090"/>
    <tableColumn id="6108" xr3:uid="{EE3497CD-0A0F-4B0D-9CE1-5573A98531A1}" name="Spalte6091"/>
    <tableColumn id="6109" xr3:uid="{DE2116CF-4DD6-4CC1-8DA2-0BFA891E52F7}" name="Spalte6092"/>
    <tableColumn id="6110" xr3:uid="{35FE3790-3810-4647-87C8-FDC4DD709255}" name="Spalte6093"/>
    <tableColumn id="6111" xr3:uid="{CBDCBEA5-EBBC-4131-9F33-1F8418D65485}" name="Spalte6094"/>
    <tableColumn id="6112" xr3:uid="{16F55126-8D0C-413E-AA86-F60F8EF61301}" name="Spalte6095"/>
    <tableColumn id="6113" xr3:uid="{6EF3B96F-679A-4956-8746-FDD05D09F120}" name="Spalte6096"/>
    <tableColumn id="6114" xr3:uid="{F3259870-7D87-4798-86B5-E6A1676AD08F}" name="Spalte6097"/>
    <tableColumn id="6115" xr3:uid="{A22F2E2D-ED8A-4908-A1AB-4530718533CA}" name="Spalte6098"/>
    <tableColumn id="6116" xr3:uid="{912B0339-A2DA-4C56-819C-4110B2B66ED4}" name="Spalte6099"/>
    <tableColumn id="6117" xr3:uid="{CFD630E7-B142-4B11-8070-66521043B76A}" name="Spalte6100"/>
    <tableColumn id="6118" xr3:uid="{49A10CBB-3CCD-473E-A672-8D4EF9FFDAE2}" name="Spalte6101"/>
    <tableColumn id="6119" xr3:uid="{53D66017-3A8C-4829-81FF-8D7AD95BCC31}" name="Spalte6102"/>
    <tableColumn id="6120" xr3:uid="{7252CA1A-D12A-41CF-97F3-57AC1C26F345}" name="Spalte6103"/>
    <tableColumn id="6121" xr3:uid="{A2310808-08EC-4652-BA33-A8FEE60B8776}" name="Spalte6104"/>
    <tableColumn id="6122" xr3:uid="{1295A709-6858-410C-A9A2-EB42E95F9E6A}" name="Spalte6105"/>
    <tableColumn id="6123" xr3:uid="{47BEA8AB-6ED5-484F-BBEC-A5A704B9D067}" name="Spalte6106"/>
    <tableColumn id="6124" xr3:uid="{4AFF52F0-62BE-4440-8A30-E0F880604DB2}" name="Spalte6107"/>
    <tableColumn id="6125" xr3:uid="{DC92EA9C-CBE7-4778-9154-A65B9B5BD262}" name="Spalte6108"/>
    <tableColumn id="6126" xr3:uid="{549DC3DA-A577-4936-88A5-B80780960656}" name="Spalte6109"/>
    <tableColumn id="6127" xr3:uid="{AF0C003F-B455-46CC-A67D-2B193C11A6AD}" name="Spalte6110"/>
    <tableColumn id="6128" xr3:uid="{6257949B-FD60-4749-B815-AD60CAE13C41}" name="Spalte6111"/>
    <tableColumn id="6129" xr3:uid="{0F5E4719-3BB9-4727-B703-4C480F01AC50}" name="Spalte6112"/>
    <tableColumn id="6130" xr3:uid="{1ADB46B3-AC3B-4189-819D-4BE46EE426AB}" name="Spalte6113"/>
    <tableColumn id="6131" xr3:uid="{29262AF5-08C6-40BB-BE1E-69D1064A8012}" name="Spalte6114"/>
    <tableColumn id="6132" xr3:uid="{71898094-2F73-4A11-B4C3-C21E9AFD36CB}" name="Spalte6115"/>
    <tableColumn id="6133" xr3:uid="{8DDDBE76-CA07-432D-8686-80AECE76A96D}" name="Spalte6116"/>
    <tableColumn id="6134" xr3:uid="{529BB82D-78B4-467E-A909-F0C4BDA145F5}" name="Spalte6117"/>
    <tableColumn id="6135" xr3:uid="{905A8935-D19D-4232-AA29-8050A6121947}" name="Spalte6118"/>
    <tableColumn id="6136" xr3:uid="{8FA9A6B3-7113-405F-998E-7E094B202E6C}" name="Spalte6119"/>
    <tableColumn id="6137" xr3:uid="{90908D4F-DD11-475C-B955-E20F5E75B883}" name="Spalte6120"/>
    <tableColumn id="6138" xr3:uid="{5E1568F0-C872-4068-A440-388DDE6C5A12}" name="Spalte6121"/>
    <tableColumn id="6139" xr3:uid="{074E87D7-0A2D-4A56-8604-C7735BE936C5}" name="Spalte6122"/>
    <tableColumn id="6140" xr3:uid="{5B60BEB6-C0BF-472E-81D8-B6AE1178E3EC}" name="Spalte6123"/>
    <tableColumn id="6141" xr3:uid="{D1DE5E3A-1119-4919-AE2C-094E0F74D9A1}" name="Spalte6124"/>
    <tableColumn id="6142" xr3:uid="{4E0C1A84-C43D-48CA-9DA6-850F62305D99}" name="Spalte6125"/>
    <tableColumn id="6143" xr3:uid="{A4007745-11FE-4BC5-BA9F-82FBB83DB0A2}" name="Spalte6126"/>
    <tableColumn id="6144" xr3:uid="{02A8689F-2C9E-4330-BCEB-7B7AB876DE53}" name="Spalte6127"/>
    <tableColumn id="6145" xr3:uid="{3CFA3851-C355-4DB6-B45B-640F64AF32E5}" name="Spalte6128"/>
    <tableColumn id="6146" xr3:uid="{2CEE8311-BB27-42E1-84C7-E2E36E8C61D6}" name="Spalte6129"/>
    <tableColumn id="6147" xr3:uid="{0AE0506D-1B71-46AF-BD21-2A3DBDB2FEA3}" name="Spalte6130"/>
    <tableColumn id="6148" xr3:uid="{843DCA71-3BAC-4380-8A4F-4063B838951C}" name="Spalte6131"/>
    <tableColumn id="6149" xr3:uid="{EC550BAD-4CFC-4280-9454-D034FCF42201}" name="Spalte6132"/>
    <tableColumn id="6150" xr3:uid="{C166407E-234E-44C1-BD54-A0A350B44565}" name="Spalte6133"/>
    <tableColumn id="6151" xr3:uid="{DC192A78-1D20-4B0D-8546-A05BA2CD70D6}" name="Spalte6134"/>
    <tableColumn id="6152" xr3:uid="{28D7835F-4829-437B-BFA3-B5A251D57B8F}" name="Spalte6135"/>
    <tableColumn id="6153" xr3:uid="{9E600F57-F44A-40FA-91CC-2C44621EACAA}" name="Spalte6136"/>
    <tableColumn id="6154" xr3:uid="{48DFD8EC-2E49-45CD-AB90-04CB503DA901}" name="Spalte6137"/>
    <tableColumn id="6155" xr3:uid="{68B8E2B1-9DB7-4CCA-A664-2E703DBCE9A0}" name="Spalte6138"/>
    <tableColumn id="6156" xr3:uid="{534E03EE-7931-407F-A03A-0CF7CB91EA7E}" name="Spalte6139"/>
    <tableColumn id="6157" xr3:uid="{A6294C6A-D861-403B-B433-89B0D71C23AB}" name="Spalte6140"/>
    <tableColumn id="6158" xr3:uid="{685DD396-5CC0-453E-800C-369D5C65DDDA}" name="Spalte6141"/>
    <tableColumn id="6159" xr3:uid="{D45C2E49-1D01-4D16-8CEC-06BE93F103F3}" name="Spalte6142"/>
    <tableColumn id="6160" xr3:uid="{15B47D98-075D-4571-84F1-7F4D9D7753ED}" name="Spalte6143"/>
    <tableColumn id="6161" xr3:uid="{D9DF9956-1E27-4970-B7C6-9EB884261B79}" name="Spalte6144"/>
    <tableColumn id="6162" xr3:uid="{FDAAD4A5-2F75-45D9-A1DB-C2DFE7E8C9AE}" name="Spalte6145"/>
    <tableColumn id="6163" xr3:uid="{3EE32633-EBCB-4FD8-A469-E69039C9B110}" name="Spalte6146"/>
    <tableColumn id="6164" xr3:uid="{B1E34208-64E5-497D-8B7A-A2F00A621AAA}" name="Spalte6147"/>
    <tableColumn id="6165" xr3:uid="{521CB333-5F49-44E3-AA38-2F354BE787A1}" name="Spalte6148"/>
    <tableColumn id="6166" xr3:uid="{2B17DEA4-E82F-4B73-B3E5-DAD63FB940CC}" name="Spalte6149"/>
    <tableColumn id="6167" xr3:uid="{FE736830-29BB-4B10-BAD6-5A95267CC117}" name="Spalte6150"/>
    <tableColumn id="6168" xr3:uid="{7A367D88-4A1C-43A6-A284-994D156E9C24}" name="Spalte6151"/>
    <tableColumn id="6169" xr3:uid="{1B15890F-3E38-4CDC-B432-E0770CC7A726}" name="Spalte6152"/>
    <tableColumn id="6170" xr3:uid="{F33E01B7-E9C9-4351-97FE-7789D2511825}" name="Spalte6153"/>
    <tableColumn id="6171" xr3:uid="{74F3D5C3-5109-49D3-A0AE-17F0D834FB73}" name="Spalte6154"/>
    <tableColumn id="6172" xr3:uid="{CBF9BE2E-CE74-4D45-8CF8-2509674D3CDD}" name="Spalte6155"/>
    <tableColumn id="6173" xr3:uid="{E762971E-D909-4B97-B253-28E289CACCC0}" name="Spalte6156"/>
    <tableColumn id="6174" xr3:uid="{A4E62E09-749F-48AC-91E6-8AF6DA818609}" name="Spalte6157"/>
    <tableColumn id="6175" xr3:uid="{552862B3-1E2B-45EA-8F1A-4A4975FBAB58}" name="Spalte6158"/>
    <tableColumn id="6176" xr3:uid="{0A05ABB3-E8C4-4F84-8F5F-6221996DE30E}" name="Spalte6159"/>
    <tableColumn id="6177" xr3:uid="{DC061EE8-FBD1-4DA0-A412-5C5A7F23AB3E}" name="Spalte6160"/>
    <tableColumn id="6178" xr3:uid="{01941BCD-7475-45D4-A0E9-F456424258DF}" name="Spalte6161"/>
    <tableColumn id="6179" xr3:uid="{EF6F0509-29D8-4D9B-A50C-2666D67B7332}" name="Spalte6162"/>
    <tableColumn id="6180" xr3:uid="{0FE88864-5EF2-4CC2-9B52-647A4A783715}" name="Spalte6163"/>
    <tableColumn id="6181" xr3:uid="{B847615F-4A1B-4A6F-85A7-05C9E139A96B}" name="Spalte6164"/>
    <tableColumn id="6182" xr3:uid="{53B321A6-12E8-4073-9010-0AB4E3CE0ED4}" name="Spalte6165"/>
    <tableColumn id="6183" xr3:uid="{D196D23E-DA9A-49F5-A402-7114438DBF05}" name="Spalte6166"/>
    <tableColumn id="6184" xr3:uid="{1B98AB8C-46F2-4BA7-9F2F-21414BD2BF2D}" name="Spalte6167"/>
    <tableColumn id="6185" xr3:uid="{D3CCCEE1-31AF-4228-B755-9F952933B8D9}" name="Spalte6168"/>
    <tableColumn id="6186" xr3:uid="{1C914D32-7C53-4E24-832B-952AF855B1E6}" name="Spalte6169"/>
    <tableColumn id="6187" xr3:uid="{ABFBA12F-D746-441E-92AB-FFBBBF069E9B}" name="Spalte6170"/>
    <tableColumn id="6188" xr3:uid="{BF4F4724-AECB-4539-AA6E-AE5153324188}" name="Spalte6171"/>
    <tableColumn id="6189" xr3:uid="{6788B194-C439-45E9-9488-9BCE3B1F65BC}" name="Spalte6172"/>
    <tableColumn id="6190" xr3:uid="{F312F031-B7F7-4E7D-8963-64B33F1C11A7}" name="Spalte6173"/>
    <tableColumn id="6191" xr3:uid="{C227B49E-5FC0-47C6-B4F8-9013C9851489}" name="Spalte6174"/>
    <tableColumn id="6192" xr3:uid="{4F2C3F4D-8C29-482D-9545-B6D06BA0F929}" name="Spalte6175"/>
    <tableColumn id="6193" xr3:uid="{12584FF9-9484-4D07-ABE9-5CF9353BE8E6}" name="Spalte6176"/>
    <tableColumn id="6194" xr3:uid="{93C667B3-6AC5-450C-A4A6-9941AD1F695C}" name="Spalte6177"/>
    <tableColumn id="6195" xr3:uid="{B72C887E-24CF-4F0F-8CB5-1DF923658D4C}" name="Spalte6178"/>
    <tableColumn id="6196" xr3:uid="{F5DAC9E6-5BB9-4C17-96A8-DDB2B7E0B49D}" name="Spalte6179"/>
    <tableColumn id="6197" xr3:uid="{11F05F89-0A23-4502-8ABE-BB7496976C7C}" name="Spalte6180"/>
    <tableColumn id="6198" xr3:uid="{F0EC4531-D0A5-4992-9CC4-1D60333B8A86}" name="Spalte6181"/>
    <tableColumn id="6199" xr3:uid="{59423F7C-637A-4A83-8A9E-1199AC8421DB}" name="Spalte6182"/>
    <tableColumn id="6200" xr3:uid="{2F9F1D6A-5A97-4DA0-A35C-0D64EE5E898F}" name="Spalte6183"/>
    <tableColumn id="6201" xr3:uid="{46734562-020F-4A6D-924B-B9085F905BD5}" name="Spalte6184"/>
    <tableColumn id="6202" xr3:uid="{51422BEA-8DF2-49D5-8493-9FA9502E6D01}" name="Spalte6185"/>
    <tableColumn id="6203" xr3:uid="{47EC73D6-6FD2-4110-9CE3-39CB8CEA33F5}" name="Spalte6186"/>
    <tableColumn id="6204" xr3:uid="{2FCAC8EC-0900-40E7-A5B6-F0542F789FBC}" name="Spalte6187"/>
    <tableColumn id="6205" xr3:uid="{F3102582-4E3C-4D8F-BD8B-5CF1B72C6E56}" name="Spalte6188"/>
    <tableColumn id="6206" xr3:uid="{79D5B6FD-2936-44CA-9EC5-676F15D1AD44}" name="Spalte6189"/>
    <tableColumn id="6207" xr3:uid="{FCB95086-FF37-4B2B-A9A9-64840823C52D}" name="Spalte6190"/>
    <tableColumn id="6208" xr3:uid="{E9B02685-3B3C-4140-A3B9-1DAE028AFC31}" name="Spalte6191"/>
    <tableColumn id="6209" xr3:uid="{3DFC4409-5AC8-4A0A-B6BE-9A16C3AD463F}" name="Spalte6192"/>
    <tableColumn id="6210" xr3:uid="{F5601F89-8590-4DED-9F8D-9D734DF787E3}" name="Spalte6193"/>
    <tableColumn id="6211" xr3:uid="{696F7610-1ED7-43DD-B7A6-1FB1FD751054}" name="Spalte6194"/>
    <tableColumn id="6212" xr3:uid="{0E4AE7E7-D622-4AAD-9F68-48ED152A9C88}" name="Spalte6195"/>
    <tableColumn id="6213" xr3:uid="{87C7FC96-8CA8-41C1-9500-2B5F2AEA8A4F}" name="Spalte6196"/>
    <tableColumn id="6214" xr3:uid="{4ABDB1B9-1E02-4C7C-998D-13FE19B2DC16}" name="Spalte6197"/>
    <tableColumn id="6215" xr3:uid="{42989612-3678-4B5D-B6CB-0830B996F635}" name="Spalte6198"/>
    <tableColumn id="6216" xr3:uid="{CD9A8429-CB24-4690-9101-267E7C579689}" name="Spalte6199"/>
    <tableColumn id="6217" xr3:uid="{263099F3-54EB-485A-BA42-B944A92E3C70}" name="Spalte6200"/>
    <tableColumn id="6218" xr3:uid="{9C5C250B-0CE0-4D35-8891-0C30441DB872}" name="Spalte6201"/>
    <tableColumn id="6219" xr3:uid="{428A21FA-5DE3-459D-B225-E27CE6D1CCF0}" name="Spalte6202"/>
    <tableColumn id="6220" xr3:uid="{29AA039D-8C3B-4EED-BB68-2CBF2879D024}" name="Spalte6203"/>
    <tableColumn id="6221" xr3:uid="{0A635DE0-B367-4076-A187-133F39F99823}" name="Spalte6204"/>
    <tableColumn id="6222" xr3:uid="{C5F8BE3F-6C70-4A1A-906B-B9A9BC5E2850}" name="Spalte6205"/>
    <tableColumn id="6223" xr3:uid="{D5AC0334-EAA7-4511-ADA8-E9F7105CE48F}" name="Spalte6206"/>
    <tableColumn id="6224" xr3:uid="{D26B7E33-96EE-4851-97AF-8EB9319772A5}" name="Spalte6207"/>
    <tableColumn id="6225" xr3:uid="{4621A41E-7A84-4686-A2B2-75B0009E50CE}" name="Spalte6208"/>
    <tableColumn id="6226" xr3:uid="{737804AF-0F40-4BC0-B904-DE973F5B0821}" name="Spalte6209"/>
    <tableColumn id="6227" xr3:uid="{3FB69DBA-BE8A-4376-9B92-B98242544A5F}" name="Spalte6210"/>
    <tableColumn id="6228" xr3:uid="{004F3BA1-4512-485E-AB8C-A26AC9E5A5ED}" name="Spalte6211"/>
    <tableColumn id="6229" xr3:uid="{081717D9-2E48-4118-BB29-5660C3AB3C5B}" name="Spalte6212"/>
    <tableColumn id="6230" xr3:uid="{1BF1A3FC-D5B7-4FE3-9CA3-657EC2290988}" name="Spalte6213"/>
    <tableColumn id="6231" xr3:uid="{8E376C40-81B9-4C5B-ADDB-4DBE004011E1}" name="Spalte6214"/>
    <tableColumn id="6232" xr3:uid="{1A30CC82-AF5C-4E71-9D88-A501E6BDFA41}" name="Spalte6215"/>
    <tableColumn id="6233" xr3:uid="{F1FC7E46-A426-4463-9C8B-5A25812A4801}" name="Spalte6216"/>
    <tableColumn id="6234" xr3:uid="{EA152222-F4ED-4043-AA17-435A1BA6DECE}" name="Spalte6217"/>
    <tableColumn id="6235" xr3:uid="{71A5FF21-A006-4D31-8408-6039F0373AA3}" name="Spalte6218"/>
    <tableColumn id="6236" xr3:uid="{EDF7B296-24C0-4CF1-9ACD-C7B427D6072C}" name="Spalte6219"/>
    <tableColumn id="6237" xr3:uid="{CDEC5633-21E1-4F4B-BF42-DC55C71D6DAD}" name="Spalte6220"/>
    <tableColumn id="6238" xr3:uid="{FDDA14F8-D62F-475D-8B47-369F2CDB6BEF}" name="Spalte6221"/>
    <tableColumn id="6239" xr3:uid="{6EDE2B1F-CC56-4C3F-B45E-BB8204DB96E5}" name="Spalte6222"/>
    <tableColumn id="6240" xr3:uid="{7E972730-DA42-49FE-836A-A2DA2E28D35F}" name="Spalte6223"/>
    <tableColumn id="6241" xr3:uid="{3993FDBE-B65C-454C-BEE4-1916A99E2CDD}" name="Spalte6224"/>
    <tableColumn id="6242" xr3:uid="{06468D8E-8343-4314-93AF-B01AE53B65E6}" name="Spalte6225"/>
    <tableColumn id="6243" xr3:uid="{7EBF1817-1E7C-4781-A477-374C81755184}" name="Spalte6226"/>
    <tableColumn id="6244" xr3:uid="{454445EA-9CAD-4D93-8E90-77A7B28EDFFB}" name="Spalte6227"/>
    <tableColumn id="6245" xr3:uid="{D2D2ABEA-E45F-4F6E-991A-B837BDDE9595}" name="Spalte6228"/>
    <tableColumn id="6246" xr3:uid="{CB8F040A-CF2D-4E7C-93FF-B629DD117BEC}" name="Spalte6229"/>
    <tableColumn id="6247" xr3:uid="{8557FFCD-D479-47C0-996D-EC52D5E2F6B9}" name="Spalte6230"/>
    <tableColumn id="6248" xr3:uid="{E41516F5-3198-417B-A3B8-A1F24826FE03}" name="Spalte6231"/>
    <tableColumn id="6249" xr3:uid="{425D3184-8779-4A6E-BC08-F72A91C851EB}" name="Spalte6232"/>
    <tableColumn id="6250" xr3:uid="{492563FD-E3D0-482D-8C97-95F9A4889127}" name="Spalte6233"/>
    <tableColumn id="6251" xr3:uid="{F1505983-A8F0-4EEC-B74C-966F02DBA552}" name="Spalte6234"/>
    <tableColumn id="6252" xr3:uid="{DE8C2CAF-1CA6-4355-8035-48ECDC09EB1D}" name="Spalte6235"/>
    <tableColumn id="6253" xr3:uid="{4B6A4626-4451-4603-9B50-8C42374C8B3C}" name="Spalte6236"/>
    <tableColumn id="6254" xr3:uid="{5B2026DB-53B5-40E2-A348-3716E21DCC01}" name="Spalte6237"/>
    <tableColumn id="6255" xr3:uid="{22E45E0A-EAE3-46B4-B321-317F6DB5215C}" name="Spalte6238"/>
    <tableColumn id="6256" xr3:uid="{51037633-7250-4815-9A8C-489693F84A9A}" name="Spalte6239"/>
    <tableColumn id="6257" xr3:uid="{9B8DECD6-916C-499B-9D55-B2FC08F759A9}" name="Spalte6240"/>
    <tableColumn id="6258" xr3:uid="{5745DA18-67D8-45AA-8614-2A8AD0476027}" name="Spalte6241"/>
    <tableColumn id="6259" xr3:uid="{90628B45-AE35-4DA9-A013-CA7972DEFD8A}" name="Spalte6242"/>
    <tableColumn id="6260" xr3:uid="{0720139B-E664-470E-AAC4-D26713375CD9}" name="Spalte6243"/>
    <tableColumn id="6261" xr3:uid="{0220EB70-A6CB-417B-8CA2-F66A50528747}" name="Spalte6244"/>
    <tableColumn id="6262" xr3:uid="{FBC6C7C1-700B-4604-AB9F-ADA4FB880017}" name="Spalte6245"/>
    <tableColumn id="6263" xr3:uid="{E1F37A1D-A652-47A2-9534-C75CDC4CF591}" name="Spalte6246"/>
    <tableColumn id="6264" xr3:uid="{CDF96B1D-11FA-42B1-BDF4-5E93DB97F7D7}" name="Spalte6247"/>
    <tableColumn id="6265" xr3:uid="{5CF3FEEE-CF7E-4CB5-9E0B-23F23BEEDFB8}" name="Spalte6248"/>
    <tableColumn id="6266" xr3:uid="{74686392-1FC9-4D8C-BD58-F117E8318C4F}" name="Spalte6249"/>
    <tableColumn id="6267" xr3:uid="{CB4F3BBA-B2FA-459F-A3B8-C4CE0A9E4C3B}" name="Spalte6250"/>
    <tableColumn id="6268" xr3:uid="{96A85074-220D-43DD-9D4B-66DA2BF67FBB}" name="Spalte6251"/>
    <tableColumn id="6269" xr3:uid="{90EA8B55-0327-41A0-9425-C80124D69D25}" name="Spalte6252"/>
    <tableColumn id="6270" xr3:uid="{264E01EF-7B39-4166-93CE-09C185338C52}" name="Spalte6253"/>
    <tableColumn id="6271" xr3:uid="{16969BAE-80BC-46BB-BEA8-E59A40EF8A04}" name="Spalte6254"/>
    <tableColumn id="6272" xr3:uid="{540843A9-5A30-427A-8C6A-ED5468F620E6}" name="Spalte6255"/>
    <tableColumn id="6273" xr3:uid="{A6511700-D8A2-4422-AD5B-3EA797AE12C9}" name="Spalte6256"/>
    <tableColumn id="6274" xr3:uid="{C594D2B9-F7D2-41A5-9ECB-A0A7661B92E0}" name="Spalte6257"/>
    <tableColumn id="6275" xr3:uid="{E0FFA4F6-EEAF-4B7E-B71D-76BE78FB8C8F}" name="Spalte6258"/>
    <tableColumn id="6276" xr3:uid="{16193E7E-0DDC-4BA8-B985-23387A5D7508}" name="Spalte6259"/>
    <tableColumn id="6277" xr3:uid="{E8FDBF6E-E0D3-4AEB-858C-5CD376B916BA}" name="Spalte6260"/>
    <tableColumn id="6278" xr3:uid="{8773091A-58EF-4E2B-976F-A7ABB91F78CD}" name="Spalte6261"/>
    <tableColumn id="6279" xr3:uid="{519B08D2-FF68-444E-A691-8F6DD0B4D7EA}" name="Spalte6262"/>
    <tableColumn id="6280" xr3:uid="{CDBD93B5-933D-4309-A28A-084816B6E71E}" name="Spalte6263"/>
    <tableColumn id="6281" xr3:uid="{E4DE036F-1BE9-418B-B2A5-6B5166E167E3}" name="Spalte6264"/>
    <tableColumn id="6282" xr3:uid="{A1ACE54E-7F3B-412D-935D-5D589D6A3167}" name="Spalte6265"/>
    <tableColumn id="6283" xr3:uid="{37513198-768D-4DEB-9A7B-A41ADE8D1ED2}" name="Spalte6266"/>
    <tableColumn id="6284" xr3:uid="{A740570C-210A-40A4-8510-6284C1A8C963}" name="Spalte6267"/>
    <tableColumn id="6285" xr3:uid="{A18991AE-4E22-4285-9A11-6037F483C303}" name="Spalte6268"/>
    <tableColumn id="6286" xr3:uid="{C5D87348-BF42-4B6A-8A38-6290D3092185}" name="Spalte6269"/>
    <tableColumn id="6287" xr3:uid="{0C1A8FE0-CA73-4A36-8F33-902CF780D244}" name="Spalte6270"/>
    <tableColumn id="6288" xr3:uid="{16415586-9C75-425D-8E0D-4C16133E1F7F}" name="Spalte6271"/>
    <tableColumn id="6289" xr3:uid="{B501B0FE-998D-4319-A001-0973E5B314F3}" name="Spalte6272"/>
    <tableColumn id="6290" xr3:uid="{20A955C0-8736-4937-8E07-DBF530070E1D}" name="Spalte6273"/>
    <tableColumn id="6291" xr3:uid="{E2205618-8993-4FA9-8EFE-97C93D692849}" name="Spalte6274"/>
    <tableColumn id="6292" xr3:uid="{E3BBB84A-7FCC-40FB-BD07-321FBE425756}" name="Spalte6275"/>
    <tableColumn id="6293" xr3:uid="{064A7295-69D4-4EA6-922A-4705D35E809B}" name="Spalte6276"/>
    <tableColumn id="6294" xr3:uid="{901DEB3D-6917-43C5-B60A-B422D3BF9D43}" name="Spalte6277"/>
    <tableColumn id="6295" xr3:uid="{7693C7EE-807A-4B66-A221-434ACA29EDBD}" name="Spalte6278"/>
    <tableColumn id="6296" xr3:uid="{C0A1C459-DA12-42E2-A229-88B5DFA9FD36}" name="Spalte6279"/>
    <tableColumn id="6297" xr3:uid="{E47DDE46-69FC-471C-93CA-73BFFC8D9EF9}" name="Spalte6280"/>
    <tableColumn id="6298" xr3:uid="{45D9B96D-05E2-47F3-BEF3-A01A4144FEA7}" name="Spalte6281"/>
    <tableColumn id="6299" xr3:uid="{238EA93A-CEC3-4E05-A590-964D4BDB2A0C}" name="Spalte6282"/>
    <tableColumn id="6300" xr3:uid="{B8BFB815-72B4-4EE5-A9D4-00E42AC1E9A8}" name="Spalte6283"/>
    <tableColumn id="6301" xr3:uid="{38F711E8-5B78-42C5-9FB4-17E257086D5B}" name="Spalte6284"/>
    <tableColumn id="6302" xr3:uid="{D1675BC3-D6B4-4A96-8888-65853C73F2B2}" name="Spalte6285"/>
    <tableColumn id="6303" xr3:uid="{CF10791D-F5AD-43B0-927D-6A180337E567}" name="Spalte6286"/>
    <tableColumn id="6304" xr3:uid="{E7C2FB38-B67D-4ED5-9233-D5BDA7F7CC17}" name="Spalte6287"/>
    <tableColumn id="6305" xr3:uid="{CE89E118-C2BF-42E2-A4D4-86A7880B9BE8}" name="Spalte6288"/>
    <tableColumn id="6306" xr3:uid="{F37E49DF-598E-48A0-B66D-0D7B0A7306F6}" name="Spalte6289"/>
    <tableColumn id="6307" xr3:uid="{DE016C37-005B-4D76-9AB1-4E0F47948A1D}" name="Spalte6290"/>
    <tableColumn id="6308" xr3:uid="{A83CAF06-8008-4240-87E8-0D0612239B01}" name="Spalte6291"/>
    <tableColumn id="6309" xr3:uid="{99CE5330-9F77-48E7-BD5A-59D2C3DE9803}" name="Spalte6292"/>
    <tableColumn id="6310" xr3:uid="{2C1B75A9-CB2D-45C9-A738-AAEDAE3CCEF5}" name="Spalte6293"/>
    <tableColumn id="6311" xr3:uid="{468A6E8E-F732-4E01-AC05-87E65C4CF220}" name="Spalte6294"/>
    <tableColumn id="6312" xr3:uid="{EB23980E-33C3-47F2-A15F-B3B8B71E7801}" name="Spalte6295"/>
    <tableColumn id="6313" xr3:uid="{FE851A48-5991-4743-9F53-EF400D0DA2BC}" name="Spalte6296"/>
    <tableColumn id="6314" xr3:uid="{531044DD-52F9-4E42-8AEA-CC774999C855}" name="Spalte6297"/>
    <tableColumn id="6315" xr3:uid="{C76EF12F-B758-4E33-B697-4E9E50EEB8A3}" name="Spalte6298"/>
    <tableColumn id="6316" xr3:uid="{67CE8405-4080-409F-ADA0-879F67AFF893}" name="Spalte6299"/>
    <tableColumn id="6317" xr3:uid="{258E6F7F-453F-48F8-AA70-8AB8A6B75FF4}" name="Spalte6300"/>
    <tableColumn id="6318" xr3:uid="{6CE56F9B-3CF0-4770-BE34-C5AF07BF7937}" name="Spalte6301"/>
    <tableColumn id="6319" xr3:uid="{0CE74834-78F5-4697-8DB7-1626B3E82951}" name="Spalte6302"/>
    <tableColumn id="6320" xr3:uid="{D2F5B864-D53F-4CF1-94DB-6753CAFD0C3B}" name="Spalte6303"/>
    <tableColumn id="6321" xr3:uid="{0338A330-0631-49D6-9280-C282F0A93BC6}" name="Spalte6304"/>
    <tableColumn id="6322" xr3:uid="{304D9141-25A2-4F64-A5F6-47A36607E20D}" name="Spalte6305"/>
    <tableColumn id="6323" xr3:uid="{C2538B08-F090-46C1-9BC3-6F11C11115D5}" name="Spalte6306"/>
    <tableColumn id="6324" xr3:uid="{BFEA49B5-F068-4E4E-B0E2-464188558397}" name="Spalte6307"/>
    <tableColumn id="6325" xr3:uid="{7D12806F-2FF7-487E-A75E-FFB816CD1051}" name="Spalte6308"/>
    <tableColumn id="6326" xr3:uid="{41A9EFD5-DB2D-4CA5-8A1A-3F6ACD1EFC91}" name="Spalte6309"/>
    <tableColumn id="6327" xr3:uid="{4FEED992-52D3-4CBD-A322-5BB0211AED5C}" name="Spalte6310"/>
    <tableColumn id="6328" xr3:uid="{B4B095C6-E154-4FA6-964F-8471BF77B832}" name="Spalte6311"/>
    <tableColumn id="6329" xr3:uid="{9D74E7D0-02F8-4BB1-9033-0E0584BD1C0B}" name="Spalte6312"/>
    <tableColumn id="6330" xr3:uid="{E7F96A51-6606-499B-BD38-BE0F8CCF846A}" name="Spalte6313"/>
    <tableColumn id="6331" xr3:uid="{6E7E0148-713C-4978-9DD4-2D2612BD256C}" name="Spalte6314"/>
    <tableColumn id="6332" xr3:uid="{87079417-AE7B-4DEA-B3F7-6E0FA1272652}" name="Spalte6315"/>
    <tableColumn id="6333" xr3:uid="{1841BC12-9E73-4AE8-9EF0-A90385BC55D6}" name="Spalte6316"/>
    <tableColumn id="6334" xr3:uid="{0B84D2A7-89BB-4BCF-A151-4801C62BC493}" name="Spalte6317"/>
    <tableColumn id="6335" xr3:uid="{B7FE67A9-FEF5-45C0-9818-11BAFDABE11E}" name="Spalte6318"/>
    <tableColumn id="6336" xr3:uid="{BF264937-CB8F-4A38-AB22-43FBC77D9EF0}" name="Spalte6319"/>
    <tableColumn id="6337" xr3:uid="{880B6792-EA26-4FE8-9936-94809C30BB06}" name="Spalte6320"/>
    <tableColumn id="6338" xr3:uid="{7F5C5D68-F480-4777-B4FE-416D21AE6F8E}" name="Spalte6321"/>
    <tableColumn id="6339" xr3:uid="{46FA44E1-02D8-42AA-AD1B-5A253CAFEC6B}" name="Spalte6322"/>
    <tableColumn id="6340" xr3:uid="{9820274C-AFD4-4DAD-90F5-28009C2A84C8}" name="Spalte6323"/>
    <tableColumn id="6341" xr3:uid="{37E20B32-B4AC-466F-BFD4-F314218506C0}" name="Spalte6324"/>
    <tableColumn id="6342" xr3:uid="{4CEEF7AE-E803-4122-A068-533B7BD7FA80}" name="Spalte6325"/>
    <tableColumn id="6343" xr3:uid="{0BF83E17-B414-43EF-B7E0-7C6239802E00}" name="Spalte6326"/>
    <tableColumn id="6344" xr3:uid="{5FE92461-4362-4DF2-B714-67856E267173}" name="Spalte6327"/>
    <tableColumn id="6345" xr3:uid="{AE787106-3A08-47AC-B213-EF108F4EDC3B}" name="Spalte6328"/>
    <tableColumn id="6346" xr3:uid="{7B38B845-CDF4-46AF-B10B-24AC0A6CE39C}" name="Spalte6329"/>
    <tableColumn id="6347" xr3:uid="{76AA428E-4946-491F-80CB-EDD45ABA44EC}" name="Spalte6330"/>
    <tableColumn id="6348" xr3:uid="{18638139-7B20-4DBD-B714-4A76009447A7}" name="Spalte6331"/>
    <tableColumn id="6349" xr3:uid="{DD0F64FC-1D5A-46E0-B421-DD9DBD83CAE4}" name="Spalte6332"/>
    <tableColumn id="6350" xr3:uid="{DBFF44A4-CE61-4C9A-A924-1C9188D1E07B}" name="Spalte6333"/>
    <tableColumn id="6351" xr3:uid="{C1BE4543-89D4-4CF1-96BC-174EA0E87C31}" name="Spalte6334"/>
    <tableColumn id="6352" xr3:uid="{3FBEDDB7-1C4D-4B3C-8929-9B688F77483E}" name="Spalte6335"/>
    <tableColumn id="6353" xr3:uid="{25D9F5A0-5E6A-42FD-B8F7-3C1921F4CA4C}" name="Spalte6336"/>
    <tableColumn id="6354" xr3:uid="{4ED57A4F-E773-4AAD-A2B3-C81157AA3708}" name="Spalte6337"/>
    <tableColumn id="6355" xr3:uid="{5C76D841-C024-4809-A0F4-86B5210885D0}" name="Spalte6338"/>
    <tableColumn id="6356" xr3:uid="{BD6DD334-B68D-46E6-BE2F-D911579AC06F}" name="Spalte6339"/>
    <tableColumn id="6357" xr3:uid="{EDD42D9A-0B11-4254-BC32-62C40F15A1AA}" name="Spalte6340"/>
    <tableColumn id="6358" xr3:uid="{2A0F19F1-5C87-4D27-8108-311EC0E2B27A}" name="Spalte6341"/>
    <tableColumn id="6359" xr3:uid="{5B836267-B501-4989-A7A9-479F2AF843C9}" name="Spalte6342"/>
    <tableColumn id="6360" xr3:uid="{748A970A-2CDD-4D6B-AA89-48A3F25DA1CE}" name="Spalte6343"/>
    <tableColumn id="6361" xr3:uid="{89012998-7FCA-413B-AAD0-FC61AB28726D}" name="Spalte6344"/>
    <tableColumn id="6362" xr3:uid="{000A18D7-E83D-40B6-934C-8A2DE24FEF82}" name="Spalte6345"/>
    <tableColumn id="6363" xr3:uid="{3F183DC1-D58C-48C3-B9EC-961346671D1D}" name="Spalte6346"/>
    <tableColumn id="6364" xr3:uid="{9FFC1785-5700-46CE-A65C-C4A33FF28064}" name="Spalte6347"/>
    <tableColumn id="6365" xr3:uid="{435B346C-1851-458B-BF5A-3447D6A594B6}" name="Spalte6348"/>
    <tableColumn id="6366" xr3:uid="{274B117C-DB85-4721-9EC8-4F966B362DE6}" name="Spalte6349"/>
    <tableColumn id="6367" xr3:uid="{BD1341E1-072E-4FBC-A7D2-970A7D10188A}" name="Spalte6350"/>
    <tableColumn id="6368" xr3:uid="{396DF3FA-32C9-44BF-BF4E-5F67AF9B705D}" name="Spalte6351"/>
    <tableColumn id="6369" xr3:uid="{54DA97E2-70E2-4B04-90D1-6C6452F21BF0}" name="Spalte6352"/>
    <tableColumn id="6370" xr3:uid="{752EA6CC-B8BC-4256-AFF3-C33560A23A14}" name="Spalte6353"/>
    <tableColumn id="6371" xr3:uid="{C04B3BA7-B53B-48F7-A8E7-60439B84451E}" name="Spalte6354"/>
    <tableColumn id="6372" xr3:uid="{B723BE01-6D2F-4EBD-8575-640F8759C684}" name="Spalte6355"/>
    <tableColumn id="6373" xr3:uid="{0E430402-0E0F-4D7C-A727-88B1C1139387}" name="Spalte6356"/>
    <tableColumn id="6374" xr3:uid="{30D4441A-209D-4974-BE6E-3B369A1BC779}" name="Spalte6357"/>
    <tableColumn id="6375" xr3:uid="{0704A0F1-CE93-45BE-B4DB-03140636A229}" name="Spalte6358"/>
    <tableColumn id="6376" xr3:uid="{3A854C3F-95F2-47CF-916D-40CC50155F00}" name="Spalte6359"/>
    <tableColumn id="6377" xr3:uid="{FDDCCBF6-87BE-4DAD-AB14-EFD17CB2B38F}" name="Spalte6360"/>
    <tableColumn id="6378" xr3:uid="{A39287B7-C414-4107-903A-A7B759F40930}" name="Spalte6361"/>
    <tableColumn id="6379" xr3:uid="{1EB46178-074F-413D-86CD-50565091A95B}" name="Spalte6362"/>
    <tableColumn id="6380" xr3:uid="{E9D631BB-A3A8-4178-A085-1D3AF22352D8}" name="Spalte6363"/>
    <tableColumn id="6381" xr3:uid="{904ACC6D-A4C0-4037-BCE2-C5C3D702D342}" name="Spalte6364"/>
    <tableColumn id="6382" xr3:uid="{4823BC7F-A763-420B-A68C-E838BF0A8862}" name="Spalte6365"/>
    <tableColumn id="6383" xr3:uid="{41C0E275-518C-4B1E-A4B8-A19CC394C4DA}" name="Spalte6366"/>
    <tableColumn id="6384" xr3:uid="{17475BDB-B79A-443C-8156-7418C4D7CF59}" name="Spalte6367"/>
    <tableColumn id="6385" xr3:uid="{B22DD835-56F8-40E4-B2D3-EC83645F279D}" name="Spalte6368"/>
    <tableColumn id="6386" xr3:uid="{9F1422D5-EF83-4435-BBA8-3F506C8814E8}" name="Spalte6369"/>
    <tableColumn id="6387" xr3:uid="{A652F1DE-2A14-456E-891E-7B1852C5DDDF}" name="Spalte6370"/>
    <tableColumn id="6388" xr3:uid="{59705CFC-FE27-453C-85EC-983C43288D82}" name="Spalte6371"/>
    <tableColumn id="6389" xr3:uid="{6B32EBBA-8B73-4038-99F2-CA39927AC528}" name="Spalte6372"/>
    <tableColumn id="6390" xr3:uid="{DF62F2F7-98F7-4AF6-82B5-E6AE0F124A3D}" name="Spalte6373"/>
    <tableColumn id="6391" xr3:uid="{2A80E2A1-617F-44AC-BAA8-66FF1368A68E}" name="Spalte6374"/>
    <tableColumn id="6392" xr3:uid="{B5E1EB43-4662-42F7-94E6-E27CC3836D74}" name="Spalte6375"/>
    <tableColumn id="6393" xr3:uid="{98E9C698-F173-4FFB-B709-95C3F4F5B09B}" name="Spalte6376"/>
    <tableColumn id="6394" xr3:uid="{E41964F3-D9AA-4389-AE42-541C1464DB4A}" name="Spalte6377"/>
    <tableColumn id="6395" xr3:uid="{F822DD09-EBB2-4811-A5CB-83F4A3895E69}" name="Spalte6378"/>
    <tableColumn id="6396" xr3:uid="{41103EA5-CAE6-42B0-A988-D56A22D8B143}" name="Spalte6379"/>
    <tableColumn id="6397" xr3:uid="{A5993093-CCC6-4105-A63D-6D9699245FDF}" name="Spalte6380"/>
    <tableColumn id="6398" xr3:uid="{08872EE4-B829-46F7-A818-7AB954D445DD}" name="Spalte6381"/>
    <tableColumn id="6399" xr3:uid="{569B4ECA-4C5E-499C-AB4C-5D063140FD98}" name="Spalte6382"/>
    <tableColumn id="6400" xr3:uid="{655B2714-720F-4733-AF7B-4751B2ADE011}" name="Spalte6383"/>
    <tableColumn id="6401" xr3:uid="{109ACF4A-4C39-466D-A9D8-0D63D8303EA2}" name="Spalte6384"/>
    <tableColumn id="6402" xr3:uid="{038F5BF6-DEE6-4965-BE1E-6C23E8798130}" name="Spalte6385"/>
    <tableColumn id="6403" xr3:uid="{F4BB3755-B7FC-4CB8-9C30-D2CA87D4127D}" name="Spalte6386"/>
    <tableColumn id="6404" xr3:uid="{BF64432A-264B-4BA0-A04F-75E360FAB831}" name="Spalte6387"/>
    <tableColumn id="6405" xr3:uid="{A40BF08E-4166-4F7B-A81A-9B6C85F8A70F}" name="Spalte6388"/>
    <tableColumn id="6406" xr3:uid="{EA7BC6EB-AD15-42EF-9034-1C36B1EBEB84}" name="Spalte6389"/>
    <tableColumn id="6407" xr3:uid="{303FC779-8489-48B8-B5F1-A0D46F96CF93}" name="Spalte6390"/>
    <tableColumn id="6408" xr3:uid="{76410FF8-B214-4AE4-ACFF-9F86B48BDE1F}" name="Spalte6391"/>
    <tableColumn id="6409" xr3:uid="{7C6659DA-C707-43B1-BCE5-4ECE2FDD4878}" name="Spalte6392"/>
    <tableColumn id="6410" xr3:uid="{64E6178B-126A-42C2-8376-FA0BC011AF71}" name="Spalte6393"/>
    <tableColumn id="6411" xr3:uid="{0D4CFEDC-D86E-4E38-ADF3-27951A0BBEC6}" name="Spalte6394"/>
    <tableColumn id="6412" xr3:uid="{83C6B502-E40E-4B66-AB9D-51B3DED848FE}" name="Spalte6395"/>
    <tableColumn id="6413" xr3:uid="{56D59470-54D1-4376-BB52-5FC2008DFD65}" name="Spalte6396"/>
    <tableColumn id="6414" xr3:uid="{E7EFD037-510E-49C7-8E6C-A1CDA230AFF4}" name="Spalte6397"/>
    <tableColumn id="6415" xr3:uid="{EEB22EA3-1BB7-49DD-AE4B-A2FEC58856EC}" name="Spalte6398"/>
    <tableColumn id="6416" xr3:uid="{6B35BB6B-B23E-46B2-BD1C-F945F9E1149A}" name="Spalte6399"/>
    <tableColumn id="6417" xr3:uid="{30FC46EF-A06C-416E-8D9C-3FDC7A3D2C96}" name="Spalte6400"/>
    <tableColumn id="6418" xr3:uid="{B1AD2484-70F1-49D1-AEEA-FC5FF64BC9E2}" name="Spalte6401"/>
    <tableColumn id="6419" xr3:uid="{DA86EAB8-DC49-480B-94A3-69628DA793A6}" name="Spalte6402"/>
    <tableColumn id="6420" xr3:uid="{E36B7C62-DCB9-4D68-BC98-177C8571910B}" name="Spalte6403"/>
    <tableColumn id="6421" xr3:uid="{5779F5D3-B420-4866-95D3-286B1D28D3AC}" name="Spalte6404"/>
    <tableColumn id="6422" xr3:uid="{2115AFBE-AF3D-4AF0-A85B-B39AFA5A916D}" name="Spalte6405"/>
    <tableColumn id="6423" xr3:uid="{CBAA53F5-D106-4B5B-B3A1-2CA419940D96}" name="Spalte6406"/>
    <tableColumn id="6424" xr3:uid="{B12028F4-001C-497A-9B8C-69E7DCD580C0}" name="Spalte6407"/>
    <tableColumn id="6425" xr3:uid="{6C1DDFB6-CB13-4FB0-A904-0A595100D173}" name="Spalte6408"/>
    <tableColumn id="6426" xr3:uid="{BE92F7F6-5665-4179-949F-1452151BA6A3}" name="Spalte6409"/>
    <tableColumn id="6427" xr3:uid="{59EC9750-85FE-4E13-8947-73AE9F03B22F}" name="Spalte6410"/>
    <tableColumn id="6428" xr3:uid="{DB1010A1-919F-49B1-B9CB-43FE7EEA7CC8}" name="Spalte6411"/>
    <tableColumn id="6429" xr3:uid="{692BFAC0-9E74-47A6-AD3B-F956DD049B4F}" name="Spalte6412"/>
    <tableColumn id="6430" xr3:uid="{17CF363A-51FA-42B8-B908-7970E2419546}" name="Spalte6413"/>
    <tableColumn id="6431" xr3:uid="{96421AB6-4B7F-4A70-92A1-CD8AD85EC987}" name="Spalte6414"/>
    <tableColumn id="6432" xr3:uid="{21126C0D-B5E1-400A-BE63-67EEFDC4EFD0}" name="Spalte6415"/>
    <tableColumn id="6433" xr3:uid="{C2DE3606-4773-45EB-877D-D84890AA04B7}" name="Spalte6416"/>
    <tableColumn id="6434" xr3:uid="{A6E69633-B3C8-4495-8509-68B87BE3A38A}" name="Spalte6417"/>
    <tableColumn id="6435" xr3:uid="{7B254EE2-1DBD-4C9C-8FE0-55921A3EAB31}" name="Spalte6418"/>
    <tableColumn id="6436" xr3:uid="{1698E6EF-1235-450E-A44C-DF70E32DAC36}" name="Spalte6419"/>
    <tableColumn id="6437" xr3:uid="{0832A4C2-358E-4F81-8BCA-C3983DE3A936}" name="Spalte6420"/>
    <tableColumn id="6438" xr3:uid="{F7D99E0F-A0EE-4D65-8DE9-C948784B70A3}" name="Spalte6421"/>
    <tableColumn id="6439" xr3:uid="{11D38868-2DC4-41B7-AE9D-EDAF2DE630AE}" name="Spalte6422"/>
    <tableColumn id="6440" xr3:uid="{C18E9162-3ED0-428D-9DE1-ED8088865B89}" name="Spalte6423"/>
    <tableColumn id="6441" xr3:uid="{FFE61225-954E-40C1-AB13-01F7397C9977}" name="Spalte6424"/>
    <tableColumn id="6442" xr3:uid="{45F0695C-86B4-4A9F-B960-2567E8736C73}" name="Spalte6425"/>
    <tableColumn id="6443" xr3:uid="{1035F244-1703-470B-98B4-79ED9D8FA5B0}" name="Spalte6426"/>
    <tableColumn id="6444" xr3:uid="{802C41DA-C659-44D6-B795-F1BFC76D3AF4}" name="Spalte6427"/>
    <tableColumn id="6445" xr3:uid="{13A4F193-72AD-49C4-A00C-2A1EA17C8292}" name="Spalte6428"/>
    <tableColumn id="6446" xr3:uid="{6D1BD097-75CA-411F-B443-C79A96A826D6}" name="Spalte6429"/>
    <tableColumn id="6447" xr3:uid="{1AD101E8-02A3-407D-AAEF-AB17AF0B7C94}" name="Spalte6430"/>
    <tableColumn id="6448" xr3:uid="{C22639F0-5933-4A25-A2AA-58C637983CEB}" name="Spalte6431"/>
    <tableColumn id="6449" xr3:uid="{9694DC18-90AA-4C52-B041-3D0B41535F43}" name="Spalte6432"/>
    <tableColumn id="6450" xr3:uid="{E5E6D8BB-E93F-434F-B5ED-0B9688F4F118}" name="Spalte6433"/>
    <tableColumn id="6451" xr3:uid="{B142E7A7-212C-4286-879F-2B5D7782FB65}" name="Spalte6434"/>
    <tableColumn id="6452" xr3:uid="{A44F2995-4C09-4C6B-A54E-CDCD24C1530E}" name="Spalte6435"/>
    <tableColumn id="6453" xr3:uid="{01A0E5E3-2FBE-4C39-B352-BA7E2C52BC31}" name="Spalte6436"/>
    <tableColumn id="6454" xr3:uid="{2631111A-4B18-4C7A-9383-AABA49C92B34}" name="Spalte6437"/>
    <tableColumn id="6455" xr3:uid="{5F5347B5-AF52-43A4-A769-1A30F4DB0C02}" name="Spalte6438"/>
    <tableColumn id="6456" xr3:uid="{E7012B23-4251-431B-A5EC-D7CA9955B7F1}" name="Spalte6439"/>
    <tableColumn id="6457" xr3:uid="{F2E28BF9-6A92-4085-A5F9-D54BEFEDF669}" name="Spalte6440"/>
    <tableColumn id="6458" xr3:uid="{5F39DE01-1B14-40EA-A805-065383D23B85}" name="Spalte6441"/>
    <tableColumn id="6459" xr3:uid="{0818E4A4-6FA7-4ADE-87F8-21BED9A4BB59}" name="Spalte6442"/>
    <tableColumn id="6460" xr3:uid="{46446937-CD40-4DD7-8837-D9FF5F567DEF}" name="Spalte6443"/>
    <tableColumn id="6461" xr3:uid="{FFDB679F-7EAD-46B1-89F9-9173F0A161E9}" name="Spalte6444"/>
    <tableColumn id="6462" xr3:uid="{6869E874-3780-4177-9E5B-7F83C5B013C7}" name="Spalte6445"/>
    <tableColumn id="6463" xr3:uid="{10982409-361C-4DA8-8F8D-8E4E658A11FF}" name="Spalte6446"/>
    <tableColumn id="6464" xr3:uid="{627C5B6B-FF62-4EF8-BA77-2785BFD63729}" name="Spalte6447"/>
    <tableColumn id="6465" xr3:uid="{911B7EE8-7595-4E1C-95DF-0EF756847307}" name="Spalte6448"/>
    <tableColumn id="6466" xr3:uid="{8A520FA3-E0E8-47C4-927F-0CCF426FE7A5}" name="Spalte6449"/>
    <tableColumn id="6467" xr3:uid="{8C17CA61-4EC2-4940-8B89-FF8BBEB802CF}" name="Spalte6450"/>
    <tableColumn id="6468" xr3:uid="{DE0F8684-82C1-4004-B84E-80E1DE54BAC2}" name="Spalte6451"/>
    <tableColumn id="6469" xr3:uid="{87F984B6-8ADC-4849-8769-7D66FAFCAE4B}" name="Spalte6452"/>
    <tableColumn id="6470" xr3:uid="{578906B9-ED0E-4E96-B04D-0BD1E4DD0D21}" name="Spalte6453"/>
    <tableColumn id="6471" xr3:uid="{D3B57944-A50C-4EFD-9A17-2481F09DCC70}" name="Spalte6454"/>
    <tableColumn id="6472" xr3:uid="{E74088A3-B634-4EBE-910E-43DB60FE1A18}" name="Spalte6455"/>
    <tableColumn id="6473" xr3:uid="{765B744C-89A2-4A3D-BBF0-C26F603193D2}" name="Spalte6456"/>
    <tableColumn id="6474" xr3:uid="{AEE25E18-27CE-45C6-9E67-52873233665B}" name="Spalte6457"/>
    <tableColumn id="6475" xr3:uid="{90A0A1DB-2C96-4A8C-9B72-716078A701C1}" name="Spalte6458"/>
    <tableColumn id="6476" xr3:uid="{43C92441-293B-4BE8-A820-EE598898E72F}" name="Spalte6459"/>
    <tableColumn id="6477" xr3:uid="{DEFEE23B-DA58-4FD9-AD13-D9BF914394BE}" name="Spalte6460"/>
    <tableColumn id="6478" xr3:uid="{9FFCE600-5462-4AC7-A831-D2DC14A6F284}" name="Spalte6461"/>
    <tableColumn id="6479" xr3:uid="{39E29DA1-A929-4896-94C9-664E93CF64B3}" name="Spalte6462"/>
    <tableColumn id="6480" xr3:uid="{331CAF36-2202-4AF6-84BD-D169726CF70D}" name="Spalte6463"/>
    <tableColumn id="6481" xr3:uid="{04D7DF00-93EC-48E0-B7B5-B0293B86CEFE}" name="Spalte6464"/>
    <tableColumn id="6482" xr3:uid="{77BB59DC-B91C-4B36-BB28-78C1CC632818}" name="Spalte6465"/>
    <tableColumn id="6483" xr3:uid="{57AFCE02-FF50-40C5-B724-06682B06B963}" name="Spalte6466"/>
    <tableColumn id="6484" xr3:uid="{45BA6DAF-93BD-494C-9A2F-F9504B3C8683}" name="Spalte6467"/>
    <tableColumn id="6485" xr3:uid="{8471BA5D-2645-472A-9376-6C9AAF8C9CFD}" name="Spalte6468"/>
    <tableColumn id="6486" xr3:uid="{0D826EF4-AA11-4429-B782-6CC131B092C9}" name="Spalte6469"/>
    <tableColumn id="6487" xr3:uid="{F45E83C2-949B-4FBB-ADCD-78EFF045795B}" name="Spalte6470"/>
    <tableColumn id="6488" xr3:uid="{01B958A7-4F51-41FA-B390-FCEB4C9B6B69}" name="Spalte6471"/>
    <tableColumn id="6489" xr3:uid="{49398234-CFA3-4033-97EE-70B31969FD4D}" name="Spalte6472"/>
    <tableColumn id="6490" xr3:uid="{10A80AFA-040C-4761-9364-ADB53CF0FAC9}" name="Spalte6473"/>
    <tableColumn id="6491" xr3:uid="{1DC7EA85-F8CF-4681-AF20-35419A99AF36}" name="Spalte6474"/>
    <tableColumn id="6492" xr3:uid="{312C87B6-5CEA-4937-9FFF-79C51DE4D509}" name="Spalte6475"/>
    <tableColumn id="6493" xr3:uid="{18A944E2-D8DE-491D-BB50-BC164CF848CD}" name="Spalte6476"/>
    <tableColumn id="6494" xr3:uid="{6F5DBB0E-D728-44DC-980E-D9F40CDE929F}" name="Spalte6477"/>
    <tableColumn id="6495" xr3:uid="{1086AE1C-6CE8-4F7D-9683-07D793DBAB27}" name="Spalte6478"/>
    <tableColumn id="6496" xr3:uid="{5C711A58-A584-4907-BF28-97821C5DD8BF}" name="Spalte6479"/>
    <tableColumn id="6497" xr3:uid="{E0518A5B-E47E-41E9-89D0-1AD4637718EE}" name="Spalte6480"/>
    <tableColumn id="6498" xr3:uid="{09F05365-B6FE-42D5-87A4-C2626C613CE5}" name="Spalte6481"/>
    <tableColumn id="6499" xr3:uid="{F8234D92-7084-40B5-BC5D-52FDB2446F2C}" name="Spalte6482"/>
    <tableColumn id="6500" xr3:uid="{851BCACE-6F26-432F-9F1E-BC65C79560EB}" name="Spalte6483"/>
    <tableColumn id="6501" xr3:uid="{D8D9632C-EBBD-4AE1-BC1C-9D36654A178A}" name="Spalte6484"/>
    <tableColumn id="6502" xr3:uid="{1BC01D1E-1449-4939-B7B4-8AF1C7365CB4}" name="Spalte6485"/>
    <tableColumn id="6503" xr3:uid="{AFD1CC66-9A9B-4E72-988E-3EF06F925B8A}" name="Spalte6486"/>
    <tableColumn id="6504" xr3:uid="{F1E9F43E-D7BA-4286-980E-F823CFD0852B}" name="Spalte6487"/>
    <tableColumn id="6505" xr3:uid="{2362CE1E-E20B-41AB-881C-20F01A5D91A4}" name="Spalte6488"/>
    <tableColumn id="6506" xr3:uid="{3C86421A-CBA1-46AD-AAB7-1A988D769D19}" name="Spalte6489"/>
    <tableColumn id="6507" xr3:uid="{47990855-08EA-4F97-87AC-4F3BEFA16D4C}" name="Spalte6490"/>
    <tableColumn id="6508" xr3:uid="{25E8F164-6536-45A8-B3DB-D028EC02CA01}" name="Spalte6491"/>
    <tableColumn id="6509" xr3:uid="{EEDC2AAD-84D6-4B29-88FB-693F6F1532A1}" name="Spalte6492"/>
    <tableColumn id="6510" xr3:uid="{07384088-B50B-4B71-8190-9553FB8A02A7}" name="Spalte6493"/>
    <tableColumn id="6511" xr3:uid="{64DBC159-3D1A-4075-9418-923D22881293}" name="Spalte6494"/>
    <tableColumn id="6512" xr3:uid="{FAB21874-997F-493A-BF04-AA333E70108D}" name="Spalte6495"/>
    <tableColumn id="6513" xr3:uid="{FA73ED07-06AE-4A7B-96EA-8EC64BD23890}" name="Spalte6496"/>
    <tableColumn id="6514" xr3:uid="{F089D268-F068-4305-BC43-1C4DEBBD1628}" name="Spalte6497"/>
    <tableColumn id="6515" xr3:uid="{4A518E72-4205-4539-B962-6A99379BFA0C}" name="Spalte6498"/>
    <tableColumn id="6516" xr3:uid="{13FC20F4-929E-4F97-BE6F-E6BC6A2F8381}" name="Spalte6499"/>
    <tableColumn id="6517" xr3:uid="{894868C3-517B-45FB-8779-D43F06100185}" name="Spalte6500"/>
    <tableColumn id="6518" xr3:uid="{7B7ABF4C-89F2-416B-A5DA-AC80EE079E2D}" name="Spalte6501"/>
    <tableColumn id="6519" xr3:uid="{ED077FE4-102F-46F5-9484-675A8F6AA2C0}" name="Spalte6502"/>
    <tableColumn id="6520" xr3:uid="{1C2A686F-CB69-4BB7-8579-999BE3672F93}" name="Spalte6503"/>
    <tableColumn id="6521" xr3:uid="{F4345F6F-934C-4528-B805-8598457125CB}" name="Spalte6504"/>
    <tableColumn id="6522" xr3:uid="{2EC455BA-25FE-4077-8A24-7EC10B22C6AF}" name="Spalte6505"/>
    <tableColumn id="6523" xr3:uid="{0AB65987-7900-42C1-BF64-0829D6D25DBD}" name="Spalte6506"/>
    <tableColumn id="6524" xr3:uid="{FEA7EA67-11B7-4682-9442-E77C890501F6}" name="Spalte6507"/>
    <tableColumn id="6525" xr3:uid="{6C4EB6FE-012F-4F5B-9F6E-BAFADE6090DB}" name="Spalte6508"/>
    <tableColumn id="6526" xr3:uid="{A00A27CD-D982-41D0-B9E5-CFD137722999}" name="Spalte6509"/>
    <tableColumn id="6527" xr3:uid="{3633C77E-1C77-4936-A787-415DE5BBF5FF}" name="Spalte6510"/>
    <tableColumn id="6528" xr3:uid="{EB0CB48C-F9C4-4D94-96BB-D0CB75A1009B}" name="Spalte6511"/>
    <tableColumn id="6529" xr3:uid="{40A07EC3-B1ED-4593-A323-9B87354A9133}" name="Spalte6512"/>
    <tableColumn id="6530" xr3:uid="{EDCBF2A9-3AF4-49EC-967B-06C3DD8BD41B}" name="Spalte6513"/>
    <tableColumn id="6531" xr3:uid="{1C13A076-FA77-476F-A300-7A9CF77D2353}" name="Spalte6514"/>
    <tableColumn id="6532" xr3:uid="{A93E212E-6A50-487F-B439-69EE521731AE}" name="Spalte6515"/>
    <tableColumn id="6533" xr3:uid="{15E2FAF5-2314-49F7-AA35-1DAB83B09C1A}" name="Spalte6516"/>
    <tableColumn id="6534" xr3:uid="{EF1B3DB9-9FB4-4F03-8D7D-382C43739707}" name="Spalte6517"/>
    <tableColumn id="6535" xr3:uid="{BB701742-75B8-4CFA-9032-3D44223BC627}" name="Spalte6518"/>
    <tableColumn id="6536" xr3:uid="{92CFB690-3BF3-419B-A83E-E91171847BD5}" name="Spalte6519"/>
    <tableColumn id="6537" xr3:uid="{601E9DB4-F85D-4247-94C0-5FD262E6D629}" name="Spalte6520"/>
    <tableColumn id="6538" xr3:uid="{ECC1ABC2-50FF-4305-883B-6BD1ABB3ED9A}" name="Spalte6521"/>
    <tableColumn id="6539" xr3:uid="{E195697B-36FD-4A76-B7D8-8DB30FF221EB}" name="Spalte6522"/>
    <tableColumn id="6540" xr3:uid="{D90CE801-493C-4622-9FB8-0671CC3141AE}" name="Spalte6523"/>
    <tableColumn id="6541" xr3:uid="{9DA481DD-5FCA-4924-8C44-7C9909B1EE57}" name="Spalte6524"/>
    <tableColumn id="6542" xr3:uid="{DA1824A4-9871-480F-925F-5970A50A3D36}" name="Spalte6525"/>
    <tableColumn id="6543" xr3:uid="{C424BF1A-B894-44AA-B4B7-EFD0AA53CAF5}" name="Spalte6526"/>
    <tableColumn id="6544" xr3:uid="{26F302CC-DE63-4114-A73E-B1A279EC53CE}" name="Spalte6527"/>
    <tableColumn id="6545" xr3:uid="{559A5B3E-3798-4D7D-9C4E-723630375CCD}" name="Spalte6528"/>
    <tableColumn id="6546" xr3:uid="{08FFCBD4-18AD-4CEB-89FD-2464B61A09DA}" name="Spalte6529"/>
    <tableColumn id="6547" xr3:uid="{B1907AC7-072A-4193-A050-51585AA15303}" name="Spalte6530"/>
    <tableColumn id="6548" xr3:uid="{926A626E-AAAF-493C-9D39-7D5A67A77C71}" name="Spalte6531"/>
    <tableColumn id="6549" xr3:uid="{A3089922-9951-4160-A237-4C6A6AE13D1A}" name="Spalte6532"/>
    <tableColumn id="6550" xr3:uid="{35E864F2-380E-4F67-B79F-DE1B78ED370F}" name="Spalte6533"/>
    <tableColumn id="6551" xr3:uid="{7533583B-762B-4A0C-8BB6-9A78F7FCC5DF}" name="Spalte6534"/>
    <tableColumn id="6552" xr3:uid="{74C26200-6852-40F2-827A-9F969EF2531C}" name="Spalte6535"/>
    <tableColumn id="6553" xr3:uid="{27E31626-0E11-4FD9-9EC9-D4D1C870EAE3}" name="Spalte6536"/>
    <tableColumn id="6554" xr3:uid="{92DCF14F-D8F1-43FB-80D4-46FC68A8C3AA}" name="Spalte6537"/>
    <tableColumn id="6555" xr3:uid="{D64C614C-4AC3-4121-B8DD-0235F987B795}" name="Spalte6538"/>
    <tableColumn id="6556" xr3:uid="{8F154AD2-6DBF-43CA-8291-343F5A3184A6}" name="Spalte6539"/>
    <tableColumn id="6557" xr3:uid="{87214614-FE07-45C9-A194-48A714C5DD67}" name="Spalte6540"/>
    <tableColumn id="6558" xr3:uid="{2558964A-9B92-4FE5-A255-0255F17CFA9F}" name="Spalte6541"/>
    <tableColumn id="6559" xr3:uid="{182FA5E7-8E2B-4A19-9FC5-5549A2E95121}" name="Spalte6542"/>
    <tableColumn id="6560" xr3:uid="{C8F99C87-F59F-4E48-BC16-744C6C743B4F}" name="Spalte6543"/>
    <tableColumn id="6561" xr3:uid="{F3893852-3980-4C1C-A40A-99F00783237E}" name="Spalte6544"/>
    <tableColumn id="6562" xr3:uid="{435B637C-623A-4DE7-8D3A-3713D59A2D68}" name="Spalte6545"/>
    <tableColumn id="6563" xr3:uid="{7E30B846-606A-4364-8539-25D2FFF29C29}" name="Spalte6546"/>
    <tableColumn id="6564" xr3:uid="{ED962A05-4CD9-4B39-8BC0-F0D6A97D0829}" name="Spalte6547"/>
    <tableColumn id="6565" xr3:uid="{79C5B2E4-CC08-4F45-990F-58090898EB43}" name="Spalte6548"/>
    <tableColumn id="6566" xr3:uid="{613EADD0-6ABC-4AEA-A958-47527BDF7AFD}" name="Spalte6549"/>
    <tableColumn id="6567" xr3:uid="{31C5A38C-B489-4FE2-8155-F9C5E5AFFC95}" name="Spalte6550"/>
    <tableColumn id="6568" xr3:uid="{8EDD1F6D-8B72-45AB-994A-6419F503EB19}" name="Spalte6551"/>
    <tableColumn id="6569" xr3:uid="{70F508A8-FA6F-4EE5-ABAC-A526F7191E7B}" name="Spalte6552"/>
    <tableColumn id="6570" xr3:uid="{C0F763B7-285C-486C-AAD2-6E489F6251D8}" name="Spalte6553"/>
    <tableColumn id="6571" xr3:uid="{CA770CFB-4A98-4C88-9241-96ED48E619E9}" name="Spalte6554"/>
    <tableColumn id="6572" xr3:uid="{4A8A7436-FBC5-4416-9479-25A223F894AB}" name="Spalte6555"/>
    <tableColumn id="6573" xr3:uid="{7F4C6F14-0856-452D-B51C-1E7406362B0D}" name="Spalte6556"/>
    <tableColumn id="6574" xr3:uid="{53ED5A9F-ADD3-4FA9-9FA3-8766CD52944F}" name="Spalte6557"/>
    <tableColumn id="6575" xr3:uid="{E79C55D6-04D8-4337-9AD8-0AE92130C7CF}" name="Spalte6558"/>
    <tableColumn id="6576" xr3:uid="{37275F8E-BFF6-455F-8DEB-C839C2BF138D}" name="Spalte6559"/>
    <tableColumn id="6577" xr3:uid="{B395C8F3-E34C-4BA7-AB72-BB6E9F8E9C94}" name="Spalte6560"/>
    <tableColumn id="6578" xr3:uid="{CAF6F48E-92A2-45C2-BF57-67A041586991}" name="Spalte6561"/>
    <tableColumn id="6579" xr3:uid="{D1CCEECA-9B28-4173-8926-513EBA896853}" name="Spalte6562"/>
    <tableColumn id="6580" xr3:uid="{F0767E2C-8E8B-4711-9617-E3C196460F01}" name="Spalte6563"/>
    <tableColumn id="6581" xr3:uid="{5258A955-9129-42A7-B689-D0AC33ECBFC9}" name="Spalte6564"/>
    <tableColumn id="6582" xr3:uid="{A775FECD-F459-4BF4-AF46-6100D79AA299}" name="Spalte6565"/>
    <tableColumn id="6583" xr3:uid="{B72748A7-86BB-42E9-9A34-01FECA38C72B}" name="Spalte6566"/>
    <tableColumn id="6584" xr3:uid="{59D86134-A7AB-4F5D-9CF7-E19C5581F048}" name="Spalte6567"/>
    <tableColumn id="6585" xr3:uid="{0F8AACC1-2909-4296-A232-58E07EEC4C7B}" name="Spalte6568"/>
    <tableColumn id="6586" xr3:uid="{D3046D98-C19B-4285-87B4-0529D4987185}" name="Spalte6569"/>
    <tableColumn id="6587" xr3:uid="{A53AFC36-4E8F-4670-8BA3-DED775D0568F}" name="Spalte6570"/>
    <tableColumn id="6588" xr3:uid="{DF9D2A29-0F24-478E-AD7E-E733D3E9C402}" name="Spalte6571"/>
    <tableColumn id="6589" xr3:uid="{E8C744FE-70FB-48B5-B9EB-CBF2239C12F0}" name="Spalte6572"/>
    <tableColumn id="6590" xr3:uid="{1578A22E-ADDE-448D-9D16-73743FB450FB}" name="Spalte6573"/>
    <tableColumn id="6591" xr3:uid="{015F7D86-8C27-4142-80A9-90EDB10AA278}" name="Spalte6574"/>
    <tableColumn id="6592" xr3:uid="{749FB94A-18B8-4A68-B03A-929E15C21F74}" name="Spalte6575"/>
    <tableColumn id="6593" xr3:uid="{FE6D3577-101E-4611-9CC1-A96817B87B59}" name="Spalte6576"/>
    <tableColumn id="6594" xr3:uid="{356BE1D2-46B8-4A2A-8AA8-295927D60B55}" name="Spalte6577"/>
    <tableColumn id="6595" xr3:uid="{BEF55585-B686-4B62-A7C4-4D823BB446A6}" name="Spalte6578"/>
    <tableColumn id="6596" xr3:uid="{E56482CF-B0DF-44BA-8D9F-B51E564ECDEB}" name="Spalte6579"/>
    <tableColumn id="6597" xr3:uid="{11BF30E1-F60B-4F46-BF5D-A5AB72715859}" name="Spalte6580"/>
    <tableColumn id="6598" xr3:uid="{B91460E0-ECB2-43B8-B9AE-81B58CEB79F4}" name="Spalte6581"/>
    <tableColumn id="6599" xr3:uid="{94162908-2A5A-4A6C-A1C6-0C73807066AD}" name="Spalte6582"/>
    <tableColumn id="6600" xr3:uid="{E80E5A86-8266-42D1-935E-04A186599C9F}" name="Spalte6583"/>
    <tableColumn id="6601" xr3:uid="{0258F802-D8CE-475C-9A40-3F08681D5CC4}" name="Spalte6584"/>
    <tableColumn id="6602" xr3:uid="{1F99F54F-B820-48F8-BF23-9AC6B48C5F8B}" name="Spalte6585"/>
    <tableColumn id="6603" xr3:uid="{E258F44A-E289-4901-951B-51CC40C75AA3}" name="Spalte6586"/>
    <tableColumn id="6604" xr3:uid="{A1F400C3-A219-499E-9B31-37E763E16BD5}" name="Spalte6587"/>
    <tableColumn id="6605" xr3:uid="{A5CC5E8B-F93A-41EB-8B81-7A5508B3CEBB}" name="Spalte6588"/>
    <tableColumn id="6606" xr3:uid="{59DBE32C-36E2-4458-8E13-422F2A504EB1}" name="Spalte6589"/>
    <tableColumn id="6607" xr3:uid="{331006B3-3C3B-4EA3-B0AD-75CE71029864}" name="Spalte6590"/>
    <tableColumn id="6608" xr3:uid="{A12C9D92-1F32-4952-BD0C-3F7039276610}" name="Spalte6591"/>
    <tableColumn id="6609" xr3:uid="{45159FEC-5B54-48E4-888F-0518C013DB85}" name="Spalte6592"/>
    <tableColumn id="6610" xr3:uid="{1CEE8B43-74EA-4202-B7A7-C2D28E14E85C}" name="Spalte6593"/>
    <tableColumn id="6611" xr3:uid="{BD00E362-2524-400A-B75F-8D1E390005EB}" name="Spalte6594"/>
    <tableColumn id="6612" xr3:uid="{8D55EE5C-0562-4B8E-8CB9-F184D799577D}" name="Spalte6595"/>
    <tableColumn id="6613" xr3:uid="{406E434F-DF9B-4DAD-994D-D273CD88D17E}" name="Spalte6596"/>
    <tableColumn id="6614" xr3:uid="{5AA0A16D-CF16-4A30-849A-8A34A044EC24}" name="Spalte6597"/>
    <tableColumn id="6615" xr3:uid="{B670D1FA-E608-46CD-B90B-EE93CB0FF6D3}" name="Spalte6598"/>
    <tableColumn id="6616" xr3:uid="{2BA204BE-B8D7-454D-B93D-EC5B8C5C6A95}" name="Spalte6599"/>
    <tableColumn id="6617" xr3:uid="{D3CE94B4-9081-4D4C-B337-2D20E3C27927}" name="Spalte6600"/>
    <tableColumn id="6618" xr3:uid="{2076E49F-03E9-4AAF-A53D-31A10D4C476F}" name="Spalte6601"/>
    <tableColumn id="6619" xr3:uid="{63BA83E1-DB09-4FE5-9889-5299A72FB7B6}" name="Spalte6602"/>
    <tableColumn id="6620" xr3:uid="{9CD717CE-5B8C-4F0A-B2C1-EE31314F6D7B}" name="Spalte6603"/>
    <tableColumn id="6621" xr3:uid="{6C0EA32A-0A4F-4191-85A9-115BF3F6E91E}" name="Spalte6604"/>
    <tableColumn id="6622" xr3:uid="{BC4FC995-3C78-4CD7-A185-54ACFD7D9948}" name="Spalte6605"/>
    <tableColumn id="6623" xr3:uid="{900B5586-1119-409C-B493-2D8600B13185}" name="Spalte6606"/>
    <tableColumn id="6624" xr3:uid="{4C700906-9D95-4808-91A6-22CE4E061C6E}" name="Spalte6607"/>
    <tableColumn id="6625" xr3:uid="{526BEAAE-ED53-4B47-8AC7-1B8D3E63CA05}" name="Spalte6608"/>
    <tableColumn id="6626" xr3:uid="{1CC72CC3-DD78-4E29-9027-E0007E5D0AC0}" name="Spalte6609"/>
    <tableColumn id="6627" xr3:uid="{B049FF75-8688-4636-AA37-6897703E61F7}" name="Spalte6610"/>
    <tableColumn id="6628" xr3:uid="{34EAF86E-6B3A-4C4D-8154-F95F24049F83}" name="Spalte6611"/>
    <tableColumn id="6629" xr3:uid="{E47A5605-7F70-461F-AF85-6C35569FCDC9}" name="Spalte6612"/>
    <tableColumn id="6630" xr3:uid="{699CA84A-EF0B-4C7E-8C6C-41FEE3DA8E66}" name="Spalte6613"/>
    <tableColumn id="6631" xr3:uid="{F25AC057-9398-4431-B1C3-575AE75E5992}" name="Spalte6614"/>
    <tableColumn id="6632" xr3:uid="{01368535-972C-4482-B312-30D4D7B757C3}" name="Spalte6615"/>
    <tableColumn id="6633" xr3:uid="{5E7E9868-DF90-4B01-91C1-0DDEFF33BF03}" name="Spalte6616"/>
    <tableColumn id="6634" xr3:uid="{9C973383-C344-4774-B008-72D21A7ED8CD}" name="Spalte6617"/>
    <tableColumn id="6635" xr3:uid="{C8E4CE67-B5B9-4A84-8FBE-A968369DDB2D}" name="Spalte6618"/>
    <tableColumn id="6636" xr3:uid="{3530AAC6-240A-4777-A1FF-C5B234F1730F}" name="Spalte6619"/>
    <tableColumn id="6637" xr3:uid="{B980C36A-46B2-4755-BAEA-8FC7C9E45255}" name="Spalte6620"/>
    <tableColumn id="6638" xr3:uid="{3ADB81AA-DA6E-4E28-A79E-633181148DA9}" name="Spalte6621"/>
    <tableColumn id="6639" xr3:uid="{94C406D3-E0B3-48CB-9876-6A365DCF4C3F}" name="Spalte6622"/>
    <tableColumn id="6640" xr3:uid="{1B415EAE-4AAB-44DF-8F15-67262AC96371}" name="Spalte6623"/>
    <tableColumn id="6641" xr3:uid="{FE9248ED-2A6A-4DC9-B1B8-64D3BCA6661A}" name="Spalte6624"/>
    <tableColumn id="6642" xr3:uid="{28CA7E0E-7904-4661-BB2C-F958F5746EA4}" name="Spalte6625"/>
    <tableColumn id="6643" xr3:uid="{ACC7F9BE-EE82-4731-8D44-A07A858B1848}" name="Spalte6626"/>
    <tableColumn id="6644" xr3:uid="{75AADD09-8D20-4C93-8BCA-3EF225F06A8F}" name="Spalte6627"/>
    <tableColumn id="6645" xr3:uid="{88A728EA-B0E1-4D0A-95E7-B4EC7CD50409}" name="Spalte6628"/>
    <tableColumn id="6646" xr3:uid="{994526A5-FE1E-4FA0-AC60-D0A6D86EE9CF}" name="Spalte6629"/>
    <tableColumn id="6647" xr3:uid="{49BD87BB-60D2-4938-9D98-07D92B9618BB}" name="Spalte6630"/>
    <tableColumn id="6648" xr3:uid="{258765E2-7F41-43FD-936C-D0BDEBE0055D}" name="Spalte6631"/>
    <tableColumn id="6649" xr3:uid="{F6527A79-5AF8-4DC7-9E8D-77E1B63A21FD}" name="Spalte6632"/>
    <tableColumn id="6650" xr3:uid="{3503DA56-1620-428F-AA66-8ECF6B053D5F}" name="Spalte6633"/>
    <tableColumn id="6651" xr3:uid="{8918667A-04B9-4F8A-B06F-167AEA6EB931}" name="Spalte6634"/>
    <tableColumn id="6652" xr3:uid="{112294A1-CC07-4E79-990D-5F5668EAB16C}" name="Spalte6635"/>
    <tableColumn id="6653" xr3:uid="{3941865F-B28A-4EAE-99B6-2BAC198ACCF3}" name="Spalte6636"/>
    <tableColumn id="6654" xr3:uid="{81719B55-6B19-43D1-BA32-885693BC5E84}" name="Spalte6637"/>
    <tableColumn id="6655" xr3:uid="{3E6CD2AD-8067-43A4-92D5-147BCE965DEA}" name="Spalte6638"/>
    <tableColumn id="6656" xr3:uid="{37D3B8B7-EBC8-474F-BDC5-BF2793644E81}" name="Spalte6639"/>
    <tableColumn id="6657" xr3:uid="{FBE1B883-022F-4666-81EB-AD59183518AC}" name="Spalte6640"/>
    <tableColumn id="6658" xr3:uid="{4A888320-9CA3-429A-AF4F-851B6D9E03D3}" name="Spalte6641"/>
    <tableColumn id="6659" xr3:uid="{3EB43949-0D44-4D8F-BA85-D657256AC23D}" name="Spalte6642"/>
    <tableColumn id="6660" xr3:uid="{7533FE8C-8F28-4DC5-98B9-87624733DA0C}" name="Spalte6643"/>
    <tableColumn id="6661" xr3:uid="{533AFF09-CBFB-48CA-BE26-CE71563E09FB}" name="Spalte6644"/>
    <tableColumn id="6662" xr3:uid="{5F88A8BA-DC11-48A1-8925-068285902717}" name="Spalte6645"/>
    <tableColumn id="6663" xr3:uid="{8359E5DC-896C-48C8-BBB8-0A61F9D6FEBC}" name="Spalte6646"/>
    <tableColumn id="6664" xr3:uid="{868088A0-C288-4F3F-A29B-36B235EC8932}" name="Spalte6647"/>
    <tableColumn id="6665" xr3:uid="{AC1309A3-965C-4988-A649-FD48C8425207}" name="Spalte6648"/>
    <tableColumn id="6666" xr3:uid="{DD60B5A4-A7BD-4234-90BB-14EBB4CAA789}" name="Spalte6649"/>
    <tableColumn id="6667" xr3:uid="{6E67EFC9-D2E9-49F4-922D-D3BF0D81E7B5}" name="Spalte6650"/>
    <tableColumn id="6668" xr3:uid="{9054089A-704C-4292-93A8-FF98326D3DD3}" name="Spalte6651"/>
    <tableColumn id="6669" xr3:uid="{5B4132DA-4C0F-4B6D-AE89-374D1712E0CF}" name="Spalte6652"/>
    <tableColumn id="6670" xr3:uid="{D52AB1E0-5E97-4ACB-B14A-FC8EB4E37F6A}" name="Spalte6653"/>
    <tableColumn id="6671" xr3:uid="{11FCA91E-D4C1-4AFB-94C6-863F1EC6A52B}" name="Spalte6654"/>
    <tableColumn id="6672" xr3:uid="{0A5FF1BE-C3C4-4484-AC90-18183A2B4C60}" name="Spalte6655"/>
    <tableColumn id="6673" xr3:uid="{7DC8314F-FBE8-40D1-BD05-DD9A3224DBB9}" name="Spalte6656"/>
    <tableColumn id="6674" xr3:uid="{1FFF1B06-7006-4658-A62D-E12AE0C3DB5E}" name="Spalte6657"/>
    <tableColumn id="6675" xr3:uid="{838D4418-214C-4F85-8B59-5E3B26E6240F}" name="Spalte6658"/>
    <tableColumn id="6676" xr3:uid="{4B585EE9-1241-4E23-9993-64D8B477E5D6}" name="Spalte6659"/>
    <tableColumn id="6677" xr3:uid="{A220C6E5-AD1D-49B7-9043-DDC2B55DC670}" name="Spalte6660"/>
    <tableColumn id="6678" xr3:uid="{96ED7F7E-9A84-4E93-8D84-4591E3244B9D}" name="Spalte6661"/>
    <tableColumn id="6679" xr3:uid="{23C7548E-A5A8-49AE-89E6-00ED752A1170}" name="Spalte6662"/>
    <tableColumn id="6680" xr3:uid="{B6E2920A-697C-400B-977B-D856E8927710}" name="Spalte6663"/>
    <tableColumn id="6681" xr3:uid="{C9073822-9812-4EA8-8B07-4C381C35FC76}" name="Spalte6664"/>
    <tableColumn id="6682" xr3:uid="{DB2C2DE1-F4C1-4301-BDB7-61B54C063D81}" name="Spalte6665"/>
    <tableColumn id="6683" xr3:uid="{A8A597FD-71C5-4890-B6AF-2F6F2EF8663C}" name="Spalte6666"/>
    <tableColumn id="6684" xr3:uid="{A6CD557F-8F8A-4D3F-AA02-E1E7DF7F575B}" name="Spalte6667"/>
    <tableColumn id="6685" xr3:uid="{31F4E4E4-B7E9-42CE-97FC-A5C6C4DA13DA}" name="Spalte6668"/>
    <tableColumn id="6686" xr3:uid="{66722934-A6DA-4FDD-94B7-5CBB2B0934A5}" name="Spalte6669"/>
    <tableColumn id="6687" xr3:uid="{B5B37265-597F-4539-8766-042F57D2A825}" name="Spalte6670"/>
    <tableColumn id="6688" xr3:uid="{BC5140A0-170D-4A0D-80B6-7D2E47237F6D}" name="Spalte6671"/>
    <tableColumn id="6689" xr3:uid="{A05666FB-31CE-4021-B54E-E7C9B00ED634}" name="Spalte6672"/>
    <tableColumn id="6690" xr3:uid="{AD3AC6C6-A550-463A-91FD-84F144B67C95}" name="Spalte6673"/>
    <tableColumn id="6691" xr3:uid="{96B8F810-4229-4772-88A9-B98F5E2D4664}" name="Spalte6674"/>
    <tableColumn id="6692" xr3:uid="{BDB0643D-BFEE-428B-A876-6167511106C1}" name="Spalte6675"/>
    <tableColumn id="6693" xr3:uid="{8ECB7DC3-C2E2-43C4-B45D-758946474282}" name="Spalte6676"/>
    <tableColumn id="6694" xr3:uid="{379D90AD-B113-4C59-A624-16919AD5BD91}" name="Spalte6677"/>
    <tableColumn id="6695" xr3:uid="{93BDB4C3-77DC-44EE-BDA0-57DC74EA38D0}" name="Spalte6678"/>
    <tableColumn id="6696" xr3:uid="{61F9B31A-E042-4AD0-9BD1-E319D3013CE4}" name="Spalte6679"/>
    <tableColumn id="6697" xr3:uid="{F509180B-F120-455C-9A0E-A2F5813FD7AC}" name="Spalte6680"/>
    <tableColumn id="6698" xr3:uid="{2241463F-CF1C-465E-ABAC-881F04694C9F}" name="Spalte6681"/>
    <tableColumn id="6699" xr3:uid="{CC068571-9C01-41F4-85C2-F62DA5036A68}" name="Spalte6682"/>
    <tableColumn id="6700" xr3:uid="{70B978AC-64EE-4729-93F1-61E3E1976A14}" name="Spalte6683"/>
    <tableColumn id="6701" xr3:uid="{1CEB3976-E525-4F01-BAC4-BA4E8953014F}" name="Spalte6684"/>
    <tableColumn id="6702" xr3:uid="{33261BDC-DBD1-46A8-B1CB-C89B5581A93B}" name="Spalte6685"/>
    <tableColumn id="6703" xr3:uid="{828E99FE-995E-4488-9EB1-7DE9CF7107E2}" name="Spalte6686"/>
    <tableColumn id="6704" xr3:uid="{B94BC758-3C18-430E-9526-B193DB618C2F}" name="Spalte6687"/>
    <tableColumn id="6705" xr3:uid="{6B9A56C2-5A82-4A1D-A61C-A6E437EAFCDA}" name="Spalte6688"/>
    <tableColumn id="6706" xr3:uid="{F4294AD2-79DB-4027-A286-761EAE38F217}" name="Spalte6689"/>
    <tableColumn id="6707" xr3:uid="{8B36CFE4-379D-4EBC-BBC1-8F8A3442D948}" name="Spalte6690"/>
    <tableColumn id="6708" xr3:uid="{53544B70-CAC8-4060-8CE2-60A6DBB0EF0F}" name="Spalte6691"/>
    <tableColumn id="6709" xr3:uid="{4C16652F-025A-4517-9D51-1D8335B96675}" name="Spalte6692"/>
    <tableColumn id="6710" xr3:uid="{8C15B4DA-4991-4A0A-BDB5-642C560A6E43}" name="Spalte6693"/>
    <tableColumn id="6711" xr3:uid="{0F778FAE-AE3C-480A-8812-4691BF86C439}" name="Spalte6694"/>
    <tableColumn id="6712" xr3:uid="{3A59C72D-15F1-467B-B37D-C9F47422CC6C}" name="Spalte6695"/>
    <tableColumn id="6713" xr3:uid="{4EC13D17-178A-4D90-891D-7825E8F083AE}" name="Spalte6696"/>
    <tableColumn id="6714" xr3:uid="{3AFA64DD-1B97-46B0-8BE9-67BB6073F210}" name="Spalte6697"/>
    <tableColumn id="6715" xr3:uid="{87ADBA67-1A7F-43A2-A154-998B391442F8}" name="Spalte6698"/>
    <tableColumn id="6716" xr3:uid="{5181822D-6C7E-467A-B5A9-905A8149D474}" name="Spalte6699"/>
    <tableColumn id="6717" xr3:uid="{0FFC9BE5-4918-415F-B208-9B485E64AC19}" name="Spalte6700"/>
    <tableColumn id="6718" xr3:uid="{40E0801B-0322-4C96-A89C-DA2C0252D974}" name="Spalte6701"/>
    <tableColumn id="6719" xr3:uid="{47A0C344-D687-4149-AFDC-82EB9814AB0A}" name="Spalte6702"/>
    <tableColumn id="6720" xr3:uid="{87B58AC5-6F99-4C8F-A8F1-970242977C42}" name="Spalte6703"/>
    <tableColumn id="6721" xr3:uid="{BE3F8363-15B3-435D-BE4E-CF60BD0B9437}" name="Spalte6704"/>
    <tableColumn id="6722" xr3:uid="{6E44F7F5-7281-458A-814E-8B281E65E453}" name="Spalte6705"/>
    <tableColumn id="6723" xr3:uid="{EBB0128E-ACA2-4BB6-8E46-F53E1147BD02}" name="Spalte6706"/>
    <tableColumn id="6724" xr3:uid="{C0DEB695-2C27-4AB0-974D-074027A5778E}" name="Spalte6707"/>
    <tableColumn id="6725" xr3:uid="{07F067C4-92A0-456E-A0DA-B068A11D35F1}" name="Spalte6708"/>
    <tableColumn id="6726" xr3:uid="{38B273C1-0986-4095-B538-58E3D3A19B00}" name="Spalte6709"/>
    <tableColumn id="6727" xr3:uid="{E221A45B-B98F-4A1F-AA86-62E36AC19F33}" name="Spalte6710"/>
    <tableColumn id="6728" xr3:uid="{0609678A-FD17-4031-929C-A2D674A9F664}" name="Spalte6711"/>
    <tableColumn id="6729" xr3:uid="{AD5E29F0-2723-45A4-BE06-A29768EF0CD6}" name="Spalte6712"/>
    <tableColumn id="6730" xr3:uid="{F14C797A-3DB0-4181-A939-E3EC29578916}" name="Spalte6713"/>
    <tableColumn id="6731" xr3:uid="{0F68BE84-4690-44DC-B173-BB08825B8947}" name="Spalte6714"/>
    <tableColumn id="6732" xr3:uid="{30ADD5E1-A81C-4EA7-98B0-F58773BF6B51}" name="Spalte6715"/>
    <tableColumn id="6733" xr3:uid="{2D2C1596-F8FC-4D08-9D20-D6FCB8B66841}" name="Spalte6716"/>
    <tableColumn id="6734" xr3:uid="{3723F025-EA08-4B52-BDAE-CC8B4CA4834F}" name="Spalte6717"/>
    <tableColumn id="6735" xr3:uid="{58F22111-E3F7-44AE-98A5-CFECDB7B44E4}" name="Spalte6718"/>
    <tableColumn id="6736" xr3:uid="{A2CF8D27-85AB-49A3-A659-499DD926DE65}" name="Spalte6719"/>
    <tableColumn id="6737" xr3:uid="{61A756D2-D424-48EF-9953-1641AF56EB01}" name="Spalte6720"/>
    <tableColumn id="6738" xr3:uid="{CBA2B542-1BF1-4166-9027-8A3CDD8C4C5B}" name="Spalte6721"/>
    <tableColumn id="6739" xr3:uid="{2E5B9812-C9D6-4629-B45C-4A1DA906E63B}" name="Spalte6722"/>
    <tableColumn id="6740" xr3:uid="{F6B12B4A-939B-4362-8D66-C8C19E40DF68}" name="Spalte6723"/>
    <tableColumn id="6741" xr3:uid="{9AF7A7CC-EDD5-4C3F-8037-7001347910F4}" name="Spalte6724"/>
    <tableColumn id="6742" xr3:uid="{27B9E877-7F9A-4E06-BF63-35C5229077C7}" name="Spalte6725"/>
    <tableColumn id="6743" xr3:uid="{294FBD36-4D42-4247-B0C2-62423B35E0C1}" name="Spalte6726"/>
    <tableColumn id="6744" xr3:uid="{2BC1298A-FCB8-4C95-ADBF-C8E9CC2E90FE}" name="Spalte6727"/>
    <tableColumn id="6745" xr3:uid="{25C2C984-936A-4AB7-A1B1-8734C8F05A01}" name="Spalte6728"/>
    <tableColumn id="6746" xr3:uid="{A27E8836-366C-4613-A50B-AF368E6FF0AD}" name="Spalte6729"/>
    <tableColumn id="6747" xr3:uid="{185DFA88-AB78-45A1-A12C-C97F3C097D22}" name="Spalte6730"/>
    <tableColumn id="6748" xr3:uid="{FFD8EBAF-21D1-41D3-B8BB-F9E5404CACB1}" name="Spalte6731"/>
    <tableColumn id="6749" xr3:uid="{17D08975-4B4B-40B4-9311-B63FF0C3E5B1}" name="Spalte6732"/>
    <tableColumn id="6750" xr3:uid="{85DF3C30-A295-4CDD-B10C-49491ABF4F4F}" name="Spalte6733"/>
    <tableColumn id="6751" xr3:uid="{DE5CCA7B-1320-4BA7-ADAD-FC594624330D}" name="Spalte6734"/>
    <tableColumn id="6752" xr3:uid="{3874C20E-AF18-4F34-862A-0D353E32A339}" name="Spalte6735"/>
    <tableColumn id="6753" xr3:uid="{46BAD588-45DE-4137-A4DE-BB03579106CE}" name="Spalte6736"/>
    <tableColumn id="6754" xr3:uid="{C2746EDB-4B6A-4AC1-9A48-D9AA7C73FD19}" name="Spalte6737"/>
    <tableColumn id="6755" xr3:uid="{B0854143-0701-4E54-A50E-A7FB47AB8F50}" name="Spalte6738"/>
    <tableColumn id="6756" xr3:uid="{4A80AEC6-FEED-4EB3-9E17-E5FDA3B8BBDB}" name="Spalte6739"/>
    <tableColumn id="6757" xr3:uid="{FC080FDB-51DE-482D-8339-10864E9DE897}" name="Spalte6740"/>
    <tableColumn id="6758" xr3:uid="{250B07D5-484F-4B62-9002-499ECBD2C93A}" name="Spalte6741"/>
    <tableColumn id="6759" xr3:uid="{408CA0A4-9C83-4EF9-8BD9-345646369990}" name="Spalte6742"/>
    <tableColumn id="6760" xr3:uid="{D1B78FE6-551B-4DBF-8564-59897EAE031D}" name="Spalte6743"/>
    <tableColumn id="6761" xr3:uid="{49F4958B-B17E-4FFC-B3D3-58B9B352173F}" name="Spalte6744"/>
    <tableColumn id="6762" xr3:uid="{9F23FE6C-E7E3-41B2-A2F2-63DD42B11B2D}" name="Spalte6745"/>
    <tableColumn id="6763" xr3:uid="{F7C02C54-11B0-4BD5-B5DD-C8986A23FC1D}" name="Spalte6746"/>
    <tableColumn id="6764" xr3:uid="{DB67FE89-E9A9-43A9-A520-B91860BAEE31}" name="Spalte6747"/>
    <tableColumn id="6765" xr3:uid="{9EC16E7E-F8E0-4116-83B8-A9A0F282B54D}" name="Spalte6748"/>
    <tableColumn id="6766" xr3:uid="{CA05756E-C823-4C1E-B3D7-9D2A5454DD1D}" name="Spalte6749"/>
    <tableColumn id="6767" xr3:uid="{EE5526DA-411D-4BCD-BDB4-B8EEEF641B19}" name="Spalte6750"/>
    <tableColumn id="6768" xr3:uid="{1D07D5CD-64E1-4898-81D6-D250F2C07960}" name="Spalte6751"/>
    <tableColumn id="6769" xr3:uid="{A4645266-5EBA-4F39-BA8E-C0D9F6A2573F}" name="Spalte6752"/>
    <tableColumn id="6770" xr3:uid="{28BB27AD-63EE-4B47-92B2-F88F6E4CF320}" name="Spalte6753"/>
    <tableColumn id="6771" xr3:uid="{2D44D710-DA41-4371-BF39-EB93B12C5DE1}" name="Spalte6754"/>
    <tableColumn id="6772" xr3:uid="{3FA38785-0B81-4955-980B-5C22DA741910}" name="Spalte6755"/>
    <tableColumn id="6773" xr3:uid="{FFE9F597-B046-4682-8EC1-871E22FA416A}" name="Spalte6756"/>
    <tableColumn id="6774" xr3:uid="{143A5DAC-CF1D-487E-B3C5-FD9B1E3076F3}" name="Spalte6757"/>
    <tableColumn id="6775" xr3:uid="{34476FBF-7701-4CEF-935E-F1D8F315D675}" name="Spalte6758"/>
    <tableColumn id="6776" xr3:uid="{D450F2A5-DBCA-4061-9E26-0F2EC65C7627}" name="Spalte6759"/>
    <tableColumn id="6777" xr3:uid="{149EEA00-15F8-41D7-B25D-CD2E98DCCE5C}" name="Spalte6760"/>
    <tableColumn id="6778" xr3:uid="{232F5703-F709-4FD3-A5C3-76A50AC7AC76}" name="Spalte6761"/>
    <tableColumn id="6779" xr3:uid="{F5F77A4B-6C8A-4406-BFED-BE4935A0747A}" name="Spalte6762"/>
    <tableColumn id="6780" xr3:uid="{97B9F5F4-9D85-4167-9160-07CD0F6C2B7F}" name="Spalte6763"/>
    <tableColumn id="6781" xr3:uid="{8CB1144F-8D97-40AF-BEE0-7AD0CF76EC1A}" name="Spalte6764"/>
    <tableColumn id="6782" xr3:uid="{37710994-3284-4BC0-A232-F1C162B8C3C7}" name="Spalte6765"/>
    <tableColumn id="6783" xr3:uid="{05D9F2CF-C73C-4568-A581-261AE3E5CD4E}" name="Spalte6766"/>
    <tableColumn id="6784" xr3:uid="{E55B6BF5-1C5A-4AD7-8D54-CC382935067F}" name="Spalte6767"/>
    <tableColumn id="6785" xr3:uid="{6083A54B-F3FE-4B87-BDC9-1514DCE833A1}" name="Spalte6768"/>
    <tableColumn id="6786" xr3:uid="{C3AA9B92-D7BD-48F4-AEF4-452891B9AE9A}" name="Spalte6769"/>
    <tableColumn id="6787" xr3:uid="{F323F135-2FE9-4E13-B3E7-C6E9ED62776F}" name="Spalte6770"/>
    <tableColumn id="6788" xr3:uid="{9CAA29ED-0110-416F-BA6A-2955232232E3}" name="Spalte6771"/>
    <tableColumn id="6789" xr3:uid="{469E03C6-2B30-4586-B8BA-556CA44D692A}" name="Spalte6772"/>
    <tableColumn id="6790" xr3:uid="{F1CB1905-6D79-4490-A652-597E750FA4CD}" name="Spalte6773"/>
    <tableColumn id="6791" xr3:uid="{DE916B7A-CC7F-453B-AF5A-E5B66574C330}" name="Spalte6774"/>
    <tableColumn id="6792" xr3:uid="{1ED98757-62B7-49A3-B851-195E0A28BDF5}" name="Spalte6775"/>
    <tableColumn id="6793" xr3:uid="{0FB33F88-F990-45E5-B0CF-EA261457E26F}" name="Spalte6776"/>
    <tableColumn id="6794" xr3:uid="{14C7CA16-2869-4D55-847E-4B82A4FA8636}" name="Spalte6777"/>
    <tableColumn id="6795" xr3:uid="{354EF53C-C14B-4278-AAB6-4B66F847FB59}" name="Spalte6778"/>
    <tableColumn id="6796" xr3:uid="{8D5DA28A-C9DD-4C81-9A22-9DD3990B762E}" name="Spalte6779"/>
    <tableColumn id="6797" xr3:uid="{70D98A6E-8F0F-42FA-88FF-58AEEAB7D9C0}" name="Spalte6780"/>
    <tableColumn id="6798" xr3:uid="{6DBC0509-07F4-4CDF-AA39-D6516802C554}" name="Spalte6781"/>
    <tableColumn id="6799" xr3:uid="{4BE6C83B-536D-484D-BB65-DC2BAC7B9477}" name="Spalte6782"/>
    <tableColumn id="6800" xr3:uid="{5B943BF4-C1B8-4A24-B15F-0923BFCC0EBE}" name="Spalte6783"/>
    <tableColumn id="6801" xr3:uid="{BA21A229-62B1-4C96-B0B8-B15FEB80405F}" name="Spalte6784"/>
    <tableColumn id="6802" xr3:uid="{A74BD548-F837-40B3-87D6-92EF310758DF}" name="Spalte6785"/>
    <tableColumn id="6803" xr3:uid="{392C4B78-9466-49EE-9C04-50BE6BACBCD6}" name="Spalte6786"/>
    <tableColumn id="6804" xr3:uid="{9A34D64C-56EB-48E3-A085-C0752B801156}" name="Spalte6787"/>
    <tableColumn id="6805" xr3:uid="{4506F0FC-D93B-410A-8275-3DD1FA9F14DF}" name="Spalte6788"/>
    <tableColumn id="6806" xr3:uid="{4C69A985-57D7-420F-87B4-A1E43F100144}" name="Spalte6789"/>
    <tableColumn id="6807" xr3:uid="{C659F622-A8E6-47A3-BCEC-4EABB5BAEAD7}" name="Spalte6790"/>
    <tableColumn id="6808" xr3:uid="{A4FEAEC6-4772-4EE7-BD53-7F0A543D0708}" name="Spalte6791"/>
    <tableColumn id="6809" xr3:uid="{D6CE2D78-A286-4E7A-A607-3765FBCCC2F8}" name="Spalte6792"/>
    <tableColumn id="6810" xr3:uid="{7E516644-323D-4901-B3A9-E6C8AF76473D}" name="Spalte6793"/>
    <tableColumn id="6811" xr3:uid="{5B7AA521-FF80-4DFD-848F-ED958B46BAFE}" name="Spalte6794"/>
    <tableColumn id="6812" xr3:uid="{23465761-70ED-49D3-8CEE-29AC36E44952}" name="Spalte6795"/>
    <tableColumn id="6813" xr3:uid="{554F0FA2-5E4E-47A4-8145-C500E47E5307}" name="Spalte6796"/>
    <tableColumn id="6814" xr3:uid="{3120FAB1-351C-494A-8629-EF03DF549655}" name="Spalte6797"/>
    <tableColumn id="6815" xr3:uid="{329602B2-C42F-4BEE-AE9D-983B8E5780B5}" name="Spalte6798"/>
    <tableColumn id="6816" xr3:uid="{F53143F6-FD3D-4415-9991-21E37458C975}" name="Spalte6799"/>
    <tableColumn id="6817" xr3:uid="{2A23128A-1574-4E06-A5CA-68CD23D7CD03}" name="Spalte6800"/>
    <tableColumn id="6818" xr3:uid="{407C2651-CECD-4A27-8019-F9DF0B501806}" name="Spalte6801"/>
    <tableColumn id="6819" xr3:uid="{5DC9B2AC-174B-49C4-9F89-0A0A09070C9E}" name="Spalte6802"/>
    <tableColumn id="6820" xr3:uid="{6DFAB36D-1E93-46F9-BD2A-DCC71AB5442A}" name="Spalte6803"/>
    <tableColumn id="6821" xr3:uid="{245C40BF-7BFB-4834-931E-771DDEAA36FD}" name="Spalte6804"/>
    <tableColumn id="6822" xr3:uid="{FBAAC57E-D914-413F-9A2D-6A6D75C0DAF7}" name="Spalte6805"/>
    <tableColumn id="6823" xr3:uid="{71142159-C7B7-424D-B143-F1D5FEC72A45}" name="Spalte6806"/>
    <tableColumn id="6824" xr3:uid="{2DA5248B-75EC-42D9-A053-CB53FA574A9C}" name="Spalte6807"/>
    <tableColumn id="6825" xr3:uid="{0C7112BD-06DD-429B-8254-D3D710E9A3E2}" name="Spalte6808"/>
    <tableColumn id="6826" xr3:uid="{2FFE3501-9BE9-448D-A42F-C7A281B84E9E}" name="Spalte6809"/>
    <tableColumn id="6827" xr3:uid="{D679A066-F344-4F4C-8E31-6BC1904209B8}" name="Spalte6810"/>
    <tableColumn id="6828" xr3:uid="{35E313ED-61E2-4E47-B2D3-25D2DCF6C9FB}" name="Spalte6811"/>
    <tableColumn id="6829" xr3:uid="{F932AAA7-A613-4911-8E38-CAA53774A014}" name="Spalte6812"/>
    <tableColumn id="6830" xr3:uid="{B4E1A9D8-DB8D-4521-8FFC-9FAA615B5265}" name="Spalte6813"/>
    <tableColumn id="6831" xr3:uid="{5ACDA3E4-03BD-4437-BF8A-CFB7F0EAAD2E}" name="Spalte6814"/>
    <tableColumn id="6832" xr3:uid="{8D07BC96-C3DF-4A25-BEF2-B1FBF3102779}" name="Spalte6815"/>
    <tableColumn id="6833" xr3:uid="{E7008D73-6475-4922-BAA3-5A3C63E1CB6A}" name="Spalte6816"/>
    <tableColumn id="6834" xr3:uid="{A9462BD3-D89F-4117-BD01-22F519447485}" name="Spalte6817"/>
    <tableColumn id="6835" xr3:uid="{2928000D-029A-4A2E-BB27-3DD23FD3196F}" name="Spalte6818"/>
    <tableColumn id="6836" xr3:uid="{F6B224DD-EC53-4A33-984E-2E5330168155}" name="Spalte6819"/>
    <tableColumn id="6837" xr3:uid="{AE3E88AD-E36A-4418-81DE-FC2C47FC33AA}" name="Spalte6820"/>
    <tableColumn id="6838" xr3:uid="{72AD5A29-F361-4E76-BE99-6EF2DBC4761A}" name="Spalte6821"/>
    <tableColumn id="6839" xr3:uid="{82BA2C77-6C18-494F-ABDD-16E71A8A2521}" name="Spalte6822"/>
    <tableColumn id="6840" xr3:uid="{609E18D2-23BF-4B6A-8BD9-9D7B4ACEC009}" name="Spalte6823"/>
    <tableColumn id="6841" xr3:uid="{E310045C-398F-431D-8E45-59505103EDC1}" name="Spalte6824"/>
    <tableColumn id="6842" xr3:uid="{D7BC6D7B-AB8B-46DE-90AB-B664BF65B3C0}" name="Spalte6825"/>
    <tableColumn id="6843" xr3:uid="{5CCDDFCA-757E-44E6-B861-4AD3368DE13F}" name="Spalte6826"/>
    <tableColumn id="6844" xr3:uid="{59934137-98AF-4CE0-B8F0-CA9CE695FC9C}" name="Spalte6827"/>
    <tableColumn id="6845" xr3:uid="{E834DD4F-3D13-4F10-8753-FE6451FC122D}" name="Spalte6828"/>
    <tableColumn id="6846" xr3:uid="{EAB60244-77F6-4C8A-B471-F7B1AF921B53}" name="Spalte6829"/>
    <tableColumn id="6847" xr3:uid="{92E92BBC-8FB0-423A-9672-F61173923572}" name="Spalte6830"/>
    <tableColumn id="6848" xr3:uid="{B4CCE4EC-FE89-484A-BCBD-8FA7C5C6B360}" name="Spalte6831"/>
    <tableColumn id="6849" xr3:uid="{21DB8939-7955-441E-AF4D-D5406FCD11AE}" name="Spalte6832"/>
    <tableColumn id="6850" xr3:uid="{72C21744-1899-4E1A-ACF6-43431CE0E42F}" name="Spalte6833"/>
    <tableColumn id="6851" xr3:uid="{A7A3ECEA-0204-4441-AAA6-88EFD2DB123A}" name="Spalte6834"/>
    <tableColumn id="6852" xr3:uid="{E435F6DA-0264-4913-832A-5ED5C2DE65B4}" name="Spalte6835"/>
    <tableColumn id="6853" xr3:uid="{6FA5234C-77E6-4A78-BA3F-256F50ED2267}" name="Spalte6836"/>
    <tableColumn id="6854" xr3:uid="{877B96C0-3BB2-4686-958F-117E9DBCF3C4}" name="Spalte6837"/>
    <tableColumn id="6855" xr3:uid="{7EF68A5C-3C32-41A3-8FFC-7116D597DD8E}" name="Spalte6838"/>
    <tableColumn id="6856" xr3:uid="{E97F7CC3-4A4F-4B10-A136-01F9FCD6673F}" name="Spalte6839"/>
    <tableColumn id="6857" xr3:uid="{8EAFF331-C892-4671-B348-EFDAE22B34E5}" name="Spalte6840"/>
    <tableColumn id="6858" xr3:uid="{6CDEC2AF-61A6-4161-BCD1-CD0D792C8146}" name="Spalte6841"/>
    <tableColumn id="6859" xr3:uid="{4B61CDFB-7835-45C8-9142-700B7FEE62D3}" name="Spalte6842"/>
    <tableColumn id="6860" xr3:uid="{F56E214B-F667-43ED-8CA9-CC688D98906C}" name="Spalte6843"/>
    <tableColumn id="6861" xr3:uid="{CA813F5E-B488-45AB-903B-8404B7071B1F}" name="Spalte6844"/>
    <tableColumn id="6862" xr3:uid="{B9615101-6930-4FF2-91B1-F065C43C97C6}" name="Spalte6845"/>
    <tableColumn id="6863" xr3:uid="{57F0FB3F-FA39-4F8C-B86D-68EE090965CE}" name="Spalte6846"/>
    <tableColumn id="6864" xr3:uid="{85BF3F0D-ADC1-4F89-B167-00E0D881AC9D}" name="Spalte6847"/>
    <tableColumn id="6865" xr3:uid="{77FF962B-8CC5-4FCD-8BE4-D861264D7639}" name="Spalte6848"/>
    <tableColumn id="6866" xr3:uid="{CE9DF768-9D26-44D3-AE71-40F34709915A}" name="Spalte6849"/>
    <tableColumn id="6867" xr3:uid="{763DA7B7-AFB4-42BB-B0DA-369EAD783778}" name="Spalte6850"/>
    <tableColumn id="6868" xr3:uid="{188512D3-DE88-4924-8E05-084037EE73FA}" name="Spalte6851"/>
    <tableColumn id="6869" xr3:uid="{0F2E895B-E11C-49AB-88FB-8562B9CCDA08}" name="Spalte6852"/>
    <tableColumn id="6870" xr3:uid="{DB83E65B-DBBE-4FD2-82A7-A33FDCCDE7C8}" name="Spalte6853"/>
    <tableColumn id="6871" xr3:uid="{AF6E8F8A-277C-47CE-876E-88EAE771B2D4}" name="Spalte6854"/>
    <tableColumn id="6872" xr3:uid="{8FD58A41-A5EE-4C20-B686-3047F0609E5B}" name="Spalte6855"/>
    <tableColumn id="6873" xr3:uid="{5578C915-4CA1-49D8-B7F5-35266B888837}" name="Spalte6856"/>
    <tableColumn id="6874" xr3:uid="{C721F46D-FA4F-42CC-88DB-7B3CB860019D}" name="Spalte6857"/>
    <tableColumn id="6875" xr3:uid="{EC659984-4C1D-4388-AF08-0F026AF344FC}" name="Spalte6858"/>
    <tableColumn id="6876" xr3:uid="{4947C08B-ECF7-4E3D-94C9-95FC2736DC66}" name="Spalte6859"/>
    <tableColumn id="6877" xr3:uid="{F64CF13B-E8E1-4523-B0C0-CEB9C20E6747}" name="Spalte6860"/>
    <tableColumn id="6878" xr3:uid="{5C211E0D-A3F9-4BD4-BC88-26FF3345E320}" name="Spalte6861"/>
    <tableColumn id="6879" xr3:uid="{E9197B7B-2072-4D32-A8D1-E908801CD570}" name="Spalte6862"/>
    <tableColumn id="6880" xr3:uid="{D7F710B1-AC2A-419C-B9CB-76ECDBAE0E44}" name="Spalte6863"/>
    <tableColumn id="6881" xr3:uid="{701144F3-A81B-4131-867A-884D107060BD}" name="Spalte6864"/>
    <tableColumn id="6882" xr3:uid="{3FDC1694-9F92-4DE4-91CD-C4BCF8955CC5}" name="Spalte6865"/>
    <tableColumn id="6883" xr3:uid="{B4CFF9B0-CC45-4DD4-BF1B-645202BDA5FB}" name="Spalte6866"/>
    <tableColumn id="6884" xr3:uid="{09946ADA-08B7-44D9-B061-99D56CF30E5F}" name="Spalte6867"/>
    <tableColumn id="6885" xr3:uid="{EF796FCF-CD61-4ADE-BBFF-0FEA9C5E4CFA}" name="Spalte6868"/>
    <tableColumn id="6886" xr3:uid="{D7BA9449-FCC5-4141-BB29-9704B7A0AB9D}" name="Spalte6869"/>
    <tableColumn id="6887" xr3:uid="{7F571EA8-7650-41FE-A661-D13625B358D8}" name="Spalte6870"/>
    <tableColumn id="6888" xr3:uid="{8859E523-27C7-448A-BEC8-77CA6D1A5BEF}" name="Spalte6871"/>
    <tableColumn id="6889" xr3:uid="{05503780-09DE-47EB-8858-C84A6981DC0E}" name="Spalte6872"/>
    <tableColumn id="6890" xr3:uid="{2C41BE71-7000-4303-9C81-6E5156544791}" name="Spalte6873"/>
    <tableColumn id="6891" xr3:uid="{6E5CBFA3-AFA7-4E83-A5E1-97125852BDA4}" name="Spalte6874"/>
    <tableColumn id="6892" xr3:uid="{75AC50F1-2F97-49C4-B66C-56443E343805}" name="Spalte6875"/>
    <tableColumn id="6893" xr3:uid="{6691EDE8-2244-4C5D-BA44-84AFF2556990}" name="Spalte6876"/>
    <tableColumn id="6894" xr3:uid="{B0B4F13D-3963-4C3C-861F-E0F704EE7154}" name="Spalte6877"/>
    <tableColumn id="6895" xr3:uid="{B0A8891E-0570-4B81-9756-AE92E852AF43}" name="Spalte6878"/>
    <tableColumn id="6896" xr3:uid="{6E0A8A33-F0CF-439E-90FB-6C1F15CAD449}" name="Spalte6879"/>
    <tableColumn id="6897" xr3:uid="{09CFBA58-0200-47EB-9C25-AB33E1B58EEB}" name="Spalte6880"/>
    <tableColumn id="6898" xr3:uid="{C8121F8F-5D68-4BF8-8B64-F91AE93CFFC7}" name="Spalte6881"/>
    <tableColumn id="6899" xr3:uid="{C033008F-453D-4E43-80C7-664345033134}" name="Spalte6882"/>
    <tableColumn id="6900" xr3:uid="{608CAA9D-3CDC-401D-B942-19773A15C129}" name="Spalte6883"/>
    <tableColumn id="6901" xr3:uid="{C8CDD0C0-8054-491D-8CEB-3AEC53ADC3BE}" name="Spalte6884"/>
    <tableColumn id="6902" xr3:uid="{42FB3C41-7BE4-4201-B2CC-65C871ECB4BB}" name="Spalte6885"/>
    <tableColumn id="6903" xr3:uid="{A6376820-8071-40F9-ACE6-82394F898CB4}" name="Spalte6886"/>
    <tableColumn id="6904" xr3:uid="{160BC821-8E08-4FCD-A7A7-207D12DAF4B8}" name="Spalte6887"/>
    <tableColumn id="6905" xr3:uid="{C3C83DAC-B8F6-44C3-B2D0-968AF2CC8950}" name="Spalte6888"/>
    <tableColumn id="6906" xr3:uid="{84F02B2C-BA8D-4206-8604-08382F111CD7}" name="Spalte6889"/>
    <tableColumn id="6907" xr3:uid="{09E7000D-F3F2-4D29-98E5-1298CA444078}" name="Spalte6890"/>
    <tableColumn id="6908" xr3:uid="{949E0856-86F4-4D32-8D08-001D12696EFD}" name="Spalte6891"/>
    <tableColumn id="6909" xr3:uid="{4E0CF9F3-61E6-44D3-82B2-49B3AFCBCD65}" name="Spalte6892"/>
    <tableColumn id="6910" xr3:uid="{75825BF3-82A5-4B55-8A2D-0C397DA5CDAF}" name="Spalte6893"/>
    <tableColumn id="6911" xr3:uid="{CD74A2A5-1FB4-45E1-8CF9-7C8EB44EA6F7}" name="Spalte6894"/>
    <tableColumn id="6912" xr3:uid="{55BDF290-7171-4F8A-AA8F-E72C9AC77F97}" name="Spalte6895"/>
    <tableColumn id="6913" xr3:uid="{BC184CED-17B3-4A5B-BB32-6282845BA550}" name="Spalte6896"/>
    <tableColumn id="6914" xr3:uid="{F3E6444A-9C55-4088-9FED-DCFCE7C0BD26}" name="Spalte6897"/>
    <tableColumn id="6915" xr3:uid="{A5A633B1-3874-46A2-A068-DAFF8093F122}" name="Spalte6898"/>
    <tableColumn id="6916" xr3:uid="{3AE87400-4FCE-4DC3-9B00-4092B82E0C72}" name="Spalte6899"/>
    <tableColumn id="6917" xr3:uid="{63CD63C1-5AD5-45E1-9919-6FE7D2AB9EB0}" name="Spalte6900"/>
    <tableColumn id="6918" xr3:uid="{F7ECACFF-D171-4D2F-B419-024AD8591306}" name="Spalte6901"/>
    <tableColumn id="6919" xr3:uid="{25CF6007-64AE-4156-843D-C363791EB713}" name="Spalte6902"/>
    <tableColumn id="6920" xr3:uid="{A7C55BE5-ED93-47B8-8E51-5FD56C3F9620}" name="Spalte6903"/>
    <tableColumn id="6921" xr3:uid="{3EF4D0E2-A57D-4FCD-AE9E-3D26E06B44B9}" name="Spalte6904"/>
    <tableColumn id="6922" xr3:uid="{9C3D4290-0987-4499-A397-9DD099A2205C}" name="Spalte6905"/>
    <tableColumn id="6923" xr3:uid="{8ACD8139-57A6-46F6-BDDD-3157756FBB02}" name="Spalte6906"/>
    <tableColumn id="6924" xr3:uid="{AC0BC296-6806-43D0-8927-C7254F342703}" name="Spalte6907"/>
    <tableColumn id="6925" xr3:uid="{31E2DDF9-325C-4EA5-96E8-30E619E0731A}" name="Spalte6908"/>
    <tableColumn id="6926" xr3:uid="{7D9E3ED7-D410-403C-8728-3A73833A7487}" name="Spalte6909"/>
    <tableColumn id="6927" xr3:uid="{0FEF0937-4F06-4940-B8A4-542812626DC5}" name="Spalte6910"/>
    <tableColumn id="6928" xr3:uid="{CFF2E6D4-D2FC-4023-A4EF-EB9552041E7E}" name="Spalte6911"/>
    <tableColumn id="6929" xr3:uid="{A43CDBE3-6BC7-4E0D-86E3-9A890926BA18}" name="Spalte6912"/>
    <tableColumn id="6930" xr3:uid="{8FE40800-88A2-4C9C-9140-895486737FB7}" name="Spalte6913"/>
    <tableColumn id="6931" xr3:uid="{3ADA06CA-E2AA-4422-9505-F5B6891BAB4C}" name="Spalte6914"/>
    <tableColumn id="6932" xr3:uid="{D0D65EA1-B5DD-4AD2-8AFC-3A76D3AAD38B}" name="Spalte6915"/>
    <tableColumn id="6933" xr3:uid="{CFAF62B9-BC47-4D96-849A-5285CB93FF28}" name="Spalte6916"/>
    <tableColumn id="6934" xr3:uid="{75E73BDA-D0BC-4B1B-99E4-5B4AE7FD6133}" name="Spalte6917"/>
    <tableColumn id="6935" xr3:uid="{27C313F3-5F15-4B6C-B2D4-6E245E03EB1C}" name="Spalte6918"/>
    <tableColumn id="6936" xr3:uid="{57F87E84-0AF7-423D-B646-66FC01EAC28C}" name="Spalte6919"/>
    <tableColumn id="6937" xr3:uid="{F37BEA10-FDAF-46E4-AC3E-1A0D3E69C060}" name="Spalte6920"/>
    <tableColumn id="6938" xr3:uid="{A345B375-26C2-48D0-BEFD-CFD7A4F16172}" name="Spalte6921"/>
    <tableColumn id="6939" xr3:uid="{A5CCD7F7-6BB9-4229-BF75-81645650A410}" name="Spalte6922"/>
    <tableColumn id="6940" xr3:uid="{27B9FF2E-B6D2-4BFF-A409-47AEC36111C2}" name="Spalte6923"/>
    <tableColumn id="6941" xr3:uid="{EB875E33-3587-43E3-9760-0D1AFFAF89F1}" name="Spalte6924"/>
    <tableColumn id="6942" xr3:uid="{0E5D9E3C-7032-4E1D-9292-44017F4865FF}" name="Spalte6925"/>
    <tableColumn id="6943" xr3:uid="{3C15C4DC-8757-4F32-896B-29BF1F44C649}" name="Spalte6926"/>
    <tableColumn id="6944" xr3:uid="{4272FE7E-E238-45E6-877B-59F87BE151AE}" name="Spalte6927"/>
    <tableColumn id="6945" xr3:uid="{903076E5-9A50-48E4-BAD1-C2038CE91B41}" name="Spalte6928"/>
    <tableColumn id="6946" xr3:uid="{573E1CEA-0D49-47FD-AD6D-28981D711C4F}" name="Spalte6929"/>
    <tableColumn id="6947" xr3:uid="{4A0332D6-5A57-4CF8-9D4F-EC9370CE88B3}" name="Spalte6930"/>
    <tableColumn id="6948" xr3:uid="{AD8210D0-6000-4922-86D8-F44CF528462E}" name="Spalte6931"/>
    <tableColumn id="6949" xr3:uid="{3FB6A88E-3160-4929-8235-A90FF1C0B6F1}" name="Spalte6932"/>
    <tableColumn id="6950" xr3:uid="{FFFF9823-0722-416C-B32E-F2822BB93873}" name="Spalte6933"/>
    <tableColumn id="6951" xr3:uid="{B7A899F3-10EC-41C6-BE5D-38DD1624FF26}" name="Spalte6934"/>
    <tableColumn id="6952" xr3:uid="{B03DDD4B-B38A-4AD1-A1C3-C6B0E9B9C63D}" name="Spalte6935"/>
    <tableColumn id="6953" xr3:uid="{1A891B60-4DC0-4DFC-A7FB-D7530390FC78}" name="Spalte6936"/>
    <tableColumn id="6954" xr3:uid="{9F9BAAB0-E6CA-4B67-8D02-9B989305DB12}" name="Spalte6937"/>
    <tableColumn id="6955" xr3:uid="{F3C150FA-966D-4C76-915C-12111B3539C9}" name="Spalte6938"/>
    <tableColumn id="6956" xr3:uid="{13161103-35D4-421F-9B20-DA3646154848}" name="Spalte6939"/>
    <tableColumn id="6957" xr3:uid="{C3681597-225F-4E01-AE18-6EEA060E2761}" name="Spalte6940"/>
    <tableColumn id="6958" xr3:uid="{479858B7-E0D7-46B6-9CBC-22B9853A418A}" name="Spalte6941"/>
    <tableColumn id="6959" xr3:uid="{E0230E5F-C13F-464B-B432-932F251EDD3D}" name="Spalte6942"/>
    <tableColumn id="6960" xr3:uid="{CEE16929-2DD2-4A3E-926E-20FB6829351C}" name="Spalte6943"/>
    <tableColumn id="6961" xr3:uid="{EEEE2BCC-51B1-4CAB-9E0B-A8B2B12F0E50}" name="Spalte6944"/>
    <tableColumn id="6962" xr3:uid="{CB4AAF0C-4024-4246-BC28-72F4554CE059}" name="Spalte6945"/>
    <tableColumn id="6963" xr3:uid="{6920BD48-CE88-40AF-A550-FAA6C1EED332}" name="Spalte6946"/>
    <tableColumn id="6964" xr3:uid="{890EDF56-D15C-4755-A172-C8778D01B46C}" name="Spalte6947"/>
    <tableColumn id="6965" xr3:uid="{7DF91363-0E59-4E4C-8E05-42D6EDD5011D}" name="Spalte6948"/>
    <tableColumn id="6966" xr3:uid="{3C23D166-5E10-439C-ADBA-DE718658306F}" name="Spalte6949"/>
    <tableColumn id="6967" xr3:uid="{A22A1AA4-04FF-489F-A74D-126B338B1C5C}" name="Spalte6950"/>
    <tableColumn id="6968" xr3:uid="{8733DB4C-1624-4693-92E1-774EE98E7AD0}" name="Spalte6951"/>
    <tableColumn id="6969" xr3:uid="{7CC054C9-B86A-420A-B81D-C029EA3670DA}" name="Spalte6952"/>
    <tableColumn id="6970" xr3:uid="{97024834-30AC-438E-BDDC-9FA5897B52B9}" name="Spalte6953"/>
    <tableColumn id="6971" xr3:uid="{37A53C41-6769-4254-A19D-6C8DBE97A564}" name="Spalte6954"/>
    <tableColumn id="6972" xr3:uid="{E4BD742A-358D-40CC-9C17-C21B65F6EF1C}" name="Spalte6955"/>
    <tableColumn id="6973" xr3:uid="{A0B44D6B-47AA-4520-A3DD-555DEB3AE6FA}" name="Spalte6956"/>
    <tableColumn id="6974" xr3:uid="{C63ECDB3-A870-4F97-88D0-EEF1E34E1C72}" name="Spalte6957"/>
    <tableColumn id="6975" xr3:uid="{C1869C7B-50C9-4FD9-9B0F-2F43CEC175AA}" name="Spalte6958"/>
    <tableColumn id="6976" xr3:uid="{42242DC8-E044-4072-8DA7-C8CCED31DC10}" name="Spalte6959"/>
    <tableColumn id="6977" xr3:uid="{8C8BF1B6-35EF-41E9-9773-3B587BAAC3C2}" name="Spalte6960"/>
    <tableColumn id="6978" xr3:uid="{CADFC154-A080-4125-958C-3ADB373795A8}" name="Spalte6961"/>
    <tableColumn id="6979" xr3:uid="{B804D62A-FE42-43EE-B9C8-1CB27C5D1FB4}" name="Spalte6962"/>
    <tableColumn id="6980" xr3:uid="{410C4BBC-8F6A-4686-A3C6-080BC1E7500C}" name="Spalte6963"/>
    <tableColumn id="6981" xr3:uid="{C717B602-B9B4-4D33-8079-F55493A1576A}" name="Spalte6964"/>
    <tableColumn id="6982" xr3:uid="{836AFF41-9E97-4FBB-A905-520676AF59C1}" name="Spalte6965"/>
    <tableColumn id="6983" xr3:uid="{95A3D637-C371-4B91-978A-56D558F4261F}" name="Spalte6966"/>
    <tableColumn id="6984" xr3:uid="{2CDCA07D-4EA6-4D33-9BBE-0455DA2E5744}" name="Spalte6967"/>
    <tableColumn id="6985" xr3:uid="{E8CEA04C-53BA-4361-ACB1-73F4E4045553}" name="Spalte6968"/>
    <tableColumn id="6986" xr3:uid="{FAF19C2F-082A-4DCB-A06B-0DE8D04322DE}" name="Spalte6969"/>
    <tableColumn id="6987" xr3:uid="{F954941C-D250-4FD2-B607-04FBBFB708F8}" name="Spalte6970"/>
    <tableColumn id="6988" xr3:uid="{8E9AB51C-D077-4DD8-BA94-18E7DE726636}" name="Spalte6971"/>
    <tableColumn id="6989" xr3:uid="{7EA1E057-66F2-4573-A815-7BC7E6CFD593}" name="Spalte6972"/>
    <tableColumn id="6990" xr3:uid="{A5ED54A0-8465-4CC7-8794-041EB960686A}" name="Spalte6973"/>
    <tableColumn id="6991" xr3:uid="{C678BE1A-BF5B-49B0-BDC5-0D13413B64C5}" name="Spalte6974"/>
    <tableColumn id="6992" xr3:uid="{F2EEBB4C-2025-47D5-996F-FDE30C2202A5}" name="Spalte6975"/>
    <tableColumn id="6993" xr3:uid="{331D0FCC-0C23-4348-A4F7-DF984FF0CE5F}" name="Spalte6976"/>
    <tableColumn id="6994" xr3:uid="{A7CB207A-B4B7-4C15-9524-96D9656A31E3}" name="Spalte6977"/>
    <tableColumn id="6995" xr3:uid="{BDAB1EDA-D6BE-4D7C-9905-67CF4D1743B2}" name="Spalte6978"/>
    <tableColumn id="6996" xr3:uid="{6FBF6CB6-3E4A-4DF6-B451-ADDD98F1D6AC}" name="Spalte6979"/>
    <tableColumn id="6997" xr3:uid="{B31A2C5A-F046-479B-8B14-A43077885086}" name="Spalte6980"/>
    <tableColumn id="6998" xr3:uid="{9D6ED553-B0CE-43A2-AFDC-8FD977B5F425}" name="Spalte6981"/>
    <tableColumn id="6999" xr3:uid="{9DBCBD0D-23C8-41E7-816E-D4FCA73D90C7}" name="Spalte6982"/>
    <tableColumn id="7000" xr3:uid="{88F00C86-4DD0-459A-97FE-63CED1BB4FD7}" name="Spalte6983"/>
    <tableColumn id="7001" xr3:uid="{08E115B5-E07E-440A-A67C-D246BCA598B5}" name="Spalte6984"/>
    <tableColumn id="7002" xr3:uid="{E6C74F95-A75A-491C-9F3F-6A846DE590DE}" name="Spalte6985"/>
    <tableColumn id="7003" xr3:uid="{B1140483-2516-408F-AF62-8C6914B10D2C}" name="Spalte6986"/>
    <tableColumn id="7004" xr3:uid="{DA7D7268-F25D-4615-87FA-FE23EA9D4D30}" name="Spalte6987"/>
    <tableColumn id="7005" xr3:uid="{B6A41441-4C46-4F00-8B61-012846DE7D2F}" name="Spalte6988"/>
    <tableColumn id="7006" xr3:uid="{288345FB-0029-4C87-90ED-0A98B1011D34}" name="Spalte6989"/>
    <tableColumn id="7007" xr3:uid="{3A3CD6B4-D8D1-4255-A34F-DEA4C57CCE51}" name="Spalte6990"/>
    <tableColumn id="7008" xr3:uid="{0C1ADD46-2380-4350-ABE4-4B442A53DDA0}" name="Spalte6991"/>
    <tableColumn id="7009" xr3:uid="{0E1CB3A3-229D-43F2-8617-FB962B3C9426}" name="Spalte6992"/>
    <tableColumn id="7010" xr3:uid="{DD40FD11-ED8F-4FBC-9110-FAB2E2E2C82E}" name="Spalte6993"/>
    <tableColumn id="7011" xr3:uid="{341CEA0F-088F-4B7F-8EB9-D2C477DA65BD}" name="Spalte6994"/>
    <tableColumn id="7012" xr3:uid="{F950E4EA-9460-444E-AA03-5D644C06A6FA}" name="Spalte6995"/>
    <tableColumn id="7013" xr3:uid="{F6C776FF-C79D-4FD2-ACBE-FFD25B03DFB8}" name="Spalte6996"/>
    <tableColumn id="7014" xr3:uid="{B21706D8-434B-447A-BAE4-87FF5A14B1CD}" name="Spalte6997"/>
    <tableColumn id="7015" xr3:uid="{48A22DC8-2929-4F59-958F-C09EB98D528F}" name="Spalte6998"/>
    <tableColumn id="7016" xr3:uid="{23420C4D-A68B-4026-839E-B579A6E96268}" name="Spalte6999"/>
    <tableColumn id="7017" xr3:uid="{371C2EDC-ACE6-4053-A095-954F86DDB1AB}" name="Spalte7000"/>
    <tableColumn id="7018" xr3:uid="{44B9AD91-9BE2-4060-95FB-F92DD5BB7962}" name="Spalte7001"/>
    <tableColumn id="7019" xr3:uid="{522A4408-B940-46BD-8A44-8FB6AD255409}" name="Spalte7002"/>
    <tableColumn id="7020" xr3:uid="{77AEB060-86BB-432F-9350-E633893AFCA1}" name="Spalte7003"/>
    <tableColumn id="7021" xr3:uid="{D6AB2D04-F709-44FF-9A76-AEC498872C23}" name="Spalte7004"/>
    <tableColumn id="7022" xr3:uid="{6212F367-270C-475C-9033-AB81E87BED9A}" name="Spalte7005"/>
    <tableColumn id="7023" xr3:uid="{F0D9BF27-B731-4172-AD87-88D0472327EC}" name="Spalte7006"/>
    <tableColumn id="7024" xr3:uid="{86C14247-E52A-4EA5-B08B-CEB4C096FFDB}" name="Spalte7007"/>
    <tableColumn id="7025" xr3:uid="{4E5CA8A1-6C1C-4D4B-B48F-0291078EA468}" name="Spalte7008"/>
    <tableColumn id="7026" xr3:uid="{3D7F2CAE-1A16-4063-8068-9D64ABA51AB4}" name="Spalte7009"/>
    <tableColumn id="7027" xr3:uid="{7BA99E98-BC54-4EBE-BBBB-DC9393BEE2B8}" name="Spalte7010"/>
    <tableColumn id="7028" xr3:uid="{245C87B9-2E8B-486F-A6B4-7153B30B8EE2}" name="Spalte7011"/>
    <tableColumn id="7029" xr3:uid="{250D03D5-DD15-4D51-AA55-B302FC160E6B}" name="Spalte7012"/>
    <tableColumn id="7030" xr3:uid="{AE9FE68D-95F0-423E-B466-A14DE5680C09}" name="Spalte7013"/>
    <tableColumn id="7031" xr3:uid="{9ECF1E0B-F27F-4CAC-B7E6-5E1C2E41A956}" name="Spalte7014"/>
    <tableColumn id="7032" xr3:uid="{0AF81174-B1A0-4BB0-BC07-8ECF42530A66}" name="Spalte7015"/>
    <tableColumn id="7033" xr3:uid="{007BFF7D-94AF-44D9-8AB7-0A464A6E529C}" name="Spalte7016"/>
    <tableColumn id="7034" xr3:uid="{EF4997D7-7E4F-4AB1-9343-799B84CFFF0E}" name="Spalte7017"/>
    <tableColumn id="7035" xr3:uid="{8112AAB9-07F7-4A32-A09F-D8D45E728F16}" name="Spalte7018"/>
    <tableColumn id="7036" xr3:uid="{E3ED8FFE-466D-43F6-8975-1BB642391FC1}" name="Spalte7019"/>
    <tableColumn id="7037" xr3:uid="{F1AE1FAE-2090-4993-B885-D4C517997079}" name="Spalte7020"/>
    <tableColumn id="7038" xr3:uid="{4C4D38EB-621C-4729-B5C5-6D986E286335}" name="Spalte7021"/>
    <tableColumn id="7039" xr3:uid="{DDD2C4A6-14B6-46C9-AEA1-F2486F5DA88E}" name="Spalte7022"/>
    <tableColumn id="7040" xr3:uid="{E7EDAC09-13BC-4091-A68B-7DD15BDF137B}" name="Spalte7023"/>
    <tableColumn id="7041" xr3:uid="{C76BC515-83AE-4E4E-A146-BE8A38952630}" name="Spalte7024"/>
    <tableColumn id="7042" xr3:uid="{F05258D7-6970-4787-9747-7ECD402B4325}" name="Spalte7025"/>
    <tableColumn id="7043" xr3:uid="{D40560DC-BB6D-4DC4-BC82-68C68A299B69}" name="Spalte7026"/>
    <tableColumn id="7044" xr3:uid="{60943E0B-51F9-417D-8A14-A086D9D2D8EC}" name="Spalte7027"/>
    <tableColumn id="7045" xr3:uid="{1A55166B-4FF6-4E42-85C1-035CC1A0A5DF}" name="Spalte7028"/>
    <tableColumn id="7046" xr3:uid="{E422F531-6790-4C30-A9CA-97A336B6E121}" name="Spalte7029"/>
    <tableColumn id="7047" xr3:uid="{09326BF3-1944-4990-9F8E-1FC1D4100739}" name="Spalte7030"/>
    <tableColumn id="7048" xr3:uid="{C5E56263-8255-4E06-AE59-30CE87E8DFF8}" name="Spalte7031"/>
    <tableColumn id="7049" xr3:uid="{327B16AC-DB3D-409B-83DF-9EFA4FC62B9D}" name="Spalte7032"/>
    <tableColumn id="7050" xr3:uid="{6E774414-EC94-4B60-960C-83E7EA1FC2B6}" name="Spalte7033"/>
    <tableColumn id="7051" xr3:uid="{E8F1B5BD-20FF-4F07-80F6-03461D61F576}" name="Spalte7034"/>
    <tableColumn id="7052" xr3:uid="{4D2C383E-3C57-4588-87B4-7B5FED11B519}" name="Spalte7035"/>
    <tableColumn id="7053" xr3:uid="{987F0090-F6C8-458C-B2E3-1F84F439928C}" name="Spalte7036"/>
    <tableColumn id="7054" xr3:uid="{CB2393CD-AA3D-4D69-91FD-2A83F54FA211}" name="Spalte7037"/>
    <tableColumn id="7055" xr3:uid="{ECC498F7-376A-44A4-8230-B084007632D5}" name="Spalte7038"/>
    <tableColumn id="7056" xr3:uid="{A7594FA8-F0B9-4746-9EBA-B5A7547D2C10}" name="Spalte7039"/>
    <tableColumn id="7057" xr3:uid="{2B43E87F-00D0-43FE-B98A-EAA497F11A57}" name="Spalte7040"/>
    <tableColumn id="7058" xr3:uid="{D0B85DE8-58D2-409C-BBBF-EE9D9AB87CAF}" name="Spalte7041"/>
    <tableColumn id="7059" xr3:uid="{539F0E7D-FB6A-4C99-A282-2C8F34EB5AFA}" name="Spalte7042"/>
    <tableColumn id="7060" xr3:uid="{B445542E-156D-46D8-9457-24040450C61E}" name="Spalte7043"/>
    <tableColumn id="7061" xr3:uid="{672425EB-A36F-4C3F-AAC3-E51A327DD043}" name="Spalte7044"/>
    <tableColumn id="7062" xr3:uid="{1F3DA268-3ADC-4F92-BEDE-33EF14A1C8F5}" name="Spalte7045"/>
    <tableColumn id="7063" xr3:uid="{03F9D4D4-E4A1-43BE-B4D6-2455BEB298CE}" name="Spalte7046"/>
    <tableColumn id="7064" xr3:uid="{401A3120-CCC3-4273-A077-DAF4920B6C9D}" name="Spalte7047"/>
    <tableColumn id="7065" xr3:uid="{CA613068-0EC4-4192-895F-D409BD9FBFE8}" name="Spalte7048"/>
    <tableColumn id="7066" xr3:uid="{46585E33-8A53-423B-8965-01B2B6A48551}" name="Spalte7049"/>
    <tableColumn id="7067" xr3:uid="{A3F158EE-48F5-4C43-9846-E825940F0CE3}" name="Spalte7050"/>
    <tableColumn id="7068" xr3:uid="{A2169B34-EA9B-44E9-964F-40336739A912}" name="Spalte7051"/>
    <tableColumn id="7069" xr3:uid="{2254A30A-0975-4461-BD11-B768FE537CC4}" name="Spalte7052"/>
    <tableColumn id="7070" xr3:uid="{87F4CD5C-78ED-40AB-B4A9-64A52D346D79}" name="Spalte7053"/>
    <tableColumn id="7071" xr3:uid="{49A93128-5CED-434A-8CD9-F48E59E79FC8}" name="Spalte7054"/>
    <tableColumn id="7072" xr3:uid="{EB63617D-90B1-493E-844E-54A766201455}" name="Spalte7055"/>
    <tableColumn id="7073" xr3:uid="{B6E2DEB8-9AB7-426D-A888-21D8D1EF0DB4}" name="Spalte7056"/>
    <tableColumn id="7074" xr3:uid="{27B680DF-807A-4405-A94F-1774685A3D71}" name="Spalte7057"/>
    <tableColumn id="7075" xr3:uid="{471E67B5-CCB9-4F51-BD40-05F4446E8D20}" name="Spalte7058"/>
    <tableColumn id="7076" xr3:uid="{41C95253-0E94-4335-B515-3762DC9C552D}" name="Spalte7059"/>
    <tableColumn id="7077" xr3:uid="{97ECCA4C-FADC-45BB-BC5E-3CCEA2BAD4DD}" name="Spalte7060"/>
    <tableColumn id="7078" xr3:uid="{A8F245E4-4E5A-480C-B9FB-787A12A2A3A3}" name="Spalte7061"/>
    <tableColumn id="7079" xr3:uid="{139167FF-8E84-4E8B-8E70-EA7DF0259C59}" name="Spalte7062"/>
    <tableColumn id="7080" xr3:uid="{B0BCC097-0EA7-4429-BC91-CB7022228115}" name="Spalte7063"/>
    <tableColumn id="7081" xr3:uid="{96F7ED26-FE09-40F8-B5DC-36C58D89CB51}" name="Spalte7064"/>
    <tableColumn id="7082" xr3:uid="{8C5D8225-A61C-432A-8348-94C521533E64}" name="Spalte7065"/>
    <tableColumn id="7083" xr3:uid="{B468D576-87FD-4705-96BD-A99A04111974}" name="Spalte7066"/>
    <tableColumn id="7084" xr3:uid="{9798240C-203E-4070-B490-FC06AA3997E7}" name="Spalte7067"/>
    <tableColumn id="7085" xr3:uid="{4F5DBAB6-C0FF-4C3B-9004-D9765208534E}" name="Spalte7068"/>
    <tableColumn id="7086" xr3:uid="{9563B842-3499-4D8B-A709-5A83EC79F1A8}" name="Spalte7069"/>
    <tableColumn id="7087" xr3:uid="{C40DF14D-E7A3-42D2-825C-66BBB4BF6C05}" name="Spalte7070"/>
    <tableColumn id="7088" xr3:uid="{A49FD812-B518-4E2F-9145-6CC3BB6675CE}" name="Spalte7071"/>
    <tableColumn id="7089" xr3:uid="{3D9424E1-4AF3-4CC8-84AA-8478EA0C0591}" name="Spalte7072"/>
    <tableColumn id="7090" xr3:uid="{A1FDB438-DB68-4046-8DBC-D62F45776CE7}" name="Spalte7073"/>
    <tableColumn id="7091" xr3:uid="{97FAAF64-52F6-498C-85A4-68930E804AE9}" name="Spalte7074"/>
    <tableColumn id="7092" xr3:uid="{2AE2CFB3-4F8F-498D-83C8-C2168FA6ADA6}" name="Spalte7075"/>
    <tableColumn id="7093" xr3:uid="{5E904278-98C4-4251-9AB0-2FE0BD2B623A}" name="Spalte7076"/>
    <tableColumn id="7094" xr3:uid="{B916DDFA-B91D-4A1E-8AE6-0E9B2D99E4DE}" name="Spalte7077"/>
    <tableColumn id="7095" xr3:uid="{EC014D35-7BE9-49B1-9101-15357E32A269}" name="Spalte7078"/>
    <tableColumn id="7096" xr3:uid="{A67319D3-CCAF-4331-949A-D7DDEB6ABEA1}" name="Spalte7079"/>
    <tableColumn id="7097" xr3:uid="{BAF2977C-CEAF-4271-9985-ED06D8F8C737}" name="Spalte7080"/>
    <tableColumn id="7098" xr3:uid="{1DABD7F5-4523-4E32-BEFB-90FD23177BDD}" name="Spalte7081"/>
    <tableColumn id="7099" xr3:uid="{3B3BB1E3-338E-4F92-A61A-DC39269BEB91}" name="Spalte7082"/>
    <tableColumn id="7100" xr3:uid="{52A79BA0-D0DE-4BF6-8872-3B7BE6149AD9}" name="Spalte7083"/>
    <tableColumn id="7101" xr3:uid="{EDC2F3A8-A430-4E06-942B-8F7D9E4867A4}" name="Spalte7084"/>
    <tableColumn id="7102" xr3:uid="{AF105C73-DAC1-4FB5-BC67-D04B467FD9DB}" name="Spalte7085"/>
    <tableColumn id="7103" xr3:uid="{B696B8E4-91A4-44BF-B87E-C2D359312DE8}" name="Spalte7086"/>
    <tableColumn id="7104" xr3:uid="{26EC917B-9956-40C9-A17A-0E6910616CEF}" name="Spalte7087"/>
    <tableColumn id="7105" xr3:uid="{8097DC0C-E6A1-4612-AA7E-F1A600EA0056}" name="Spalte7088"/>
    <tableColumn id="7106" xr3:uid="{9006346A-B712-41EB-A9A5-3A74F04BBADD}" name="Spalte7089"/>
    <tableColumn id="7107" xr3:uid="{7A1000DB-55F2-4A01-85DB-D708A3D08190}" name="Spalte7090"/>
    <tableColumn id="7108" xr3:uid="{DC95E189-0AAB-47CF-A6BB-8726D8170119}" name="Spalte7091"/>
    <tableColumn id="7109" xr3:uid="{14B5CBEF-D049-4F94-B930-DA1E1135CE5D}" name="Spalte7092"/>
    <tableColumn id="7110" xr3:uid="{6E257486-16AA-4887-A640-24DAFB69D305}" name="Spalte7093"/>
    <tableColumn id="7111" xr3:uid="{4F93C795-F40A-4F54-867E-506675907F45}" name="Spalte7094"/>
    <tableColumn id="7112" xr3:uid="{4092373A-1038-413F-B47F-17D9AA6B360C}" name="Spalte7095"/>
    <tableColumn id="7113" xr3:uid="{85A08FA4-51AB-4CAF-99BD-F07E9337C4D8}" name="Spalte7096"/>
    <tableColumn id="7114" xr3:uid="{5416A981-0556-4998-9E26-0E0BA48BD25F}" name="Spalte7097"/>
    <tableColumn id="7115" xr3:uid="{D88DCB85-7825-4292-818B-EA0DB5A33987}" name="Spalte7098"/>
    <tableColumn id="7116" xr3:uid="{EC707612-FBC3-4EA2-8895-0520B473C050}" name="Spalte7099"/>
    <tableColumn id="7117" xr3:uid="{D5F625A6-5DCC-4828-85AC-353564764A0A}" name="Spalte7100"/>
    <tableColumn id="7118" xr3:uid="{89BBBDD0-F1D9-4F8A-9C03-09C386696609}" name="Spalte7101"/>
    <tableColumn id="7119" xr3:uid="{6DC73B36-1751-47FE-BFB9-C30186B1D611}" name="Spalte7102"/>
    <tableColumn id="7120" xr3:uid="{31A9642D-4283-4470-8502-C4A4D22A2B57}" name="Spalte7103"/>
    <tableColumn id="7121" xr3:uid="{07D7111B-F812-4AEF-AC4C-591AD84AC6BE}" name="Spalte7104"/>
    <tableColumn id="7122" xr3:uid="{C7620BF5-BFFD-4A5C-BC10-D6802EAC0C65}" name="Spalte7105"/>
    <tableColumn id="7123" xr3:uid="{BB3487A8-3B27-4242-8ECB-5C3A2857AFCE}" name="Spalte7106"/>
    <tableColumn id="7124" xr3:uid="{62C0FB20-C7E5-483D-AF0A-11FEFA0C4F92}" name="Spalte7107"/>
    <tableColumn id="7125" xr3:uid="{E820A06D-0DF8-4EC3-9B1C-B7E33F627B04}" name="Spalte7108"/>
    <tableColumn id="7126" xr3:uid="{54FE7954-6863-4DFD-9381-1940EDA34C1E}" name="Spalte7109"/>
    <tableColumn id="7127" xr3:uid="{D0C90AFD-898F-4CA6-BDC7-D6EFA8C312D9}" name="Spalte7110"/>
    <tableColumn id="7128" xr3:uid="{298D2EE1-1D02-4725-A6E8-096065E9ADC3}" name="Spalte7111"/>
    <tableColumn id="7129" xr3:uid="{1C5E12AE-5551-4D8B-8E06-C7803387D154}" name="Spalte7112"/>
    <tableColumn id="7130" xr3:uid="{320C0E94-F13D-4602-A4F3-AA852355C51E}" name="Spalte7113"/>
    <tableColumn id="7131" xr3:uid="{88FECD4B-CDA9-4C7A-9F31-735B3AF18176}" name="Spalte7114"/>
    <tableColumn id="7132" xr3:uid="{74088E35-6F4F-42DD-9ECD-ECD966FB18E0}" name="Spalte7115"/>
    <tableColumn id="7133" xr3:uid="{2973CC42-CBBD-4E05-9E69-094C722110A0}" name="Spalte7116"/>
    <tableColumn id="7134" xr3:uid="{09FCE8D8-B329-43DF-ADCC-6740B70F5A1E}" name="Spalte7117"/>
    <tableColumn id="7135" xr3:uid="{D4C4E487-8ED4-489C-A86C-0F5F8852ACC8}" name="Spalte7118"/>
    <tableColumn id="7136" xr3:uid="{35D8D99B-D194-435A-935B-D0B5F747598C}" name="Spalte7119"/>
    <tableColumn id="7137" xr3:uid="{CC11EEBF-95B8-4362-B7BF-9534BA625FF3}" name="Spalte7120"/>
    <tableColumn id="7138" xr3:uid="{CC856CB7-B499-459F-A5D7-3F7159375550}" name="Spalte7121"/>
    <tableColumn id="7139" xr3:uid="{DC0683D4-B4F0-468C-9966-D6136A653443}" name="Spalte7122"/>
    <tableColumn id="7140" xr3:uid="{20A7DC49-7951-4A36-A0CD-8C8EB61BDF70}" name="Spalte7123"/>
    <tableColumn id="7141" xr3:uid="{6E1B1CBC-7444-43D6-9BC0-015457C36EF4}" name="Spalte7124"/>
    <tableColumn id="7142" xr3:uid="{E402C9D5-BA7F-4FE3-A6F6-E259C5B89F15}" name="Spalte7125"/>
    <tableColumn id="7143" xr3:uid="{01489CCB-17D5-4A97-BAF9-DC381B7DE87C}" name="Spalte7126"/>
    <tableColumn id="7144" xr3:uid="{630BDAC1-3ED6-4B1A-8E77-AD18AC01D7C2}" name="Spalte7127"/>
    <tableColumn id="7145" xr3:uid="{1C1F42D0-0444-489C-8155-CB663677548C}" name="Spalte7128"/>
    <tableColumn id="7146" xr3:uid="{82AADD99-7A20-44DD-82EB-9FACB79402AC}" name="Spalte7129"/>
    <tableColumn id="7147" xr3:uid="{756F3F8F-02C8-40A2-816F-35985507C44E}" name="Spalte7130"/>
    <tableColumn id="7148" xr3:uid="{C274BFB6-F6EC-4EA7-A484-87B61E5E3CC3}" name="Spalte7131"/>
    <tableColumn id="7149" xr3:uid="{53F9E74E-0DC0-474D-A49A-4E0E658D8DAA}" name="Spalte7132"/>
    <tableColumn id="7150" xr3:uid="{4380ECBC-95C7-429B-8577-688F688C91B1}" name="Spalte7133"/>
    <tableColumn id="7151" xr3:uid="{654D9148-F66C-47D7-85F6-0148E4092D0B}" name="Spalte7134"/>
    <tableColumn id="7152" xr3:uid="{C1303B68-CE1C-4EA0-8CB7-F19F757B368D}" name="Spalte7135"/>
    <tableColumn id="7153" xr3:uid="{2631DB12-BDDC-4E5D-B131-3C9FF830C949}" name="Spalte7136"/>
    <tableColumn id="7154" xr3:uid="{89219C18-C46D-4678-9420-4B9A08609E0D}" name="Spalte7137"/>
    <tableColumn id="7155" xr3:uid="{6A485AD3-C2CA-4166-BE87-BF005C2E68A1}" name="Spalte7138"/>
    <tableColumn id="7156" xr3:uid="{57D293C4-E557-44FE-ACD9-D0EC54F5EFE7}" name="Spalte7139"/>
    <tableColumn id="7157" xr3:uid="{5303BD89-1FA5-4A8C-ADEE-A2B020E87CA9}" name="Spalte7140"/>
    <tableColumn id="7158" xr3:uid="{3FB55C56-3958-4177-99E3-979170902B86}" name="Spalte7141"/>
    <tableColumn id="7159" xr3:uid="{614ED073-A7E7-4EC1-A197-0867ADF7335D}" name="Spalte7142"/>
    <tableColumn id="7160" xr3:uid="{7386B6F2-573F-46F9-BA59-435AF1C893FA}" name="Spalte7143"/>
    <tableColumn id="7161" xr3:uid="{B30B3870-5610-41DB-BAC4-C77B29033E45}" name="Spalte7144"/>
    <tableColumn id="7162" xr3:uid="{EF3FA9FD-9E7E-41CC-8667-79FE3B1ACEDA}" name="Spalte7145"/>
    <tableColumn id="7163" xr3:uid="{CD927E1E-16B0-40AD-9F47-2AE925A183CC}" name="Spalte7146"/>
    <tableColumn id="7164" xr3:uid="{3B573B01-A4E1-430A-9B3B-25C4583DD746}" name="Spalte7147"/>
    <tableColumn id="7165" xr3:uid="{6C8B2DE9-99CE-474B-A82D-242B9EBFE129}" name="Spalte7148"/>
    <tableColumn id="7166" xr3:uid="{DD6F3ECA-DE9E-4CAE-85EA-380CB7CF8161}" name="Spalte7149"/>
    <tableColumn id="7167" xr3:uid="{5205D94C-3196-4CFC-8D1F-44B0463572E5}" name="Spalte7150"/>
    <tableColumn id="7168" xr3:uid="{4D814B3B-E094-4DB7-B67A-7FA360AD8820}" name="Spalte7151"/>
    <tableColumn id="7169" xr3:uid="{C1F5E5CA-EFCC-480B-939D-2A5CDFD775A1}" name="Spalte7152"/>
    <tableColumn id="7170" xr3:uid="{0C9BDAFF-6381-41C0-9244-6CB5F3CB1AF3}" name="Spalte7153"/>
    <tableColumn id="7171" xr3:uid="{12EF8292-56E0-4102-9C02-AB5811E1F018}" name="Spalte7154"/>
    <tableColumn id="7172" xr3:uid="{9FAC3588-9086-4EDE-A886-4A7B2BE8CA9B}" name="Spalte7155"/>
    <tableColumn id="7173" xr3:uid="{A737B1F9-7F9B-4704-B678-563ED79D40B3}" name="Spalte7156"/>
    <tableColumn id="7174" xr3:uid="{29BA796F-6417-4575-86E6-11586D963012}" name="Spalte7157"/>
    <tableColumn id="7175" xr3:uid="{FFFA9903-4BE2-4476-B92D-47CB0DB2BD0C}" name="Spalte7158"/>
    <tableColumn id="7176" xr3:uid="{14527B3D-0A07-4DDC-82E9-BF85E8FE065B}" name="Spalte7159"/>
    <tableColumn id="7177" xr3:uid="{093213E2-F417-4E66-AB77-92D89AA8E9D1}" name="Spalte7160"/>
    <tableColumn id="7178" xr3:uid="{8999CB7F-A044-4556-A497-3379455EA9DA}" name="Spalte7161"/>
    <tableColumn id="7179" xr3:uid="{A495C063-8DAE-4618-9246-D63D8649ED65}" name="Spalte7162"/>
    <tableColumn id="7180" xr3:uid="{EE9A4598-68C0-4722-8578-0BCD9A388013}" name="Spalte7163"/>
    <tableColumn id="7181" xr3:uid="{563C93D2-47AD-44F6-AB5F-600FE8A9714A}" name="Spalte7164"/>
    <tableColumn id="7182" xr3:uid="{A1A89060-BC0B-44EB-94D0-2581130B7241}" name="Spalte7165"/>
    <tableColumn id="7183" xr3:uid="{F980B696-D39D-41E2-B117-50EB683A39A9}" name="Spalte7166"/>
    <tableColumn id="7184" xr3:uid="{5E646113-3B6C-4BC1-845F-55BBF20F9926}" name="Spalte7167"/>
    <tableColumn id="7185" xr3:uid="{873C4F03-6456-4FA4-84CF-A299F71D8774}" name="Spalte7168"/>
    <tableColumn id="7186" xr3:uid="{7F50C0F0-8E61-4CB9-B541-7F33EBF0130B}" name="Spalte7169"/>
    <tableColumn id="7187" xr3:uid="{0FEA1B60-7CAB-4F48-BCE2-D21129DCAC6A}" name="Spalte7170"/>
    <tableColumn id="7188" xr3:uid="{337D17AB-ACC6-4B9F-9849-C898012C1297}" name="Spalte7171"/>
    <tableColumn id="7189" xr3:uid="{50B07D50-367F-48F3-A8C8-C818D7BDECA0}" name="Spalte7172"/>
    <tableColumn id="7190" xr3:uid="{AD5DFD28-3D19-4FC9-BB3F-7141E86855EB}" name="Spalte7173"/>
    <tableColumn id="7191" xr3:uid="{87078B9D-88C6-4F05-81C7-6A5421327B94}" name="Spalte7174"/>
    <tableColumn id="7192" xr3:uid="{06C01418-6550-4794-88B5-B361F83B503F}" name="Spalte7175"/>
    <tableColumn id="7193" xr3:uid="{120FF36A-3FF2-4EAE-8E8F-755C58576F31}" name="Spalte7176"/>
    <tableColumn id="7194" xr3:uid="{3B419F0A-02CD-4574-86BB-76BC978F0D83}" name="Spalte7177"/>
    <tableColumn id="7195" xr3:uid="{741CE12E-9DC1-4772-AECA-E4ECBACED039}" name="Spalte7178"/>
    <tableColumn id="7196" xr3:uid="{2C990796-8637-40E3-AFA0-1821C1D5BDDA}" name="Spalte7179"/>
    <tableColumn id="7197" xr3:uid="{21A2DEAB-89BE-406F-B7CE-5ADF373388CC}" name="Spalte7180"/>
    <tableColumn id="7198" xr3:uid="{E607BE0E-4501-467D-ACA6-A4DAD4FEED7B}" name="Spalte7181"/>
    <tableColumn id="7199" xr3:uid="{13377D52-7A78-4267-91A7-896A332B076A}" name="Spalte7182"/>
    <tableColumn id="7200" xr3:uid="{ABC07795-DEF0-4959-9A8E-35EFB093C0E7}" name="Spalte7183"/>
    <tableColumn id="7201" xr3:uid="{6947470F-C073-4B8E-90C6-5E1BBE32DC3E}" name="Spalte7184"/>
    <tableColumn id="7202" xr3:uid="{82F49CD6-9C84-4527-88A4-155349DB1F7F}" name="Spalte7185"/>
    <tableColumn id="7203" xr3:uid="{41B7458A-6076-4B58-A38C-7DE0D8A32C3E}" name="Spalte7186"/>
    <tableColumn id="7204" xr3:uid="{A5830082-A1E5-4B90-8107-F869487629EB}" name="Spalte7187"/>
    <tableColumn id="7205" xr3:uid="{43D546A8-3E22-434F-B0F0-EA91BCA89EA7}" name="Spalte7188"/>
    <tableColumn id="7206" xr3:uid="{CEBA05D1-2F17-4F68-B529-FC462C6939AE}" name="Spalte7189"/>
    <tableColumn id="7207" xr3:uid="{E63BCD91-DDA2-4016-B7B0-FF5379FBB2CD}" name="Spalte7190"/>
    <tableColumn id="7208" xr3:uid="{1D4F6143-F2C1-4C1E-9C0A-023849FABF5F}" name="Spalte7191"/>
    <tableColumn id="7209" xr3:uid="{0AB23E63-7AF0-4914-BE20-EFCE13869AF2}" name="Spalte7192"/>
    <tableColumn id="7210" xr3:uid="{598492AC-67F9-45AB-A9F4-07C7C4E9F309}" name="Spalte7193"/>
    <tableColumn id="7211" xr3:uid="{2D7CB5D5-1CD1-4A51-AA95-4BC59D1D690A}" name="Spalte7194"/>
    <tableColumn id="7212" xr3:uid="{525F0B36-B924-44ED-AD55-4E668B569884}" name="Spalte7195"/>
    <tableColumn id="7213" xr3:uid="{EB170F00-818D-4DFE-BE50-8BE7491E0E7B}" name="Spalte7196"/>
    <tableColumn id="7214" xr3:uid="{825AF59B-AB43-4DF7-B868-C678434DE378}" name="Spalte7197"/>
    <tableColumn id="7215" xr3:uid="{E60FD908-094E-45F0-BE7C-111530F94E0E}" name="Spalte7198"/>
    <tableColumn id="7216" xr3:uid="{3090D3BD-A8BA-4F3D-955D-6954086306C9}" name="Spalte7199"/>
    <tableColumn id="7217" xr3:uid="{705A3B80-AC69-4ED1-9AA5-463A8C73E9E0}" name="Spalte7200"/>
    <tableColumn id="7218" xr3:uid="{9D542597-718D-48C5-BCC5-17F72AB41E13}" name="Spalte7201"/>
    <tableColumn id="7219" xr3:uid="{EE764420-512D-426F-97ED-F9BCB9F48C34}" name="Spalte7202"/>
    <tableColumn id="7220" xr3:uid="{14D8106B-DEA7-4AC5-A1C7-5197BF14E1A4}" name="Spalte7203"/>
    <tableColumn id="7221" xr3:uid="{B18DAF71-5E9A-4DC1-8643-2183EC3B15B9}" name="Spalte7204"/>
    <tableColumn id="7222" xr3:uid="{A0C3AF26-16B0-4748-A2BE-E6CA76222274}" name="Spalte7205"/>
    <tableColumn id="7223" xr3:uid="{10E36D3F-B2A7-483C-AFEE-D181D1F730F5}" name="Spalte7206"/>
    <tableColumn id="7224" xr3:uid="{DC1C86EB-33CD-4EC6-A292-2C5640151CE1}" name="Spalte7207"/>
    <tableColumn id="7225" xr3:uid="{DEC75D84-D393-423A-BE0A-DF35EEDE344E}" name="Spalte7208"/>
    <tableColumn id="7226" xr3:uid="{C652F102-6429-476E-8060-2C4E58D20EE6}" name="Spalte7209"/>
    <tableColumn id="7227" xr3:uid="{9BE7AEDE-8A26-4994-85FE-F0F06FF8EF0B}" name="Spalte7210"/>
    <tableColumn id="7228" xr3:uid="{A989154D-71AB-4B5E-9085-876936C36730}" name="Spalte7211"/>
    <tableColumn id="7229" xr3:uid="{BD304F24-913D-4E42-8D06-74E904D01185}" name="Spalte7212"/>
    <tableColumn id="7230" xr3:uid="{80DD4F27-F41D-48C9-A2DB-3CF0B16F97C9}" name="Spalte7213"/>
    <tableColumn id="7231" xr3:uid="{5D9514E2-2217-41BD-835F-5F9D8D892757}" name="Spalte7214"/>
    <tableColumn id="7232" xr3:uid="{C7F63E8B-255B-42F0-9280-00442C6D75CB}" name="Spalte7215"/>
    <tableColumn id="7233" xr3:uid="{38AAC724-753C-4CFF-852E-640508AF395F}" name="Spalte7216"/>
    <tableColumn id="7234" xr3:uid="{99997881-10F5-4D2E-916A-8FFC284B9073}" name="Spalte7217"/>
    <tableColumn id="7235" xr3:uid="{CCF83BDC-4B52-481A-B354-7D70FE02A763}" name="Spalte7218"/>
    <tableColumn id="7236" xr3:uid="{777D4D40-9166-40F0-A08A-76B8AA5B57B2}" name="Spalte7219"/>
    <tableColumn id="7237" xr3:uid="{F429F1E7-2B75-463A-8E05-1DFABE5BEDBA}" name="Spalte7220"/>
    <tableColumn id="7238" xr3:uid="{05FB0FE4-05AA-47CF-BEF5-6436DE843870}" name="Spalte7221"/>
    <tableColumn id="7239" xr3:uid="{76135C9C-574C-4033-BC16-467F74580E5C}" name="Spalte7222"/>
    <tableColumn id="7240" xr3:uid="{24D78CED-9380-4A51-B4FB-D5FF425D2B50}" name="Spalte7223"/>
    <tableColumn id="7241" xr3:uid="{3C8A4490-2AF8-4FA4-A614-0D1749CA3FC7}" name="Spalte7224"/>
    <tableColumn id="7242" xr3:uid="{903E1FD9-36E5-47F1-888A-C356F5E14EA9}" name="Spalte7225"/>
    <tableColumn id="7243" xr3:uid="{42ED29AE-619B-4531-9019-B6D8BDC30EDB}" name="Spalte7226"/>
    <tableColumn id="7244" xr3:uid="{091EE4C1-471B-4507-83A4-45A373FA53FC}" name="Spalte7227"/>
    <tableColumn id="7245" xr3:uid="{BBD11D8A-B7CE-454F-BE7F-E20D5022ADDC}" name="Spalte7228"/>
    <tableColumn id="7246" xr3:uid="{D62C0AA4-7F92-418E-BC7C-4B085807B816}" name="Spalte7229"/>
    <tableColumn id="7247" xr3:uid="{6C8A9039-1FA8-43E9-932F-72133105C664}" name="Spalte7230"/>
    <tableColumn id="7248" xr3:uid="{7EE16D9A-1233-4D63-904D-2B58B0DFD0D4}" name="Spalte7231"/>
    <tableColumn id="7249" xr3:uid="{94AEC879-E5D2-499B-9986-03D8EFD07BD2}" name="Spalte7232"/>
    <tableColumn id="7250" xr3:uid="{C8729594-DFF3-48C4-896E-FA09F85020DA}" name="Spalte7233"/>
    <tableColumn id="7251" xr3:uid="{45E61496-7876-431C-8E93-DDB350E6AE62}" name="Spalte7234"/>
    <tableColumn id="7252" xr3:uid="{ABFA3F2A-0F06-49AA-B599-4D2269269D58}" name="Spalte7235"/>
    <tableColumn id="7253" xr3:uid="{28A56906-BFED-44AA-8985-7404107B7C37}" name="Spalte7236"/>
    <tableColumn id="7254" xr3:uid="{A585C700-FDA7-42BB-9928-CC6BC5FC0A03}" name="Spalte7237"/>
    <tableColumn id="7255" xr3:uid="{9A1CFBE6-EA83-4E5B-BD55-1A7BFB0B4436}" name="Spalte7238"/>
    <tableColumn id="7256" xr3:uid="{3E292FF0-F97F-4DF1-A9B4-EF4213C8CD98}" name="Spalte7239"/>
    <tableColumn id="7257" xr3:uid="{54B9694F-3596-4E86-99B4-958402BDFBF8}" name="Spalte7240"/>
    <tableColumn id="7258" xr3:uid="{135E8E92-626C-4D30-BDCE-1F5C4F7CA48B}" name="Spalte7241"/>
    <tableColumn id="7259" xr3:uid="{F3FAE313-DD72-4830-BCB6-1AB2D00F1720}" name="Spalte7242"/>
    <tableColumn id="7260" xr3:uid="{FCBDD7D7-3667-4297-9016-2783CF5E39B5}" name="Spalte7243"/>
    <tableColumn id="7261" xr3:uid="{E0FD8DC5-0E18-4F03-BDCF-9BDD3CD5160C}" name="Spalte7244"/>
    <tableColumn id="7262" xr3:uid="{B2DE25D8-23A1-494A-8EBC-C1860162DC50}" name="Spalte7245"/>
    <tableColumn id="7263" xr3:uid="{F61F17BC-AEFD-4C98-99AB-11C4A68D90F9}" name="Spalte7246"/>
    <tableColumn id="7264" xr3:uid="{42BB85BC-503D-4981-BBC7-753BC57E6C28}" name="Spalte7247"/>
    <tableColumn id="7265" xr3:uid="{F9EEC0F6-A26C-4653-A3F5-0D182B3DB3F7}" name="Spalte7248"/>
    <tableColumn id="7266" xr3:uid="{A82D677C-C829-45D9-991B-D2265CC16B08}" name="Spalte7249"/>
    <tableColumn id="7267" xr3:uid="{CD7FE38F-BBE0-4F52-A562-781AFD763C22}" name="Spalte7250"/>
    <tableColumn id="7268" xr3:uid="{D91F0D42-5761-4D21-8D5C-608DE1F27D53}" name="Spalte7251"/>
    <tableColumn id="7269" xr3:uid="{FC90706F-CF98-4C3B-9A8E-28470CBF0A84}" name="Spalte7252"/>
    <tableColumn id="7270" xr3:uid="{00D1662C-4031-43D6-84EE-FC770C6E91E4}" name="Spalte7253"/>
    <tableColumn id="7271" xr3:uid="{14DF3C44-7EDF-4ECF-B682-6CA9EFB7BF74}" name="Spalte7254"/>
    <tableColumn id="7272" xr3:uid="{A8120B16-EC50-494A-9D22-190FF7A82656}" name="Spalte7255"/>
    <tableColumn id="7273" xr3:uid="{8879884F-93DF-4F57-93E8-FF72246C6DB0}" name="Spalte7256"/>
    <tableColumn id="7274" xr3:uid="{CB58CB73-D5B8-4BC4-92A7-AEE2E3191BF4}" name="Spalte7257"/>
    <tableColumn id="7275" xr3:uid="{643D1DA6-6544-4E77-9EA9-160ED4273F7A}" name="Spalte7258"/>
    <tableColumn id="7276" xr3:uid="{F8612F54-9226-4610-A08F-413B4E64D440}" name="Spalte7259"/>
    <tableColumn id="7277" xr3:uid="{6BCD6702-AE25-48FF-95AF-69B07485AA64}" name="Spalte7260"/>
    <tableColumn id="7278" xr3:uid="{474A6951-3299-4F9C-A9AE-30897FE3634A}" name="Spalte7261"/>
    <tableColumn id="7279" xr3:uid="{252FD00E-3178-48DE-B281-28A830A8A278}" name="Spalte7262"/>
    <tableColumn id="7280" xr3:uid="{CB36BC78-EC4A-41DE-B29F-32EBB01BE02F}" name="Spalte7263"/>
    <tableColumn id="7281" xr3:uid="{44244C44-CDE1-4B21-A7FB-107A47396853}" name="Spalte7264"/>
    <tableColumn id="7282" xr3:uid="{E8F292CD-5FB5-4DD1-9A74-72383C3D69D0}" name="Spalte7265"/>
    <tableColumn id="7283" xr3:uid="{18F6B68D-1B00-444B-929D-249E31C8D3EA}" name="Spalte7266"/>
    <tableColumn id="7284" xr3:uid="{2D42E9B6-BFEE-47CA-A695-F6FF6B33EF07}" name="Spalte7267"/>
    <tableColumn id="7285" xr3:uid="{88AFC9D4-FE58-44C5-91C8-E5A0F8774C50}" name="Spalte7268"/>
    <tableColumn id="7286" xr3:uid="{86F93580-C581-4815-AAC9-3A95C8EED155}" name="Spalte7269"/>
    <tableColumn id="7287" xr3:uid="{6ED44A54-CC24-45F7-9A0B-BAE5CCF7D2EB}" name="Spalte7270"/>
    <tableColumn id="7288" xr3:uid="{4A3D2883-0BCE-45E2-BFF8-16E747BEE4AB}" name="Spalte7271"/>
    <tableColumn id="7289" xr3:uid="{F66D91BD-DBED-439B-8C63-EBECDE3C6E22}" name="Spalte7272"/>
    <tableColumn id="7290" xr3:uid="{5428FA75-55EF-4DC9-9A21-5D2C365D5DAD}" name="Spalte7273"/>
    <tableColumn id="7291" xr3:uid="{F34D08C6-F4C3-4E8B-9E14-7F3AFC240579}" name="Spalte7274"/>
    <tableColumn id="7292" xr3:uid="{A229B245-9824-4D46-9635-905DD257A11F}" name="Spalte7275"/>
    <tableColumn id="7293" xr3:uid="{94641F60-E2D5-4EA4-938D-E36843145B99}" name="Spalte7276"/>
    <tableColumn id="7294" xr3:uid="{D58692BC-2F1A-4382-89A4-94CF69533CF8}" name="Spalte7277"/>
    <tableColumn id="7295" xr3:uid="{7EF5F03A-2BB2-495B-8C4F-5FD7832684CE}" name="Spalte7278"/>
    <tableColumn id="7296" xr3:uid="{0C246629-205E-4AFA-B4F8-C67D3796F83B}" name="Spalte7279"/>
    <tableColumn id="7297" xr3:uid="{C5B40B1B-9FB8-4605-8507-BD1FE9E29BA6}" name="Spalte7280"/>
    <tableColumn id="7298" xr3:uid="{B458319A-7725-4546-A842-08E768285DAE}" name="Spalte7281"/>
    <tableColumn id="7299" xr3:uid="{A143A44A-C058-4671-A701-F6E767FE79F3}" name="Spalte7282"/>
    <tableColumn id="7300" xr3:uid="{7374D920-5074-4117-A33A-53D4426C4D05}" name="Spalte7283"/>
    <tableColumn id="7301" xr3:uid="{BC5DABE3-CFDD-4627-94B6-707CFD65D49C}" name="Spalte7284"/>
    <tableColumn id="7302" xr3:uid="{FCF5EA20-38B1-47C4-8A8B-06FABDB7CFFC}" name="Spalte7285"/>
    <tableColumn id="7303" xr3:uid="{E533BFE5-968D-4CAD-BDD8-6D530D411A96}" name="Spalte7286"/>
    <tableColumn id="7304" xr3:uid="{7ED9C926-386B-4D06-9968-C502207E4FB6}" name="Spalte7287"/>
    <tableColumn id="7305" xr3:uid="{9AAAC946-B4AE-457B-8A3F-B9F32399CCAF}" name="Spalte7288"/>
    <tableColumn id="7306" xr3:uid="{B1D219C2-F854-46D8-BBD4-E3D57E82B936}" name="Spalte7289"/>
    <tableColumn id="7307" xr3:uid="{6A034A01-E7B2-4C35-B79D-CFFEB776E813}" name="Spalte7290"/>
    <tableColumn id="7308" xr3:uid="{443021F8-DC94-4D9E-88ED-CE1F916F9F0E}" name="Spalte7291"/>
    <tableColumn id="7309" xr3:uid="{41A3B3DA-6A87-4737-9E93-948248F9CBDF}" name="Spalte7292"/>
    <tableColumn id="7310" xr3:uid="{9F5ECDBA-0B98-41F4-8E48-9A3B7119A637}" name="Spalte7293"/>
    <tableColumn id="7311" xr3:uid="{B83E8ED1-510B-4DE7-83BC-53F939B5B71A}" name="Spalte7294"/>
    <tableColumn id="7312" xr3:uid="{A6D10B10-1506-4D68-B05B-52FE3568CC58}" name="Spalte7295"/>
    <tableColumn id="7313" xr3:uid="{E0CDFED4-008B-4523-A54F-9F7E0CBA3A3B}" name="Spalte7296"/>
    <tableColumn id="7314" xr3:uid="{2014EC7C-2714-47B1-A531-8FA9F085E61E}" name="Spalte7297"/>
    <tableColumn id="7315" xr3:uid="{34EAEF1E-DB31-4F86-B8FE-502F78825DA0}" name="Spalte7298"/>
    <tableColumn id="7316" xr3:uid="{833FBDF0-C8AF-4AF6-B31E-528C1A028144}" name="Spalte7299"/>
    <tableColumn id="7317" xr3:uid="{ED859CA6-9954-4BFD-A331-E34384C5E6A6}" name="Spalte7300"/>
    <tableColumn id="7318" xr3:uid="{6BED45EA-C270-49E9-A353-A3BD3D84B16F}" name="Spalte7301"/>
    <tableColumn id="7319" xr3:uid="{2FFEBC27-F4A6-489C-A53C-018D7F750CCC}" name="Spalte7302"/>
    <tableColumn id="7320" xr3:uid="{5EB6C01B-BD33-4240-898B-0020014652F4}" name="Spalte7303"/>
    <tableColumn id="7321" xr3:uid="{26A4F4D9-6F18-4B61-8E1A-488FC06DAC50}" name="Spalte7304"/>
    <tableColumn id="7322" xr3:uid="{36A9CBAE-AED5-44F5-A115-4DD5088DE400}" name="Spalte7305"/>
    <tableColumn id="7323" xr3:uid="{4EBA196C-1294-4372-BC6D-3105BE1FAE16}" name="Spalte7306"/>
    <tableColumn id="7324" xr3:uid="{EB825BFD-2B7B-41D3-821D-92B7C9C73853}" name="Spalte7307"/>
    <tableColumn id="7325" xr3:uid="{A1425DA2-A426-4808-972F-375C24279675}" name="Spalte7308"/>
    <tableColumn id="7326" xr3:uid="{00AD6AD0-5F3A-4975-8625-740B7AC534BA}" name="Spalte7309"/>
    <tableColumn id="7327" xr3:uid="{8116F4E0-801B-4FEA-945A-775C306E55DE}" name="Spalte7310"/>
    <tableColumn id="7328" xr3:uid="{12532B5D-AE84-44F1-BED2-B6E8D86B8342}" name="Spalte7311"/>
    <tableColumn id="7329" xr3:uid="{282EB9E1-B731-4344-BC5B-89F68ABD5667}" name="Spalte7312"/>
    <tableColumn id="7330" xr3:uid="{EE8DDB5B-7803-45AA-A9CB-2802F1FC7D6E}" name="Spalte7313"/>
    <tableColumn id="7331" xr3:uid="{C7D2CFBF-3A72-4CA2-9E01-2CE1916D5A05}" name="Spalte7314"/>
    <tableColumn id="7332" xr3:uid="{F35594B9-0A6E-437E-A059-934CACAFBD18}" name="Spalte7315"/>
    <tableColumn id="7333" xr3:uid="{6B2DFC1F-B281-4B81-B02E-116CDA32FFC5}" name="Spalte7316"/>
    <tableColumn id="7334" xr3:uid="{BC449478-999F-41FD-8574-D9C228750863}" name="Spalte7317"/>
    <tableColumn id="7335" xr3:uid="{D444E6CD-AE48-4AD6-A8DB-1A42DE515382}" name="Spalte7318"/>
    <tableColumn id="7336" xr3:uid="{67482D29-F34D-41FE-86FB-5E9D48531246}" name="Spalte7319"/>
    <tableColumn id="7337" xr3:uid="{0C228601-0CAA-45DA-AEB5-6450A7BEB65A}" name="Spalte7320"/>
    <tableColumn id="7338" xr3:uid="{832DBFEF-B5B8-4C2B-A071-929F900F3DC2}" name="Spalte7321"/>
    <tableColumn id="7339" xr3:uid="{4672CF80-E6C2-4869-8968-A51DE9D8F90A}" name="Spalte7322"/>
    <tableColumn id="7340" xr3:uid="{A4CD1072-EF97-46FB-A89C-D527C1109B0F}" name="Spalte7323"/>
    <tableColumn id="7341" xr3:uid="{F5059D22-DF4E-439D-A2F4-F34787094618}" name="Spalte7324"/>
    <tableColumn id="7342" xr3:uid="{292BE141-5059-4820-BE95-F5D13F8BBA51}" name="Spalte7325"/>
    <tableColumn id="7343" xr3:uid="{7AB70796-7430-4A3C-8E8A-3C59515C7AC8}" name="Spalte7326"/>
    <tableColumn id="7344" xr3:uid="{97DC5B3D-0388-4616-8842-A9AB6E838E3A}" name="Spalte7327"/>
    <tableColumn id="7345" xr3:uid="{AD11DADA-EF56-462B-A89A-19148DE069D6}" name="Spalte7328"/>
    <tableColumn id="7346" xr3:uid="{DF6F608C-DA74-4FF3-9729-C581D1665E51}" name="Spalte7329"/>
    <tableColumn id="7347" xr3:uid="{155A292E-826B-43AD-9420-55376360108E}" name="Spalte7330"/>
    <tableColumn id="7348" xr3:uid="{3E98B98F-D6B5-4165-B544-1A078AC376EB}" name="Spalte7331"/>
    <tableColumn id="7349" xr3:uid="{8C238E23-8634-497C-8D8C-2051683D7794}" name="Spalte7332"/>
    <tableColumn id="7350" xr3:uid="{F63725AA-81F4-4C7E-90C3-02C0D85CCC71}" name="Spalte7333"/>
    <tableColumn id="7351" xr3:uid="{33E7F804-2159-45F9-AEFC-192D316B20A8}" name="Spalte7334"/>
    <tableColumn id="7352" xr3:uid="{5A7FD8B1-C29A-4EBB-B049-8455D3B784A0}" name="Spalte7335"/>
    <tableColumn id="7353" xr3:uid="{630C8E03-F276-4D1E-91FE-8B5D0F0FDC19}" name="Spalte7336"/>
    <tableColumn id="7354" xr3:uid="{FA7AFA97-73EA-404F-B114-64B46BC5ACDA}" name="Spalte7337"/>
    <tableColumn id="7355" xr3:uid="{E52F6F5C-7EDC-4552-8475-73D505B19704}" name="Spalte7338"/>
    <tableColumn id="7356" xr3:uid="{C5F09912-F360-4CA5-A657-9EEA6B56BDB9}" name="Spalte7339"/>
    <tableColumn id="7357" xr3:uid="{893DFF2B-3281-4E1A-8794-A93C33FADFDB}" name="Spalte7340"/>
    <tableColumn id="7358" xr3:uid="{63629CE0-23B7-4868-9610-8381EA1E8FCD}" name="Spalte7341"/>
    <tableColumn id="7359" xr3:uid="{5AB413F5-CA99-4D79-BEBE-D946B2A8A1D4}" name="Spalte7342"/>
    <tableColumn id="7360" xr3:uid="{539C609F-1FBC-4188-BCAD-0FAFF594430F}" name="Spalte7343"/>
    <tableColumn id="7361" xr3:uid="{8EACB477-0FC3-4D15-854B-DCB16F4FA7A2}" name="Spalte7344"/>
    <tableColumn id="7362" xr3:uid="{3FB260DA-02FA-447F-8A28-8810406EF21C}" name="Spalte7345"/>
    <tableColumn id="7363" xr3:uid="{923C5147-433A-439A-87C3-3E099BBAAD26}" name="Spalte7346"/>
    <tableColumn id="7364" xr3:uid="{927E3DD3-07FE-4119-B102-177E266AA810}" name="Spalte7347"/>
    <tableColumn id="7365" xr3:uid="{92A2898F-930B-4C8B-9A50-E5ED5D3F628E}" name="Spalte7348"/>
    <tableColumn id="7366" xr3:uid="{41273DF4-A977-4240-904C-EA0EA0F176A8}" name="Spalte7349"/>
    <tableColumn id="7367" xr3:uid="{C3CF5EDD-333B-4228-B470-6243191CCB6B}" name="Spalte7350"/>
    <tableColumn id="7368" xr3:uid="{5FE98FAC-CCD2-4FEB-B09A-8B734D8AE694}" name="Spalte7351"/>
    <tableColumn id="7369" xr3:uid="{3EC287AB-D43F-4CE2-93A2-8DC1CE4FE8DA}" name="Spalte7352"/>
    <tableColumn id="7370" xr3:uid="{5596B06A-4ACF-4327-958C-7318B07F428C}" name="Spalte7353"/>
    <tableColumn id="7371" xr3:uid="{7341EEA0-A239-45A0-B802-915F9CEACDF3}" name="Spalte7354"/>
    <tableColumn id="7372" xr3:uid="{A5F263F9-391F-4471-9EE5-D708D3AF4F27}" name="Spalte7355"/>
    <tableColumn id="7373" xr3:uid="{CB2EEE2C-5203-4B44-9595-A25803D56E88}" name="Spalte7356"/>
    <tableColumn id="7374" xr3:uid="{FD13D4EF-F1F0-4276-A3FC-7935F8A2A3EF}" name="Spalte7357"/>
    <tableColumn id="7375" xr3:uid="{F9F922E5-0AE2-4523-879B-2CEB95BCFA1C}" name="Spalte7358"/>
    <tableColumn id="7376" xr3:uid="{64DFDE69-7026-4502-9EF3-EAE2C4744A4C}" name="Spalte7359"/>
    <tableColumn id="7377" xr3:uid="{9488DF33-1DE3-4FDE-A7EB-43AE791F9A0A}" name="Spalte7360"/>
    <tableColumn id="7378" xr3:uid="{22A29AFD-096D-412F-92D3-1F23483A695B}" name="Spalte7361"/>
    <tableColumn id="7379" xr3:uid="{B728BB42-97E2-4A4E-94E0-4A2A1C3CB80B}" name="Spalte7362"/>
    <tableColumn id="7380" xr3:uid="{E85AA92F-B95B-44F7-9120-B5026FB488B3}" name="Spalte7363"/>
    <tableColumn id="7381" xr3:uid="{E015150E-20A6-443A-A432-507D8191E331}" name="Spalte7364"/>
    <tableColumn id="7382" xr3:uid="{4A2ED514-FA9C-4D3C-A1DA-4B1400A5FF22}" name="Spalte7365"/>
    <tableColumn id="7383" xr3:uid="{E471EB56-5FB8-496B-9A38-1E2E350A8666}" name="Spalte7366"/>
    <tableColumn id="7384" xr3:uid="{E36785A6-2182-4185-BA4B-F23F6A6CD3A8}" name="Spalte7367"/>
    <tableColumn id="7385" xr3:uid="{648D721C-8C7F-4B6D-809F-16D2F2E8C949}" name="Spalte7368"/>
    <tableColumn id="7386" xr3:uid="{DEB3DFF3-7ED8-463C-9057-82637BA4EF83}" name="Spalte7369"/>
    <tableColumn id="7387" xr3:uid="{2209A832-8E37-467A-8F37-C1D90DC93FA8}" name="Spalte7370"/>
    <tableColumn id="7388" xr3:uid="{DEC258D8-2A98-45A6-8F25-23E38492EB2B}" name="Spalte7371"/>
    <tableColumn id="7389" xr3:uid="{268BAA1C-F748-48CE-A4D7-F42397E784DE}" name="Spalte7372"/>
    <tableColumn id="7390" xr3:uid="{A90BA561-2734-4BF7-85A0-BF64A89DFF76}" name="Spalte7373"/>
    <tableColumn id="7391" xr3:uid="{D0711643-5B34-48A5-9CC5-8E9933245162}" name="Spalte7374"/>
    <tableColumn id="7392" xr3:uid="{1F7590D2-D149-4C17-A123-6908D654176C}" name="Spalte7375"/>
    <tableColumn id="7393" xr3:uid="{4671547A-3392-43EB-9D6C-7BC4A4F4E916}" name="Spalte7376"/>
    <tableColumn id="7394" xr3:uid="{EA792829-2CC4-48EA-9A9C-FF6415767D7A}" name="Spalte7377"/>
    <tableColumn id="7395" xr3:uid="{E89B4E53-2DE7-4958-BC58-CF455356814A}" name="Spalte7378"/>
    <tableColumn id="7396" xr3:uid="{4E3377D8-35F6-4AD6-9163-C0EB500CEC20}" name="Spalte7379"/>
    <tableColumn id="7397" xr3:uid="{6696762F-CB0D-43E4-86B2-46E84D0D654C}" name="Spalte7380"/>
    <tableColumn id="7398" xr3:uid="{71D72119-3FE9-41EB-A86A-4A26F5B6D996}" name="Spalte7381"/>
    <tableColumn id="7399" xr3:uid="{F3ED359A-9DC5-49B1-B4C4-F631BA55FD57}" name="Spalte7382"/>
    <tableColumn id="7400" xr3:uid="{8B76FF66-B1E3-480C-BA71-FA50F5A45B77}" name="Spalte7383"/>
    <tableColumn id="7401" xr3:uid="{6B95A6D9-28F6-44F8-B23A-17108F4843F7}" name="Spalte7384"/>
    <tableColumn id="7402" xr3:uid="{79AE95D9-79F1-41F1-9565-48286E4808C1}" name="Spalte7385"/>
    <tableColumn id="7403" xr3:uid="{22A2D04C-7406-42D4-8057-6B45B282E687}" name="Spalte7386"/>
    <tableColumn id="7404" xr3:uid="{D633E745-DBE8-43F6-B991-A0D0053A3573}" name="Spalte7387"/>
    <tableColumn id="7405" xr3:uid="{976959EA-9918-44EE-8DA5-398AAF951303}" name="Spalte7388"/>
    <tableColumn id="7406" xr3:uid="{10152B30-5082-4291-A06A-BD61F0B114CA}" name="Spalte7389"/>
    <tableColumn id="7407" xr3:uid="{7CEE2B00-AE0F-4224-A9C0-3FA3CDBC71AF}" name="Spalte7390"/>
    <tableColumn id="7408" xr3:uid="{58BA5B74-F673-4B6D-AC78-902B8F0AB4D6}" name="Spalte7391"/>
    <tableColumn id="7409" xr3:uid="{C70A5824-FBD5-4B25-8EEB-76D14545A157}" name="Spalte7392"/>
    <tableColumn id="7410" xr3:uid="{725E7CCA-607C-427B-89CF-F69710C421D6}" name="Spalte7393"/>
    <tableColumn id="7411" xr3:uid="{FF66C3E6-419A-462E-87F7-E0BCCD36ABEC}" name="Spalte7394"/>
    <tableColumn id="7412" xr3:uid="{36BF2439-AA65-457C-B67A-D7238E85AAD1}" name="Spalte7395"/>
    <tableColumn id="7413" xr3:uid="{C6909E08-FD41-4574-A3F1-1CC96E681F8D}" name="Spalte7396"/>
    <tableColumn id="7414" xr3:uid="{4FA788BE-5F99-42DF-BA4B-7D66CFDC61E6}" name="Spalte7397"/>
    <tableColumn id="7415" xr3:uid="{C6EB4DE6-471C-406D-9FF4-A91EFA902108}" name="Spalte7398"/>
    <tableColumn id="7416" xr3:uid="{C119C0E6-ABE4-43D4-AC38-C1176B051355}" name="Spalte7399"/>
    <tableColumn id="7417" xr3:uid="{BB5AD31C-F118-4995-8782-9AB75C5E5EC9}" name="Spalte7400"/>
    <tableColumn id="7418" xr3:uid="{9B25FA41-6B77-4278-86A9-03E1A3480123}" name="Spalte7401"/>
    <tableColumn id="7419" xr3:uid="{C9F752C0-FF9B-4137-A539-2C4D17520BF0}" name="Spalte7402"/>
    <tableColumn id="7420" xr3:uid="{8703B8EE-9A1A-4852-9044-1C9B96A0A417}" name="Spalte7403"/>
    <tableColumn id="7421" xr3:uid="{392B9AC5-3D90-463A-AAD2-A5707E3D5945}" name="Spalte7404"/>
    <tableColumn id="7422" xr3:uid="{DD1BC050-789B-4609-9822-52C15B8E3C7C}" name="Spalte7405"/>
    <tableColumn id="7423" xr3:uid="{35B1E235-D237-4EFB-8CF2-5B0472F6D98A}" name="Spalte7406"/>
    <tableColumn id="7424" xr3:uid="{8ED14ED5-B314-4284-8448-72C1D41AA78E}" name="Spalte7407"/>
    <tableColumn id="7425" xr3:uid="{AAB30DF7-93CF-48D5-A1FD-07D744E2F360}" name="Spalte7408"/>
    <tableColumn id="7426" xr3:uid="{32842F4C-1306-4DB1-B3DC-1D0C84B59AFC}" name="Spalte7409"/>
    <tableColumn id="7427" xr3:uid="{513735A3-F2F9-4A07-AE1C-FFB875BCAE12}" name="Spalte7410"/>
    <tableColumn id="7428" xr3:uid="{D18BE604-49CC-48A0-BA94-9E0E4B76F5A1}" name="Spalte7411"/>
    <tableColumn id="7429" xr3:uid="{5172C862-FAA9-4CE8-BE19-FCFA19A34DCB}" name="Spalte7412"/>
    <tableColumn id="7430" xr3:uid="{D30963D9-F95A-4067-B89C-F935FB8B127D}" name="Spalte7413"/>
    <tableColumn id="7431" xr3:uid="{01E3B424-2F96-4BF3-85D3-68C0F7E96837}" name="Spalte7414"/>
    <tableColumn id="7432" xr3:uid="{655265C2-8FCF-4D69-95F2-3B8D406C4A12}" name="Spalte7415"/>
    <tableColumn id="7433" xr3:uid="{B83404F2-88FE-44FD-AD44-09965633572F}" name="Spalte7416"/>
    <tableColumn id="7434" xr3:uid="{B8AC135D-50C0-4EDF-9AB1-99845F7AE3BF}" name="Spalte7417"/>
    <tableColumn id="7435" xr3:uid="{A6BD796E-D869-4694-B8D0-8A4F82A8B00D}" name="Spalte7418"/>
    <tableColumn id="7436" xr3:uid="{7A411C1A-F69D-4CDD-BBCE-A8904A639779}" name="Spalte7419"/>
    <tableColumn id="7437" xr3:uid="{1D1EF204-9475-4BBB-B484-1FDE443C3275}" name="Spalte7420"/>
    <tableColumn id="7438" xr3:uid="{7A3C7DFC-7A5E-416D-9572-76680614510B}" name="Spalte7421"/>
    <tableColumn id="7439" xr3:uid="{6449292D-587B-4A02-B7CA-71718560AC51}" name="Spalte7422"/>
    <tableColumn id="7440" xr3:uid="{15E90B4A-2BED-40B0-9699-5AAAAD1DA525}" name="Spalte7423"/>
    <tableColumn id="7441" xr3:uid="{10369BF9-92AD-43C1-AB15-358B11712FC6}" name="Spalte7424"/>
    <tableColumn id="7442" xr3:uid="{E631EA76-EB79-472A-ABBA-E8F88F134076}" name="Spalte7425"/>
    <tableColumn id="7443" xr3:uid="{863181F6-EEAD-49ED-A0C6-DBDA941688F0}" name="Spalte7426"/>
    <tableColumn id="7444" xr3:uid="{E13FE6EE-B826-4FD2-A245-85A8DD0413C6}" name="Spalte7427"/>
    <tableColumn id="7445" xr3:uid="{B736FD02-F0E9-432F-BD19-74E3AE271005}" name="Spalte7428"/>
    <tableColumn id="7446" xr3:uid="{ED691414-9E99-49F6-A046-4B55FA76933C}" name="Spalte7429"/>
    <tableColumn id="7447" xr3:uid="{907B81CB-4264-4FE1-BB78-169D3772DFBB}" name="Spalte7430"/>
    <tableColumn id="7448" xr3:uid="{6ECA87C8-6D4D-4923-8500-1914D8C0FF6A}" name="Spalte7431"/>
    <tableColumn id="7449" xr3:uid="{F210C5E9-714F-4D0C-BF3E-FB1C277C4988}" name="Spalte7432"/>
    <tableColumn id="7450" xr3:uid="{B294F6A1-71B0-4846-8F45-0241398EA4B5}" name="Spalte7433"/>
    <tableColumn id="7451" xr3:uid="{5168441B-EF05-4867-9B70-588B70D43334}" name="Spalte7434"/>
    <tableColumn id="7452" xr3:uid="{81B9DCD6-450B-4673-9279-87985272C871}" name="Spalte7435"/>
    <tableColumn id="7453" xr3:uid="{DEBE691F-A45F-4F8F-8C28-47B82BCF8C9E}" name="Spalte7436"/>
    <tableColumn id="7454" xr3:uid="{CC5DEBF3-B388-40A4-83EF-ACDCD189487C}" name="Spalte7437"/>
    <tableColumn id="7455" xr3:uid="{1C42164C-778A-4645-AC9C-7EA5F53BB5E1}" name="Spalte7438"/>
    <tableColumn id="7456" xr3:uid="{E1CEB0AF-24A3-476E-B2DE-23E61592325F}" name="Spalte7439"/>
    <tableColumn id="7457" xr3:uid="{A7055D92-64B2-47D1-9B0F-686D69F7D05F}" name="Spalte7440"/>
    <tableColumn id="7458" xr3:uid="{F41B2A48-8E85-4C3D-9318-307176FB0924}" name="Spalte7441"/>
    <tableColumn id="7459" xr3:uid="{111843C9-B461-4458-AA44-3744837FF7A7}" name="Spalte7442"/>
    <tableColumn id="7460" xr3:uid="{B72EEEDE-5569-4C0D-81A5-9FA5A85052EC}" name="Spalte7443"/>
    <tableColumn id="7461" xr3:uid="{A8643754-78A7-4140-A089-DFFC90D1C06E}" name="Spalte7444"/>
    <tableColumn id="7462" xr3:uid="{E9FE0DF9-0C27-4DD4-BA27-26316875EFCF}" name="Spalte7445"/>
    <tableColumn id="7463" xr3:uid="{292B10DF-A79B-4F7A-BC8B-19E05B7CA35A}" name="Spalte7446"/>
    <tableColumn id="7464" xr3:uid="{406B026A-E926-4D2B-87A7-4E2BD22F9D30}" name="Spalte7447"/>
    <tableColumn id="7465" xr3:uid="{08603071-CE44-40BA-B172-578E0D46C012}" name="Spalte7448"/>
    <tableColumn id="7466" xr3:uid="{CD6AE04D-D692-42CE-A3BD-D7F96FA23C47}" name="Spalte7449"/>
    <tableColumn id="7467" xr3:uid="{8E2A10F1-A3EF-465E-A72A-E6532174ED53}" name="Spalte7450"/>
    <tableColumn id="7468" xr3:uid="{8B271C42-FB82-4B73-9A84-9B070195310C}" name="Spalte7451"/>
    <tableColumn id="7469" xr3:uid="{8B64766D-D248-4779-A4A7-6654CE824B61}" name="Spalte7452"/>
    <tableColumn id="7470" xr3:uid="{75096141-A1EA-40FC-9438-A7B6B7024290}" name="Spalte7453"/>
    <tableColumn id="7471" xr3:uid="{683758CF-D3EF-472B-B97C-EDA665ED484F}" name="Spalte7454"/>
    <tableColumn id="7472" xr3:uid="{C5ED4F1F-B416-4965-982F-CE4382308A49}" name="Spalte7455"/>
    <tableColumn id="7473" xr3:uid="{A36A30A3-9EC8-4EA8-9A8F-B8ECDB38306D}" name="Spalte7456"/>
    <tableColumn id="7474" xr3:uid="{C7B23FA0-5641-45E0-B8D8-6B30ECE9224F}" name="Spalte7457"/>
    <tableColumn id="7475" xr3:uid="{D1A5F844-30F5-4E3D-9951-9C3D3DF966B5}" name="Spalte7458"/>
    <tableColumn id="7476" xr3:uid="{C4DCD3CA-8E2D-4E5E-A1AF-0D8EBEE577FF}" name="Spalte7459"/>
    <tableColumn id="7477" xr3:uid="{A604AAAF-9525-4CC8-9553-E9CB88EB1D5D}" name="Spalte7460"/>
    <tableColumn id="7478" xr3:uid="{50430E94-1AD1-4F0D-B44C-D65BCD908B76}" name="Spalte7461"/>
    <tableColumn id="7479" xr3:uid="{8EBD66B5-EBB4-40AF-B0D3-4D3A13A40973}" name="Spalte7462"/>
    <tableColumn id="7480" xr3:uid="{39188D88-C0F7-4DA9-A117-DAAC5D194393}" name="Spalte7463"/>
    <tableColumn id="7481" xr3:uid="{2C6B7C3A-923C-4D83-A7CF-411AF0C753A7}" name="Spalte7464"/>
    <tableColumn id="7482" xr3:uid="{A5ECDA8F-3BD1-4E41-9459-01DD3BDCBD83}" name="Spalte7465"/>
    <tableColumn id="7483" xr3:uid="{802086A5-3FB2-473E-A4C2-F51BB0CE9933}" name="Spalte7466"/>
    <tableColumn id="7484" xr3:uid="{AD2B484E-504C-4DF1-AA28-5397A793B441}" name="Spalte7467"/>
    <tableColumn id="7485" xr3:uid="{2C6BCBD3-626E-447A-BEBB-968F4EB9F419}" name="Spalte7468"/>
    <tableColumn id="7486" xr3:uid="{47A19B94-B5C2-4670-BEEA-658F27D23EB3}" name="Spalte7469"/>
    <tableColumn id="7487" xr3:uid="{193AC078-9CDA-44CD-AC4F-EB468034471C}" name="Spalte7470"/>
    <tableColumn id="7488" xr3:uid="{7EDAF57E-3A2E-4BFA-AD08-DD81C93DCF00}" name="Spalte7471"/>
    <tableColumn id="7489" xr3:uid="{3146E212-3ACF-439E-BFE5-404861C94EA6}" name="Spalte7472"/>
    <tableColumn id="7490" xr3:uid="{D05E36F2-EED9-403C-8322-2731603ECACC}" name="Spalte7473"/>
    <tableColumn id="7491" xr3:uid="{CBD7BC1D-31A4-453B-BB07-BEB4288DD979}" name="Spalte7474"/>
    <tableColumn id="7492" xr3:uid="{A0C0812C-822C-4F1D-B04B-3D812850245F}" name="Spalte7475"/>
    <tableColumn id="7493" xr3:uid="{2959CD0F-917C-46D3-91B5-9FA7E65C5096}" name="Spalte7476"/>
    <tableColumn id="7494" xr3:uid="{5609F525-DBD9-42CE-BF86-B33B6DCC8C38}" name="Spalte7477"/>
    <tableColumn id="7495" xr3:uid="{7B9219B5-29A8-4671-B964-FE451BF43774}" name="Spalte7478"/>
    <tableColumn id="7496" xr3:uid="{280C1535-5009-4975-B5C2-49DA73256558}" name="Spalte7479"/>
    <tableColumn id="7497" xr3:uid="{9528C3FE-8A78-4E01-ADDE-4A391060F16A}" name="Spalte7480"/>
    <tableColumn id="7498" xr3:uid="{CEBA6036-10C1-43B7-94E2-A2650F780318}" name="Spalte7481"/>
    <tableColumn id="7499" xr3:uid="{C90189EA-CF53-4E57-AF06-C0D9B8040F35}" name="Spalte7482"/>
    <tableColumn id="7500" xr3:uid="{90F256CA-A449-4C54-8BB9-CB927C79F396}" name="Spalte7483"/>
    <tableColumn id="7501" xr3:uid="{3DC7C976-C8BC-437E-BB34-97B33BBF178B}" name="Spalte7484"/>
    <tableColumn id="7502" xr3:uid="{C40E2950-B1B9-403C-B8EB-BE5C6012FC70}" name="Spalte7485"/>
    <tableColumn id="7503" xr3:uid="{6396F470-37C9-4FDE-A9F0-CDFDE453CB82}" name="Spalte7486"/>
    <tableColumn id="7504" xr3:uid="{BA61D632-4E6A-4D44-9D54-BB4366C275E6}" name="Spalte7487"/>
    <tableColumn id="7505" xr3:uid="{93C92CBF-CC19-4C5A-89FA-6F6ECF980842}" name="Spalte7488"/>
    <tableColumn id="7506" xr3:uid="{BE19CF64-4912-4CA3-81C2-FDFEE6FE0EB3}" name="Spalte7489"/>
    <tableColumn id="7507" xr3:uid="{93BD26CF-9EA5-4D4E-B558-51CAEFA94B10}" name="Spalte7490"/>
    <tableColumn id="7508" xr3:uid="{42DC5BB3-5774-4D47-A531-E5ED4AF41330}" name="Spalte7491"/>
    <tableColumn id="7509" xr3:uid="{0B3920A2-14B9-49A9-9855-2A0355D4C4B3}" name="Spalte7492"/>
    <tableColumn id="7510" xr3:uid="{8A127DF6-0476-46C5-BBA4-1D994878031F}" name="Spalte7493"/>
    <tableColumn id="7511" xr3:uid="{DDDC5892-91E0-40C9-A92D-DA0EB0F8397D}" name="Spalte7494"/>
    <tableColumn id="7512" xr3:uid="{1CCD467B-C143-4EE9-B8D5-2A6691EFF724}" name="Spalte7495"/>
    <tableColumn id="7513" xr3:uid="{3AA0AE7B-0322-4E4F-9945-96D4DBDC0C23}" name="Spalte7496"/>
    <tableColumn id="7514" xr3:uid="{674E5A91-137B-4706-BB07-C85B120D6D0F}" name="Spalte7497"/>
    <tableColumn id="7515" xr3:uid="{73FC6F62-EF74-4D2B-B520-0E9EB2370623}" name="Spalte7498"/>
    <tableColumn id="7516" xr3:uid="{D79C99E9-B6DC-49A3-95DD-11E1D22D8FBC}" name="Spalte7499"/>
    <tableColumn id="7517" xr3:uid="{A1B5C9A9-14B4-4ABA-A541-A75A56624D10}" name="Spalte7500"/>
    <tableColumn id="7518" xr3:uid="{5D750260-6C81-4B7D-8D7D-A6622D9F0DDB}" name="Spalte7501"/>
    <tableColumn id="7519" xr3:uid="{272EF2C4-D741-432C-8D38-1ECED7D3EFEE}" name="Spalte7502"/>
    <tableColumn id="7520" xr3:uid="{EE02E3F6-331F-4511-906A-3068CCC3BED1}" name="Spalte7503"/>
    <tableColumn id="7521" xr3:uid="{A668FE11-B63B-4CE0-9F3F-316BAAC8F6D9}" name="Spalte7504"/>
    <tableColumn id="7522" xr3:uid="{CBBD4446-8CC8-4A74-B03B-693BA2939EC4}" name="Spalte7505"/>
    <tableColumn id="7523" xr3:uid="{292BBB44-CE52-49EC-BA05-1BA5E0993A86}" name="Spalte7506"/>
    <tableColumn id="7524" xr3:uid="{BFE2F34A-A971-41AB-A02F-739EF324E3BF}" name="Spalte7507"/>
    <tableColumn id="7525" xr3:uid="{81DB2C9F-2E81-4695-84F6-40A269952FF5}" name="Spalte7508"/>
    <tableColumn id="7526" xr3:uid="{BE8C68B4-12D3-43E7-B96E-09953E0ED5FB}" name="Spalte7509"/>
    <tableColumn id="7527" xr3:uid="{67D080E8-18D0-4511-9C46-776A9ADAFA7B}" name="Spalte7510"/>
    <tableColumn id="7528" xr3:uid="{5DDD8857-3106-46F0-9CF0-FC2BF6E09792}" name="Spalte7511"/>
    <tableColumn id="7529" xr3:uid="{68910C9A-772F-4B9C-8CC7-24DCB695A0CD}" name="Spalte7512"/>
    <tableColumn id="7530" xr3:uid="{F9A4A0D1-F925-40CD-B44E-E50D021FF7A7}" name="Spalte7513"/>
    <tableColumn id="7531" xr3:uid="{5B602334-20AB-44A0-BF8C-FCCF01418D37}" name="Spalte7514"/>
    <tableColumn id="7532" xr3:uid="{E0DAC8DC-D6D8-4C49-B300-92706A97F9B7}" name="Spalte7515"/>
    <tableColumn id="7533" xr3:uid="{F82DFB4E-CE58-4B6B-916B-6877F53F419A}" name="Spalte7516"/>
    <tableColumn id="7534" xr3:uid="{394202A5-A712-403D-83F7-883D69029D0E}" name="Spalte7517"/>
    <tableColumn id="7535" xr3:uid="{E04ADFA1-C641-46D4-A070-1DA6E8FA11BC}" name="Spalte7518"/>
    <tableColumn id="7536" xr3:uid="{8027A44B-0532-4202-9228-E1F5EEB33F1D}" name="Spalte7519"/>
    <tableColumn id="7537" xr3:uid="{D9BCDE0F-7E7E-4773-B34F-123160924C81}" name="Spalte7520"/>
    <tableColumn id="7538" xr3:uid="{0FE07179-0D10-47A0-A38D-751671025E5C}" name="Spalte7521"/>
    <tableColumn id="7539" xr3:uid="{8DCE04B3-1E25-4DA2-A80D-ACAFCB07FAE2}" name="Spalte7522"/>
    <tableColumn id="7540" xr3:uid="{2B4BE287-2DBE-466E-8379-1E554CBEDCE7}" name="Spalte7523"/>
    <tableColumn id="7541" xr3:uid="{0634E83D-507C-40E6-A477-8637BC13723F}" name="Spalte7524"/>
    <tableColumn id="7542" xr3:uid="{6657B370-C9E8-4545-8408-F78502AE9040}" name="Spalte7525"/>
    <tableColumn id="7543" xr3:uid="{B53E4480-9568-4647-AE74-E3D8800223C4}" name="Spalte7526"/>
    <tableColumn id="7544" xr3:uid="{02AD0F49-8E5B-41E2-B96F-E9945EE14643}" name="Spalte7527"/>
    <tableColumn id="7545" xr3:uid="{43BBE5E7-C302-48C7-8496-4761082FB36A}" name="Spalte7528"/>
    <tableColumn id="7546" xr3:uid="{10D97864-280F-45D2-AAF9-607AECFE480D}" name="Spalte7529"/>
    <tableColumn id="7547" xr3:uid="{DF140DD8-85CA-4E5D-8D9D-805BBDA8AF22}" name="Spalte7530"/>
    <tableColumn id="7548" xr3:uid="{79B33EC1-E04F-4232-B64C-539272209D51}" name="Spalte7531"/>
    <tableColumn id="7549" xr3:uid="{69416671-C837-4C1F-8A72-9B22A394229D}" name="Spalte7532"/>
    <tableColumn id="7550" xr3:uid="{C791350F-8554-44D5-A12D-9CE3900CF3D2}" name="Spalte7533"/>
    <tableColumn id="7551" xr3:uid="{7F514D30-D6E9-4C5F-83C7-2B212D3CCE39}" name="Spalte7534"/>
    <tableColumn id="7552" xr3:uid="{5327582E-9852-4888-8D38-1110564827D2}" name="Spalte7535"/>
    <tableColumn id="7553" xr3:uid="{1375F825-82BA-4C43-8CF0-40AA37E4E6B1}" name="Spalte7536"/>
    <tableColumn id="7554" xr3:uid="{64A45D30-4EA4-48B9-BE6D-192FE409708D}" name="Spalte7537"/>
    <tableColumn id="7555" xr3:uid="{8374B86B-7EE3-44B4-9384-505D983B40EE}" name="Spalte7538"/>
    <tableColumn id="7556" xr3:uid="{0A2130D0-43C1-4C6A-A86D-DEE5FE325E18}" name="Spalte7539"/>
    <tableColumn id="7557" xr3:uid="{8B6E53CC-9A4E-4044-BCCD-883E33D8C474}" name="Spalte7540"/>
    <tableColumn id="7558" xr3:uid="{75941ADB-83CB-44AF-ACE2-28F840B09001}" name="Spalte7541"/>
    <tableColumn id="7559" xr3:uid="{6E969529-9017-4276-964C-B0A4F852183F}" name="Spalte7542"/>
    <tableColumn id="7560" xr3:uid="{9661E3E6-0CDC-43DC-BD3C-BE39E63424DF}" name="Spalte7543"/>
    <tableColumn id="7561" xr3:uid="{D9B51CA8-2A3C-444F-943C-0B28BF95EFBE}" name="Spalte7544"/>
    <tableColumn id="7562" xr3:uid="{A76ABC57-57E5-4FC0-8B72-F9577A2A552A}" name="Spalte7545"/>
    <tableColumn id="7563" xr3:uid="{88E0C2AD-4B76-436C-972A-2AA6FB8BD869}" name="Spalte7546"/>
    <tableColumn id="7564" xr3:uid="{3501F2F4-591E-4C9C-BDD1-24BA98758C99}" name="Spalte7547"/>
    <tableColumn id="7565" xr3:uid="{82054DD2-5BAD-4757-BB9F-F6372DD5011F}" name="Spalte7548"/>
    <tableColumn id="7566" xr3:uid="{4CFA1D85-0B99-4FAE-96AE-1888ACD4E020}" name="Spalte7549"/>
    <tableColumn id="7567" xr3:uid="{BC88A1D6-0D53-4BDD-857E-F9824311258D}" name="Spalte7550"/>
    <tableColumn id="7568" xr3:uid="{D2AB32AD-2601-4B1D-9D6D-DDCBCC3E986D}" name="Spalte7551"/>
    <tableColumn id="7569" xr3:uid="{77047B01-38F7-4961-B432-87CE1906CFA6}" name="Spalte7552"/>
    <tableColumn id="7570" xr3:uid="{C6D36851-91E4-4488-A113-368FF7429A15}" name="Spalte7553"/>
    <tableColumn id="7571" xr3:uid="{D12E1114-B319-40FA-88BC-B048524175A6}" name="Spalte7554"/>
    <tableColumn id="7572" xr3:uid="{32EB3149-E981-48C7-A7DE-28CDF6431152}" name="Spalte7555"/>
    <tableColumn id="7573" xr3:uid="{77806363-69C8-44A4-8721-C8FA797F672D}" name="Spalte7556"/>
    <tableColumn id="7574" xr3:uid="{CC3BD929-14E4-4CEF-9FE1-E6058B14B57C}" name="Spalte7557"/>
    <tableColumn id="7575" xr3:uid="{80BDC526-BEFB-404B-A498-C94FDA19FD39}" name="Spalte7558"/>
    <tableColumn id="7576" xr3:uid="{C96C4DCE-4A9B-4146-8B61-A00A22CE16F5}" name="Spalte7559"/>
    <tableColumn id="7577" xr3:uid="{CBB93F42-27B0-4E12-BDB7-5FBE0E45B271}" name="Spalte7560"/>
    <tableColumn id="7578" xr3:uid="{2A427862-E106-4EAE-A8F6-593F359B0061}" name="Spalte7561"/>
    <tableColumn id="7579" xr3:uid="{594CC2BE-8C2C-4C16-99BD-2AB2394DC6D2}" name="Spalte7562"/>
    <tableColumn id="7580" xr3:uid="{EBA14318-1685-454F-A48B-4B0418F59565}" name="Spalte7563"/>
    <tableColumn id="7581" xr3:uid="{AF7E3460-7904-4216-B939-EAC2DA37B036}" name="Spalte7564"/>
    <tableColumn id="7582" xr3:uid="{EAA8CA9B-0B93-46D2-87D2-FC877C045AED}" name="Spalte7565"/>
    <tableColumn id="7583" xr3:uid="{D68032F5-17CF-40E6-AD81-363C03CE833C}" name="Spalte7566"/>
    <tableColumn id="7584" xr3:uid="{1BB3C8CC-877C-4BB6-BBD4-65597C56FC04}" name="Spalte7567"/>
    <tableColumn id="7585" xr3:uid="{923BAE3C-94E4-4B5A-82D0-DF73A38DB765}" name="Spalte7568"/>
    <tableColumn id="7586" xr3:uid="{879C904A-50BD-4C5E-AAC7-0B49CE75AC05}" name="Spalte7569"/>
    <tableColumn id="7587" xr3:uid="{749C7093-BFB7-408F-A9B5-902EB9D9962A}" name="Spalte7570"/>
    <tableColumn id="7588" xr3:uid="{09B3B388-C669-414A-8BDF-A841B0911697}" name="Spalte7571"/>
    <tableColumn id="7589" xr3:uid="{0A9C85CB-B206-4FA2-94E0-B8CFB9E175BC}" name="Spalte7572"/>
    <tableColumn id="7590" xr3:uid="{22E11229-B754-4AEA-A4CE-2D688CA91086}" name="Spalte7573"/>
    <tableColumn id="7591" xr3:uid="{CA26C54F-E133-4256-B047-E8C7B63B45B3}" name="Spalte7574"/>
    <tableColumn id="7592" xr3:uid="{5A3440F5-E59C-432D-806E-14B94DAB1C2B}" name="Spalte7575"/>
    <tableColumn id="7593" xr3:uid="{E7DCEDE8-FFAA-4F89-BF4F-8D835A8BB9E9}" name="Spalte7576"/>
    <tableColumn id="7594" xr3:uid="{802416AC-32CD-4C96-8388-FB54B008BE22}" name="Spalte7577"/>
    <tableColumn id="7595" xr3:uid="{3879746B-4645-4B80-BD06-56162562CC3F}" name="Spalte7578"/>
    <tableColumn id="7596" xr3:uid="{E8455FE7-7A49-45A9-BEAB-E0F064210658}" name="Spalte7579"/>
    <tableColumn id="7597" xr3:uid="{D7F2EA30-83E7-433D-BB40-FC8425F25427}" name="Spalte7580"/>
    <tableColumn id="7598" xr3:uid="{0E756D1B-79D3-44D3-8DB5-78C4ECE7A73E}" name="Spalte7581"/>
    <tableColumn id="7599" xr3:uid="{41946C1D-2C2C-4FDA-8C60-C99B9C58769F}" name="Spalte7582"/>
    <tableColumn id="7600" xr3:uid="{DA9A4D6A-F6F4-4772-9855-AA3E4D2C027E}" name="Spalte7583"/>
    <tableColumn id="7601" xr3:uid="{FA20B504-9DC5-44C3-AE5C-2690AFAF634B}" name="Spalte7584"/>
    <tableColumn id="7602" xr3:uid="{E41F3703-457E-45A2-8FBB-3F025F8D7018}" name="Spalte7585"/>
    <tableColumn id="7603" xr3:uid="{7A73502D-FFAB-40AD-BF65-0500D89E1D6F}" name="Spalte7586"/>
    <tableColumn id="7604" xr3:uid="{4F2EF23C-D66F-433E-8AD7-96E58163864C}" name="Spalte7587"/>
    <tableColumn id="7605" xr3:uid="{3C819D04-B0A9-4949-9328-95A800E55D71}" name="Spalte7588"/>
    <tableColumn id="7606" xr3:uid="{B079BE0F-84BE-4843-BB71-BBA26BB48090}" name="Spalte7589"/>
    <tableColumn id="7607" xr3:uid="{930E38F3-8B30-4FFF-B700-97848BA8D3EF}" name="Spalte7590"/>
    <tableColumn id="7608" xr3:uid="{1EE57A3D-F090-4AEA-B697-740769138BBA}" name="Spalte7591"/>
    <tableColumn id="7609" xr3:uid="{2485093E-B9A4-4A47-9A74-C8CAD3C4F1FB}" name="Spalte7592"/>
    <tableColumn id="7610" xr3:uid="{AA506E33-5F8B-4061-8865-A4EE3E124B1A}" name="Spalte7593"/>
    <tableColumn id="7611" xr3:uid="{2CFE632C-E7CF-416D-BAA8-7E56CB7E4BEA}" name="Spalte7594"/>
    <tableColumn id="7612" xr3:uid="{D64A692E-0AFE-4709-9001-373EEC255127}" name="Spalte7595"/>
    <tableColumn id="7613" xr3:uid="{D9952490-91DF-4174-BD1B-042F7CAE8F27}" name="Spalte7596"/>
    <tableColumn id="7614" xr3:uid="{68848120-5995-4C4C-9069-71CECD5A74FF}" name="Spalte7597"/>
    <tableColumn id="7615" xr3:uid="{AEF8E05D-05C2-4E82-9251-210C9A8E9642}" name="Spalte7598"/>
    <tableColumn id="7616" xr3:uid="{F6C8115D-CF5E-4B0A-A676-7D1C914F1340}" name="Spalte7599"/>
    <tableColumn id="7617" xr3:uid="{2D070044-D3D2-4A86-B27D-9CB017ACFF47}" name="Spalte7600"/>
    <tableColumn id="7618" xr3:uid="{EF553167-B3CA-40AF-94F6-3F05C3E0186D}" name="Spalte7601"/>
    <tableColumn id="7619" xr3:uid="{17E6D947-D539-483E-A67A-270F49DEB961}" name="Spalte7602"/>
    <tableColumn id="7620" xr3:uid="{1AFDCF36-EEF0-4FBE-B740-63D9020E1F99}" name="Spalte7603"/>
    <tableColumn id="7621" xr3:uid="{8657895B-60E3-4F86-8C86-CE105B8CD108}" name="Spalte7604"/>
    <tableColumn id="7622" xr3:uid="{9C99963C-4DFB-4D93-8486-5A5EBFB3B21E}" name="Spalte7605"/>
    <tableColumn id="7623" xr3:uid="{26C5A38D-BBE3-4BBB-AA35-32980D1A896E}" name="Spalte7606"/>
    <tableColumn id="7624" xr3:uid="{038FC646-1A01-40C7-AD4B-DEEA18A7D9B6}" name="Spalte7607"/>
    <tableColumn id="7625" xr3:uid="{8EB49593-1957-417A-8EA1-5579AE6F1A3E}" name="Spalte7608"/>
    <tableColumn id="7626" xr3:uid="{A918F56F-CF92-4188-A4A5-0FBBB4721836}" name="Spalte7609"/>
    <tableColumn id="7627" xr3:uid="{E44ED5B1-7D88-4F1D-B040-6F60E9786B46}" name="Spalte7610"/>
    <tableColumn id="7628" xr3:uid="{7A69E3E6-8D02-4210-BE70-ED19A916B6CE}" name="Spalte7611"/>
    <tableColumn id="7629" xr3:uid="{26302775-591E-4D7A-9C95-4D2105806D24}" name="Spalte7612"/>
    <tableColumn id="7630" xr3:uid="{2A61698C-AE60-4B83-811C-0CEA3E0AE8BB}" name="Spalte7613"/>
    <tableColumn id="7631" xr3:uid="{F9612E4B-7A80-4598-9880-FF60401C66DD}" name="Spalte7614"/>
    <tableColumn id="7632" xr3:uid="{99E5784B-B960-4A02-8289-1F64F8B1F3CB}" name="Spalte7615"/>
    <tableColumn id="7633" xr3:uid="{7E817253-E445-4D9E-9C70-695FF1D46464}" name="Spalte7616"/>
    <tableColumn id="7634" xr3:uid="{C0CAD644-BE02-402E-9929-3E2C795EA260}" name="Spalte7617"/>
    <tableColumn id="7635" xr3:uid="{BF9030F2-630B-43B6-BCE1-214DCA9E79EE}" name="Spalte7618"/>
    <tableColumn id="7636" xr3:uid="{8D3D184D-51D3-44C8-A5C4-0873E1CC722F}" name="Spalte7619"/>
    <tableColumn id="7637" xr3:uid="{46FE9218-AA58-41CA-AF2D-B7195AB72B5D}" name="Spalte7620"/>
    <tableColumn id="7638" xr3:uid="{663800AF-BACD-4B7A-B3AF-41CB9E79662D}" name="Spalte7621"/>
    <tableColumn id="7639" xr3:uid="{0B6173E9-551D-4F9B-BD91-E2BB2753FF0F}" name="Spalte7622"/>
    <tableColumn id="7640" xr3:uid="{0EE899BE-1ADB-40CE-A0B0-96DEE3356990}" name="Spalte7623"/>
    <tableColumn id="7641" xr3:uid="{15CDDED7-F848-4B68-88E0-4990D304D9F6}" name="Spalte7624"/>
    <tableColumn id="7642" xr3:uid="{3CE19968-256C-4CF4-B37C-F29307C5D78F}" name="Spalte7625"/>
    <tableColumn id="7643" xr3:uid="{72855C2F-F95A-43D2-8B0B-98747D6B70F1}" name="Spalte7626"/>
    <tableColumn id="7644" xr3:uid="{B8E310C5-D05A-4E17-8A22-487C0596CBFB}" name="Spalte7627"/>
    <tableColumn id="7645" xr3:uid="{E3F02964-88D9-4F0D-B9E7-C33003C1E204}" name="Spalte7628"/>
    <tableColumn id="7646" xr3:uid="{0562EBA0-7CD9-4C84-98AE-002156FB574C}" name="Spalte7629"/>
    <tableColumn id="7647" xr3:uid="{80AB4095-F194-4D6D-AF74-0460A1BED7DD}" name="Spalte7630"/>
    <tableColumn id="7648" xr3:uid="{9053E079-0047-49BD-BDC0-C43727BCD391}" name="Spalte7631"/>
    <tableColumn id="7649" xr3:uid="{B8A4DDED-B03B-4538-AD4D-7D5D98B6239F}" name="Spalte7632"/>
    <tableColumn id="7650" xr3:uid="{406056F7-1BE1-4692-AB1C-77F20BDB39C0}" name="Spalte7633"/>
    <tableColumn id="7651" xr3:uid="{EE4FC446-360D-4F7C-9CCB-9D0A8CAC99B6}" name="Spalte7634"/>
    <tableColumn id="7652" xr3:uid="{61D1AA5E-69E0-458B-ACD5-48856C3755B8}" name="Spalte7635"/>
    <tableColumn id="7653" xr3:uid="{D8D4BBB7-131A-47E8-8BEA-F6B342186D46}" name="Spalte7636"/>
    <tableColumn id="7654" xr3:uid="{A0DB2665-FABB-4A45-9FD2-DC5DEEC935BC}" name="Spalte7637"/>
    <tableColumn id="7655" xr3:uid="{08B3462B-4175-493E-9A7D-9A2B1AD77920}" name="Spalte7638"/>
    <tableColumn id="7656" xr3:uid="{55177A7B-5C04-49C1-B1CB-242B1E05BF77}" name="Spalte7639"/>
    <tableColumn id="7657" xr3:uid="{29FCCE61-5432-4348-87B6-48AE9371C15C}" name="Spalte7640"/>
    <tableColumn id="7658" xr3:uid="{3B9FA654-A884-4C03-9273-03DABBC1DD64}" name="Spalte7641"/>
    <tableColumn id="7659" xr3:uid="{D721D43A-9EE6-4655-804D-9BC44F15C4BB}" name="Spalte7642"/>
    <tableColumn id="7660" xr3:uid="{38C5B381-EEB2-47C3-9747-ED10F734C075}" name="Spalte7643"/>
    <tableColumn id="7661" xr3:uid="{7E411097-3E42-4DBA-9488-A82F8289C3A3}" name="Spalte7644"/>
    <tableColumn id="7662" xr3:uid="{65957CCB-F233-415D-8643-EC6C54015020}" name="Spalte7645"/>
    <tableColumn id="7663" xr3:uid="{54BA4740-1B67-4BE4-821D-42B51E5963B8}" name="Spalte7646"/>
    <tableColumn id="7664" xr3:uid="{CC64CFCB-56B4-4798-AC51-63B74F5D1114}" name="Spalte7647"/>
    <tableColumn id="7665" xr3:uid="{F9C518E2-5930-4DC2-910C-15EBBF3E495C}" name="Spalte7648"/>
    <tableColumn id="7666" xr3:uid="{8C9870BB-3D93-44C6-AE9D-3D0598DFD978}" name="Spalte7649"/>
    <tableColumn id="7667" xr3:uid="{E24D8B33-9115-4AF4-A380-F786B8A37C93}" name="Spalte7650"/>
    <tableColumn id="7668" xr3:uid="{8E8A2CBC-F1B6-4F39-A469-F09390864B9D}" name="Spalte7651"/>
    <tableColumn id="7669" xr3:uid="{B79DB288-E4E7-42B9-8F1E-132D913C17B8}" name="Spalte7652"/>
    <tableColumn id="7670" xr3:uid="{54F988D4-451F-4D52-9CE1-3695A659755E}" name="Spalte7653"/>
    <tableColumn id="7671" xr3:uid="{D35D2611-EADC-47DA-B575-A0AC575B863E}" name="Spalte7654"/>
    <tableColumn id="7672" xr3:uid="{7590E13A-156F-4291-84DE-92E07B204987}" name="Spalte7655"/>
    <tableColumn id="7673" xr3:uid="{8B6F8C19-3A83-45E7-BD87-D745E466B361}" name="Spalte7656"/>
    <tableColumn id="7674" xr3:uid="{B9E9C65B-CCFD-4332-B64F-D7646BD74CA8}" name="Spalte7657"/>
    <tableColumn id="7675" xr3:uid="{BD316300-BABA-4075-A911-9BF3330C66C0}" name="Spalte7658"/>
    <tableColumn id="7676" xr3:uid="{A7E8F832-30C3-4822-8916-AC00D3F158FF}" name="Spalte7659"/>
    <tableColumn id="7677" xr3:uid="{9BAA820C-2CCE-4955-8591-122652628E6C}" name="Spalte7660"/>
    <tableColumn id="7678" xr3:uid="{C508921A-4D5D-4D46-97DA-DD7DE90E1C02}" name="Spalte7661"/>
    <tableColumn id="7679" xr3:uid="{F467E8C0-733D-44E4-A69F-D795765EEA5A}" name="Spalte7662"/>
    <tableColumn id="7680" xr3:uid="{09F95357-6CBE-4CD0-B4DB-E5623E80C4C9}" name="Spalte7663"/>
    <tableColumn id="7681" xr3:uid="{252C79E9-CFB7-4FB5-8A8D-F2F7DA63BC98}" name="Spalte7664"/>
    <tableColumn id="7682" xr3:uid="{7803E10D-B0B8-4E03-813C-6F422B757386}" name="Spalte7665"/>
    <tableColumn id="7683" xr3:uid="{A1C3E5D4-74AE-4715-96CA-3537B8BDAA4D}" name="Spalte7666"/>
    <tableColumn id="7684" xr3:uid="{7C503A4F-7ED1-4228-9114-96C2EB63B0B9}" name="Spalte7667"/>
    <tableColumn id="7685" xr3:uid="{9C774B82-F8E4-4D4C-A329-B350D29C8B4D}" name="Spalte7668"/>
    <tableColumn id="7686" xr3:uid="{69E07DE1-E3F1-41CA-8477-9D72E0026133}" name="Spalte7669"/>
    <tableColumn id="7687" xr3:uid="{808F654F-6A72-4469-A28D-E9F7B6C9726F}" name="Spalte7670"/>
    <tableColumn id="7688" xr3:uid="{F883B44C-F9CE-4593-831B-D6B7356F325F}" name="Spalte7671"/>
    <tableColumn id="7689" xr3:uid="{6DBED3C8-22E2-4D7B-A680-8CB9840D4820}" name="Spalte7672"/>
    <tableColumn id="7690" xr3:uid="{D21B8599-BD62-4F3F-B26B-92131AADD1B2}" name="Spalte7673"/>
    <tableColumn id="7691" xr3:uid="{6C4F1CCB-F648-4248-A2A9-F038A2B01C84}" name="Spalte7674"/>
    <tableColumn id="7692" xr3:uid="{D1ED1835-14AA-4184-AF58-F2A330E71D3E}" name="Spalte7675"/>
    <tableColumn id="7693" xr3:uid="{08A3FDB0-1A2E-4E8B-8A76-C70CA03EF1EB}" name="Spalte7676"/>
    <tableColumn id="7694" xr3:uid="{A77DEA6A-9FA6-4909-BCA4-6D75FE779A32}" name="Spalte7677"/>
    <tableColumn id="7695" xr3:uid="{3656ABDE-E803-481D-BAF6-9C46CFD2E92A}" name="Spalte7678"/>
    <tableColumn id="7696" xr3:uid="{42FBF11A-D52E-4CF5-BA0D-7782046F414F}" name="Spalte7679"/>
    <tableColumn id="7697" xr3:uid="{2FC6CE2B-8F78-44AF-BF56-2BE9897A2C0D}" name="Spalte7680"/>
    <tableColumn id="7698" xr3:uid="{6A75C5D4-CE00-494A-B876-0BFE6E36E437}" name="Spalte7681"/>
    <tableColumn id="7699" xr3:uid="{3FD47217-5ED7-4691-B95A-5A515B29625D}" name="Spalte7682"/>
    <tableColumn id="7700" xr3:uid="{4239F99D-E68A-4CAE-BCDB-67AFD881CF17}" name="Spalte7683"/>
    <tableColumn id="7701" xr3:uid="{74CF179E-90B2-435C-9FA5-5C957D775B89}" name="Spalte7684"/>
    <tableColumn id="7702" xr3:uid="{0E7A5CAD-3991-4517-9B0E-64BF55170505}" name="Spalte7685"/>
    <tableColumn id="7703" xr3:uid="{35C4356F-D18E-48BA-BA82-5152BA369117}" name="Spalte7686"/>
    <tableColumn id="7704" xr3:uid="{2849A3B3-853F-424B-BB6C-313C4A4EFF04}" name="Spalte7687"/>
    <tableColumn id="7705" xr3:uid="{E5CA01FC-E9D6-4265-9A2B-B4B7C87CBD89}" name="Spalte7688"/>
    <tableColumn id="7706" xr3:uid="{955DAB81-5B28-4B7C-B81A-C010A0A14E3D}" name="Spalte7689"/>
    <tableColumn id="7707" xr3:uid="{951957F4-7D0A-42B2-B9FC-F35F787C02B9}" name="Spalte7690"/>
    <tableColumn id="7708" xr3:uid="{0C5F104E-2233-47C3-AEE1-2360C6B63F88}" name="Spalte7691"/>
    <tableColumn id="7709" xr3:uid="{098541CD-C6F9-4FE0-888E-0D9FD32ED4A2}" name="Spalte7692"/>
    <tableColumn id="7710" xr3:uid="{FB7BEB28-E595-477A-97C5-52CA4BC9D571}" name="Spalte7693"/>
    <tableColumn id="7711" xr3:uid="{060FD5A9-DB49-4898-BE54-7C205A3553FB}" name="Spalte7694"/>
    <tableColumn id="7712" xr3:uid="{BD004E3B-D3D6-4DA4-93F0-3A04092C9F83}" name="Spalte7695"/>
    <tableColumn id="7713" xr3:uid="{87D73684-FB65-46DA-99AF-704FB4446C9E}" name="Spalte7696"/>
    <tableColumn id="7714" xr3:uid="{D89AD998-07DC-40AD-9033-9453394E4836}" name="Spalte7697"/>
    <tableColumn id="7715" xr3:uid="{E0633156-0D10-4E8F-94ED-04556BB9442E}" name="Spalte7698"/>
    <tableColumn id="7716" xr3:uid="{AD7E92CA-55A0-4B32-A7DF-F19AEB8DAB72}" name="Spalte7699"/>
    <tableColumn id="7717" xr3:uid="{491A4BB4-E873-443A-AA7D-B34AE0A636FA}" name="Spalte7700"/>
    <tableColumn id="7718" xr3:uid="{39F5A136-3B96-4909-8845-5D4FD8C103B4}" name="Spalte7701"/>
    <tableColumn id="7719" xr3:uid="{E6FADEBD-F3FE-4083-937F-2B7DDD5BD234}" name="Spalte7702"/>
    <tableColumn id="7720" xr3:uid="{D854832B-ABAD-426C-B602-88728688A5DD}" name="Spalte7703"/>
    <tableColumn id="7721" xr3:uid="{5660DCC8-3255-4428-936D-17F3B4F586FB}" name="Spalte7704"/>
    <tableColumn id="7722" xr3:uid="{D7745FF8-457E-4581-8985-A502EF6470BB}" name="Spalte7705"/>
    <tableColumn id="7723" xr3:uid="{5228707E-6307-4899-871E-7FB268245134}" name="Spalte7706"/>
    <tableColumn id="7724" xr3:uid="{D71AEB7C-5DBE-4C47-A7C2-583EA1886766}" name="Spalte7707"/>
    <tableColumn id="7725" xr3:uid="{E86AF821-D4E1-4C5A-99A8-C6BA4DBE1E39}" name="Spalte7708"/>
    <tableColumn id="7726" xr3:uid="{AD2473D7-49A9-4288-BB40-1195660FE87E}" name="Spalte7709"/>
    <tableColumn id="7727" xr3:uid="{F9C498BE-20AA-4040-B381-0F2B8CB7284C}" name="Spalte7710"/>
    <tableColumn id="7728" xr3:uid="{C5698250-6E4C-4CFE-9CF6-2BBEF9AF971A}" name="Spalte7711"/>
    <tableColumn id="7729" xr3:uid="{31939410-84ED-4CDD-9B24-D3E3D7F3FAB0}" name="Spalte7712"/>
    <tableColumn id="7730" xr3:uid="{3103C8A7-2755-4013-AA4F-F307C749B272}" name="Spalte7713"/>
    <tableColumn id="7731" xr3:uid="{BC6F8858-E4D9-4451-B3B4-C75F8ADA91C0}" name="Spalte7714"/>
    <tableColumn id="7732" xr3:uid="{6DFCA91C-419B-4FB4-A8CE-5DD504BFDB59}" name="Spalte7715"/>
    <tableColumn id="7733" xr3:uid="{C95FD3B5-D94D-461A-AE2B-F19E29F60E8E}" name="Spalte7716"/>
    <tableColumn id="7734" xr3:uid="{0D69BCA9-ACD5-417E-A36B-2DC19A254E98}" name="Spalte7717"/>
    <tableColumn id="7735" xr3:uid="{E0D9344B-415C-4830-945A-DE7875DD641A}" name="Spalte7718"/>
    <tableColumn id="7736" xr3:uid="{795B7C0C-EAFF-4E30-88CA-F7990AB4EF76}" name="Spalte7719"/>
    <tableColumn id="7737" xr3:uid="{15FEA09E-F572-4B10-A16C-4F4F26BB08C7}" name="Spalte7720"/>
    <tableColumn id="7738" xr3:uid="{FED663C2-5983-48B8-984D-DC77D2AB0162}" name="Spalte7721"/>
    <tableColumn id="7739" xr3:uid="{19F78D1B-F1A6-44DC-B71E-C5F3534DCBD6}" name="Spalte7722"/>
    <tableColumn id="7740" xr3:uid="{03A5086B-028C-490A-A16D-B2F9BF8778D4}" name="Spalte7723"/>
    <tableColumn id="7741" xr3:uid="{BA3D8DE8-65D1-46DE-B18F-1E41FD1308BF}" name="Spalte7724"/>
    <tableColumn id="7742" xr3:uid="{C757AAB3-D50C-43E0-A9B4-058A97CF003C}" name="Spalte7725"/>
    <tableColumn id="7743" xr3:uid="{27C8C307-E41F-4E37-B277-E262A953523C}" name="Spalte7726"/>
    <tableColumn id="7744" xr3:uid="{3C212E54-C1FE-4D13-8BE7-10F135AE9FB3}" name="Spalte7727"/>
    <tableColumn id="7745" xr3:uid="{AE1EF7CB-AD09-4FDF-ACE1-AD9A8C17DC8E}" name="Spalte7728"/>
    <tableColumn id="7746" xr3:uid="{BD226596-498A-4161-A1C4-9AAAEF5A81CC}" name="Spalte7729"/>
    <tableColumn id="7747" xr3:uid="{66CB3DAB-075D-4352-8DCF-B263CC39AE89}" name="Spalte7730"/>
    <tableColumn id="7748" xr3:uid="{1C466A16-9D36-43D9-B068-5FCDB90B6FBA}" name="Spalte7731"/>
    <tableColumn id="7749" xr3:uid="{F943A451-8323-457F-9CC5-326AB647F022}" name="Spalte7732"/>
    <tableColumn id="7750" xr3:uid="{833D49B6-29E2-472D-BF29-973E5E243710}" name="Spalte7733"/>
    <tableColumn id="7751" xr3:uid="{7AEB16F2-F3CF-49D0-ADE4-85B89DC5A354}" name="Spalte7734"/>
    <tableColumn id="7752" xr3:uid="{B1C9B2F2-CA5F-4DDD-B177-5BA0E6226C15}" name="Spalte7735"/>
    <tableColumn id="7753" xr3:uid="{53F77749-BCC5-403A-8AF0-3C84C4FBC7DA}" name="Spalte7736"/>
    <tableColumn id="7754" xr3:uid="{8E4530D7-FE4F-4E2A-93A1-F84F27E53FD5}" name="Spalte7737"/>
    <tableColumn id="7755" xr3:uid="{90CE5DBE-C039-427C-B318-981BCCCF5C09}" name="Spalte7738"/>
    <tableColumn id="7756" xr3:uid="{D5634A99-9CDB-4B16-A429-AEB3DE781789}" name="Spalte7739"/>
    <tableColumn id="7757" xr3:uid="{9BB5DEC5-839C-4D7F-BDD2-2EFF2A7B6347}" name="Spalte7740"/>
    <tableColumn id="7758" xr3:uid="{83110A46-E974-4699-92F7-53CEC47E4279}" name="Spalte7741"/>
    <tableColumn id="7759" xr3:uid="{12B3CAA8-7B3E-4DF9-AAA0-E18C46F4BB48}" name="Spalte7742"/>
    <tableColumn id="7760" xr3:uid="{72AA1A9F-CBEE-4318-AA23-53A8F174D6A5}" name="Spalte7743"/>
    <tableColumn id="7761" xr3:uid="{EFA33C6F-D91F-40EE-A7EA-3BFA1836A69A}" name="Spalte7744"/>
    <tableColumn id="7762" xr3:uid="{09097771-C42E-44CE-88D7-43A4B96C424B}" name="Spalte7745"/>
    <tableColumn id="7763" xr3:uid="{D85252F9-928B-44E8-B680-98627998CF0D}" name="Spalte7746"/>
    <tableColumn id="7764" xr3:uid="{9728858E-9488-420F-9D5B-A329B1DF5FEF}" name="Spalte7747"/>
    <tableColumn id="7765" xr3:uid="{AA9E07AA-7D4A-4989-B83D-2F6F42F8A453}" name="Spalte7748"/>
    <tableColumn id="7766" xr3:uid="{DA8F8D69-B347-42BC-9C25-3E6878917C05}" name="Spalte7749"/>
    <tableColumn id="7767" xr3:uid="{5B5B4DAD-17F7-4584-B975-A5C97C3A50A5}" name="Spalte7750"/>
    <tableColumn id="7768" xr3:uid="{2AED5713-D26B-4E4D-BD24-BEE4D1AFB5F2}" name="Spalte7751"/>
    <tableColumn id="7769" xr3:uid="{B28EB05D-10AA-482F-B442-2D463ECD8FFC}" name="Spalte7752"/>
    <tableColumn id="7770" xr3:uid="{F92BD861-0EA9-48EF-88BC-B2F20F0E13DB}" name="Spalte7753"/>
    <tableColumn id="7771" xr3:uid="{848BE7AC-777D-420B-BBCB-0F44D090B3BB}" name="Spalte7754"/>
    <tableColumn id="7772" xr3:uid="{B4B47DCF-235F-4E4A-8019-FAB61528C009}" name="Spalte7755"/>
    <tableColumn id="7773" xr3:uid="{C1C3AEEE-DBAE-41E5-B87F-CD47FD09C934}" name="Spalte7756"/>
    <tableColumn id="7774" xr3:uid="{953F1EE6-2A7C-44B4-9B5B-54F2655BDB2B}" name="Spalte7757"/>
    <tableColumn id="7775" xr3:uid="{10602504-75C3-46BE-B9AF-79CEE2D2FC75}" name="Spalte7758"/>
    <tableColumn id="7776" xr3:uid="{A37A722E-48C8-43EA-A793-8DB7908326A0}" name="Spalte7759"/>
    <tableColumn id="7777" xr3:uid="{3C7EA959-DF36-4413-B199-2B3AB3501A42}" name="Spalte7760"/>
    <tableColumn id="7778" xr3:uid="{DBB1AA9B-9C9F-455D-A5B6-32DABA44393F}" name="Spalte7761"/>
    <tableColumn id="7779" xr3:uid="{7D020019-EDB6-43AE-914A-0565C358F712}" name="Spalte7762"/>
    <tableColumn id="7780" xr3:uid="{56D1E045-594C-4F52-A938-02057FC6DAEA}" name="Spalte7763"/>
    <tableColumn id="7781" xr3:uid="{117EA2B0-85DD-49E6-8D9F-4FC0A1EB18FA}" name="Spalte7764"/>
    <tableColumn id="7782" xr3:uid="{8D25BAAA-E88A-4FB2-B729-7F73B1C18FAB}" name="Spalte7765"/>
    <tableColumn id="7783" xr3:uid="{BFC9CD4F-7445-499D-AB99-F0515CC1A835}" name="Spalte7766"/>
    <tableColumn id="7784" xr3:uid="{7CF32056-86E6-4927-A1B9-608AB7DFBC66}" name="Spalte7767"/>
    <tableColumn id="7785" xr3:uid="{4311CC0B-5C53-49D9-8BA7-0F0F7DB2AF38}" name="Spalte7768"/>
    <tableColumn id="7786" xr3:uid="{BF1BD917-F70C-4D14-9D44-674829F2E9A5}" name="Spalte7769"/>
    <tableColumn id="7787" xr3:uid="{DAD2D371-E512-4430-BAC8-5826611E6722}" name="Spalte7770"/>
    <tableColumn id="7788" xr3:uid="{FE0676C2-EDB3-4F64-BA4E-C2A18A58789E}" name="Spalte7771"/>
    <tableColumn id="7789" xr3:uid="{006EF4A6-16BE-4BB9-A05A-137D42DF310B}" name="Spalte7772"/>
    <tableColumn id="7790" xr3:uid="{02494E5A-2B2F-47D2-80EE-598D9DEEFFDF}" name="Spalte7773"/>
    <tableColumn id="7791" xr3:uid="{6DA92B44-3319-4EBE-A8D7-AC3C8B91C496}" name="Spalte7774"/>
    <tableColumn id="7792" xr3:uid="{2851C6A4-9E7C-4ADD-9C62-034228BC526F}" name="Spalte7775"/>
    <tableColumn id="7793" xr3:uid="{E2545A02-D946-4210-B686-D187D36F27E3}" name="Spalte7776"/>
    <tableColumn id="7794" xr3:uid="{6FC63677-1BAB-42FE-89EC-9DD81999DAA3}" name="Spalte7777"/>
    <tableColumn id="7795" xr3:uid="{B02F05D8-EEC5-47D2-8847-806B1DB43316}" name="Spalte7778"/>
    <tableColumn id="7796" xr3:uid="{ACAC2701-067C-4448-AEDF-9325532F6335}" name="Spalte7779"/>
    <tableColumn id="7797" xr3:uid="{BF20FB5E-1BFC-4AA1-9E3D-A811FE2FB764}" name="Spalte7780"/>
    <tableColumn id="7798" xr3:uid="{3388A91D-D880-43FD-BE5C-0717CA2D5955}" name="Spalte7781"/>
    <tableColumn id="7799" xr3:uid="{AE530890-050B-4644-96C2-FD01238C4C60}" name="Spalte7782"/>
    <tableColumn id="7800" xr3:uid="{20D23A8F-8EA5-4066-83F6-AA717A6BCD15}" name="Spalte7783"/>
    <tableColumn id="7801" xr3:uid="{66131398-6607-4EC8-B465-E467C6A6D95C}" name="Spalte7784"/>
    <tableColumn id="7802" xr3:uid="{8619138D-DF64-4254-95B2-02431EC04487}" name="Spalte7785"/>
    <tableColumn id="7803" xr3:uid="{2B03FE65-65BC-4285-A985-5BA3EFAB36BB}" name="Spalte7786"/>
    <tableColumn id="7804" xr3:uid="{CFD2C02D-2BD4-4F0F-85AE-C71AE8ABD7AA}" name="Spalte7787"/>
    <tableColumn id="7805" xr3:uid="{157479D6-DDA6-4340-BD67-92A69C02476B}" name="Spalte7788"/>
    <tableColumn id="7806" xr3:uid="{523EB2FA-3806-45ED-A9D6-18BEFB5D7814}" name="Spalte7789"/>
    <tableColumn id="7807" xr3:uid="{5422E55B-5248-4475-BCCB-784FC846CFA9}" name="Spalte7790"/>
    <tableColumn id="7808" xr3:uid="{3973CADD-8088-497F-97C0-EADA34E979DC}" name="Spalte7791"/>
    <tableColumn id="7809" xr3:uid="{248213DE-E74B-4C66-937E-FE7E0EC7C4C3}" name="Spalte7792"/>
    <tableColumn id="7810" xr3:uid="{691F3680-4450-405B-9FAA-1E7246FB7716}" name="Spalte7793"/>
    <tableColumn id="7811" xr3:uid="{2AAEBDDF-9458-48CD-B013-8D8B272158AB}" name="Spalte7794"/>
    <tableColumn id="7812" xr3:uid="{AB80564C-F217-4E35-9CB6-1A4474050AF3}" name="Spalte7795"/>
    <tableColumn id="7813" xr3:uid="{2BA287D2-7629-470E-B46D-6C32242B2C36}" name="Spalte7796"/>
    <tableColumn id="7814" xr3:uid="{08290412-D454-47D4-A0DD-C94932E2EF61}" name="Spalte7797"/>
    <tableColumn id="7815" xr3:uid="{AA65B06D-53C2-402B-916F-6EE75B4CBFD1}" name="Spalte7798"/>
    <tableColumn id="7816" xr3:uid="{0F7A2502-5C78-47ED-A539-658C8167F847}" name="Spalte7799"/>
    <tableColumn id="7817" xr3:uid="{2F7A3BFD-A122-4F9A-861F-112EBAFB7557}" name="Spalte7800"/>
    <tableColumn id="7818" xr3:uid="{106D0852-48E1-49BB-8B56-B3CC29B30324}" name="Spalte7801"/>
    <tableColumn id="7819" xr3:uid="{3D59D133-E8AD-4B02-9AD9-5BF4F277493F}" name="Spalte7802"/>
    <tableColumn id="7820" xr3:uid="{3E3F09E8-B3AC-4B73-BD21-64054C578DC2}" name="Spalte7803"/>
    <tableColumn id="7821" xr3:uid="{8671E623-36F6-43CA-B899-30B12A5E3FAF}" name="Spalte7804"/>
    <tableColumn id="7822" xr3:uid="{47BAFDB0-7812-4A84-9F84-D97FA6D45B9D}" name="Spalte7805"/>
    <tableColumn id="7823" xr3:uid="{82ABB233-FBBA-44F3-80D3-8780C54D28FF}" name="Spalte7806"/>
    <tableColumn id="7824" xr3:uid="{5C16771B-2D89-44C9-8AAD-327E5814146B}" name="Spalte7807"/>
    <tableColumn id="7825" xr3:uid="{6328D6FC-17C2-464E-9DC9-E420766C5A00}" name="Spalte7808"/>
    <tableColumn id="7826" xr3:uid="{29CBE544-E3C9-41C8-8E6D-6B73D214325B}" name="Spalte7809"/>
    <tableColumn id="7827" xr3:uid="{8C16664B-D586-461A-8639-3B333A5ACE54}" name="Spalte7810"/>
    <tableColumn id="7828" xr3:uid="{203600E5-8DE2-4FC9-9026-277D5B8E0E7F}" name="Spalte7811"/>
    <tableColumn id="7829" xr3:uid="{DF549382-1AAC-4D86-9156-AE1F08C65378}" name="Spalte7812"/>
    <tableColumn id="7830" xr3:uid="{475C1385-A34E-45AD-A141-69E3D6CB6988}" name="Spalte7813"/>
    <tableColumn id="7831" xr3:uid="{7606C5DE-1214-4873-AC54-C051C44207C4}" name="Spalte7814"/>
    <tableColumn id="7832" xr3:uid="{0EB88B52-7D79-4DDE-BA7E-24ECE39912FF}" name="Spalte7815"/>
    <tableColumn id="7833" xr3:uid="{87326307-8DB1-4A8B-AB36-1B10E2868185}" name="Spalte7816"/>
    <tableColumn id="7834" xr3:uid="{229A973D-FDAF-413F-9B0C-2F501C1F3D88}" name="Spalte7817"/>
    <tableColumn id="7835" xr3:uid="{9034296B-69E3-474B-BD6E-26CA12971AD6}" name="Spalte7818"/>
    <tableColumn id="7836" xr3:uid="{84741C8E-05EC-4F42-960E-9AAA63C162D3}" name="Spalte7819"/>
    <tableColumn id="7837" xr3:uid="{BF8EEDD0-07DE-4112-ABD1-18F773B50B7A}" name="Spalte7820"/>
    <tableColumn id="7838" xr3:uid="{D6A1F187-D52D-42F4-9F41-880255E29CF1}" name="Spalte7821"/>
    <tableColumn id="7839" xr3:uid="{4062702D-026D-418A-83DF-9DCC426D3991}" name="Spalte7822"/>
    <tableColumn id="7840" xr3:uid="{5674D909-5A0C-4A68-8A1E-0D0A3C1148F0}" name="Spalte7823"/>
    <tableColumn id="7841" xr3:uid="{E7011CBC-A05D-4673-A359-BA7AEC8F7A5C}" name="Spalte7824"/>
    <tableColumn id="7842" xr3:uid="{9C7A3FAF-8B16-48B3-A828-D0DA16098534}" name="Spalte7825"/>
    <tableColumn id="7843" xr3:uid="{BFAE89FA-BE8A-48CB-BF6E-A30CF155611A}" name="Spalte7826"/>
    <tableColumn id="7844" xr3:uid="{D888E03E-3049-4B48-9177-AA636C3740BE}" name="Spalte7827"/>
    <tableColumn id="7845" xr3:uid="{ED07AC34-5D47-4302-B4E5-4E32FBE69239}" name="Spalte7828"/>
    <tableColumn id="7846" xr3:uid="{582A88A2-60DF-49B4-BA18-58E2D19F3E49}" name="Spalte7829"/>
    <tableColumn id="7847" xr3:uid="{FE6D3C1D-DF00-420F-92D7-A3F94C77A50F}" name="Spalte7830"/>
    <tableColumn id="7848" xr3:uid="{A8A1DB21-170B-44D9-9D67-EBD1CB1AA092}" name="Spalte7831"/>
    <tableColumn id="7849" xr3:uid="{396E3D29-4269-4CF1-808F-B49B689DBBC0}" name="Spalte7832"/>
    <tableColumn id="7850" xr3:uid="{4CEAC989-0C8B-4978-AA37-A53477599292}" name="Spalte7833"/>
    <tableColumn id="7851" xr3:uid="{51BC9F6E-F045-49DB-9DF3-3E9E6568BDA7}" name="Spalte7834"/>
    <tableColumn id="7852" xr3:uid="{D3A47175-C02E-4BB0-87B6-04BFF54C7636}" name="Spalte7835"/>
    <tableColumn id="7853" xr3:uid="{80D084B2-8C3E-4D35-A06E-BFDCB00C0727}" name="Spalte7836"/>
    <tableColumn id="7854" xr3:uid="{6EFFDDA7-801A-49B6-BA0A-FA0D5F93D33B}" name="Spalte7837"/>
    <tableColumn id="7855" xr3:uid="{284112AA-2240-4388-A815-0713FA9AFAE0}" name="Spalte7838"/>
    <tableColumn id="7856" xr3:uid="{4443928B-D160-4FDB-BD49-D4AB8FBCF83A}" name="Spalte7839"/>
    <tableColumn id="7857" xr3:uid="{9FF0689C-E892-442D-8185-EA5F929791D3}" name="Spalte7840"/>
    <tableColumn id="7858" xr3:uid="{A396BB01-D1BA-47E6-911F-86D25D2119D3}" name="Spalte7841"/>
    <tableColumn id="7859" xr3:uid="{12FCD644-6867-4F08-BC42-D835F2582A7D}" name="Spalte7842"/>
    <tableColumn id="7860" xr3:uid="{57D6E288-E98B-4674-B7B7-05A3F8A825EC}" name="Spalte7843"/>
    <tableColumn id="7861" xr3:uid="{2758A6BD-38FA-4577-8CB7-315D24CC816E}" name="Spalte7844"/>
    <tableColumn id="7862" xr3:uid="{8E21CA1E-597F-4ECF-8F2E-BC39F9DBD972}" name="Spalte7845"/>
    <tableColumn id="7863" xr3:uid="{D74AFE85-E532-4ED1-92E1-D542C2AD4783}" name="Spalte7846"/>
    <tableColumn id="7864" xr3:uid="{A6044998-FEAF-44E0-803F-858EDFF037F7}" name="Spalte7847"/>
    <tableColumn id="7865" xr3:uid="{48871A00-831B-4D2D-A2F0-552769430338}" name="Spalte7848"/>
    <tableColumn id="7866" xr3:uid="{8CCDFCC4-6168-4554-AC3E-298F02785B6D}" name="Spalte7849"/>
    <tableColumn id="7867" xr3:uid="{D6078F7D-FC95-4731-9911-5120AD9C795A}" name="Spalte7850"/>
    <tableColumn id="7868" xr3:uid="{197A9F73-B02B-455C-AC7B-228AFD71DEE6}" name="Spalte7851"/>
    <tableColumn id="7869" xr3:uid="{7F224C3B-4153-473C-A26D-C9518E16328F}" name="Spalte7852"/>
    <tableColumn id="7870" xr3:uid="{46B70615-0A76-4762-86BE-09C4B069C88D}" name="Spalte7853"/>
    <tableColumn id="7871" xr3:uid="{E62C5C45-395A-45C3-AA4F-76460B40A484}" name="Spalte7854"/>
    <tableColumn id="7872" xr3:uid="{F681E206-C5AB-48D5-8D13-8EA58C657467}" name="Spalte7855"/>
    <tableColumn id="7873" xr3:uid="{9B3E164B-23D0-41A5-88BA-0E6F9A5E403F}" name="Spalte7856"/>
    <tableColumn id="7874" xr3:uid="{1407948B-C389-4D89-A6BE-F74DAF02BC25}" name="Spalte7857"/>
    <tableColumn id="7875" xr3:uid="{5CF7B9C1-73AF-4D86-8704-C1BC35C8C398}" name="Spalte7858"/>
    <tableColumn id="7876" xr3:uid="{9E1CB7A8-DA73-40F4-BDC5-7B94943843D4}" name="Spalte7859"/>
    <tableColumn id="7877" xr3:uid="{1580BE2A-DA64-48D7-B344-2276CE3D1A2B}" name="Spalte7860"/>
    <tableColumn id="7878" xr3:uid="{196CC349-25DE-41C7-844A-CDDB323084FA}" name="Spalte7861"/>
    <tableColumn id="7879" xr3:uid="{95DCD305-B550-4A6C-8CA5-C174E15E40C4}" name="Spalte7862"/>
    <tableColumn id="7880" xr3:uid="{439B58A6-4635-442A-8EAD-A64D36351317}" name="Spalte7863"/>
    <tableColumn id="7881" xr3:uid="{BD0B0BAB-A92F-4904-8776-68F1BF79D956}" name="Spalte7864"/>
    <tableColumn id="7882" xr3:uid="{133D4A02-DA58-4FA4-A222-16CA2E2AE0D8}" name="Spalte7865"/>
    <tableColumn id="7883" xr3:uid="{289A756C-37B7-4B4D-BD3B-F1AD0660DD8D}" name="Spalte7866"/>
    <tableColumn id="7884" xr3:uid="{6F19781B-C161-46A6-86EE-0E13C9322006}" name="Spalte7867"/>
    <tableColumn id="7885" xr3:uid="{F7837DB2-E6F6-445C-989D-3E8B6421A5C1}" name="Spalte7868"/>
    <tableColumn id="7886" xr3:uid="{D06E5C87-CBCE-4853-A64D-186381D2DAA2}" name="Spalte7869"/>
    <tableColumn id="7887" xr3:uid="{77DAA36B-542D-4DB6-AA71-66DE03AE181E}" name="Spalte7870"/>
    <tableColumn id="7888" xr3:uid="{C10CDFF6-4C1A-4544-B26A-EBE026132C6B}" name="Spalte7871"/>
    <tableColumn id="7889" xr3:uid="{100907EC-0E52-444B-8D50-A6A67617E586}" name="Spalte7872"/>
    <tableColumn id="7890" xr3:uid="{C2CE1196-0AE0-4306-B309-88DBB13DBA2C}" name="Spalte7873"/>
    <tableColumn id="7891" xr3:uid="{ECFC66B1-0F2D-40A0-A208-5B090F89491C}" name="Spalte7874"/>
    <tableColumn id="7892" xr3:uid="{32BBE5D2-549E-4EEB-A491-3570ACCD70D2}" name="Spalte7875"/>
    <tableColumn id="7893" xr3:uid="{A8A447E3-0F99-4CE4-8526-FE1ADA6B42F4}" name="Spalte7876"/>
    <tableColumn id="7894" xr3:uid="{3660A78E-B4B1-4536-883C-5C05B4D3682A}" name="Spalte7877"/>
    <tableColumn id="7895" xr3:uid="{97D9A0F6-ABD2-44F1-9D0F-FA32A317B4B5}" name="Spalte7878"/>
    <tableColumn id="7896" xr3:uid="{E31134CB-F08D-4C44-8C84-FEF955845865}" name="Spalte7879"/>
    <tableColumn id="7897" xr3:uid="{74B93A64-F969-4226-952D-622FD0D3C976}" name="Spalte7880"/>
    <tableColumn id="7898" xr3:uid="{10D14488-0948-4C6C-99E6-1F27C1B5132E}" name="Spalte7881"/>
    <tableColumn id="7899" xr3:uid="{91FA6DF6-F2D9-41DD-B2A6-98CB251C9A8D}" name="Spalte7882"/>
    <tableColumn id="7900" xr3:uid="{5A929121-C3D7-4D57-AEA9-C8B35CB9A847}" name="Spalte7883"/>
    <tableColumn id="7901" xr3:uid="{180C14D7-755F-4733-9620-1A63B8EAF075}" name="Spalte7884"/>
    <tableColumn id="7902" xr3:uid="{00BDC91D-49BB-4A6A-ACC2-6C793173D9D8}" name="Spalte7885"/>
    <tableColumn id="7903" xr3:uid="{D04C3ECD-1F6C-44D2-BF96-06CC598D5280}" name="Spalte7886"/>
    <tableColumn id="7904" xr3:uid="{685E5161-7F0C-4ACF-A049-26D60F177907}" name="Spalte7887"/>
    <tableColumn id="7905" xr3:uid="{439E0886-EED2-42C3-9984-E828BEC13369}" name="Spalte7888"/>
    <tableColumn id="7906" xr3:uid="{DA3ECC09-1EA6-4134-A2C5-2BE37002688E}" name="Spalte7889"/>
    <tableColumn id="7907" xr3:uid="{A364F9B1-DDE0-4E16-AEAD-6C077AFF73E0}" name="Spalte7890"/>
    <tableColumn id="7908" xr3:uid="{58E36BE1-B6B0-4509-9045-A7F6107559CA}" name="Spalte7891"/>
    <tableColumn id="7909" xr3:uid="{DA16E931-D560-4F19-BB59-77C0B11E8279}" name="Spalte7892"/>
    <tableColumn id="7910" xr3:uid="{AFC92ED3-6F25-496B-8B02-059B8168EAE7}" name="Spalte7893"/>
    <tableColumn id="7911" xr3:uid="{E487E4D2-8BC6-4DED-AC6C-8A738F6CEFF0}" name="Spalte7894"/>
    <tableColumn id="7912" xr3:uid="{FB5F8E7E-F42B-4988-9158-378A229723C8}" name="Spalte7895"/>
    <tableColumn id="7913" xr3:uid="{8E7F0B2B-FE81-4FDA-90A9-6EC45EE9722D}" name="Spalte7896"/>
    <tableColumn id="7914" xr3:uid="{E061910A-CC85-46F6-AA40-15A7C23732E3}" name="Spalte7897"/>
    <tableColumn id="7915" xr3:uid="{315C3492-E85F-4519-8BD8-729E8A96F268}" name="Spalte7898"/>
    <tableColumn id="7916" xr3:uid="{E9969075-93E7-4C1A-8614-4E9778F08759}" name="Spalte7899"/>
    <tableColumn id="7917" xr3:uid="{EF46519E-FCFB-43DE-BBA8-5A95E6F24599}" name="Spalte7900"/>
    <tableColumn id="7918" xr3:uid="{6CEDE967-CEF6-48BE-9C3A-738FECAF04DC}" name="Spalte7901"/>
    <tableColumn id="7919" xr3:uid="{122B9539-BB19-471E-B9D2-39F063334F83}" name="Spalte7902"/>
    <tableColumn id="7920" xr3:uid="{D42A83D4-AE36-45F2-8073-E7C290936BCD}" name="Spalte7903"/>
    <tableColumn id="7921" xr3:uid="{C97E92FC-94AF-4C55-A328-81D7A3EC4369}" name="Spalte7904"/>
    <tableColumn id="7922" xr3:uid="{92708242-F91C-4A0E-9C28-2FC40E60CD1A}" name="Spalte7905"/>
    <tableColumn id="7923" xr3:uid="{DE3C0432-FED6-41E0-8B68-6BD0592678B7}" name="Spalte7906"/>
    <tableColumn id="7924" xr3:uid="{1E14C23C-C932-47F9-ABAF-EB3FD71D5BAA}" name="Spalte7907"/>
    <tableColumn id="7925" xr3:uid="{2C16F35F-842C-416D-8FDF-D9B3A939806C}" name="Spalte7908"/>
    <tableColumn id="7926" xr3:uid="{0DE73D53-EB82-4182-8D88-68813C042C1F}" name="Spalte7909"/>
    <tableColumn id="7927" xr3:uid="{80A1A345-DE2B-458B-B8C3-CA767D7FA877}" name="Spalte7910"/>
    <tableColumn id="7928" xr3:uid="{05270A72-DF12-4C8D-8A7B-030BF1D9B0B9}" name="Spalte7911"/>
    <tableColumn id="7929" xr3:uid="{D1A4D108-BE55-4F8E-8982-308E534543E5}" name="Spalte7912"/>
    <tableColumn id="7930" xr3:uid="{918C93D3-FA60-4158-AD11-A18FC7FB6CE8}" name="Spalte7913"/>
    <tableColumn id="7931" xr3:uid="{3E20D9FE-C071-4FC5-9D83-966C300F6AC0}" name="Spalte7914"/>
    <tableColumn id="7932" xr3:uid="{C715B323-6B0D-4044-A3F2-8D4FC4D9BD1F}" name="Spalte7915"/>
    <tableColumn id="7933" xr3:uid="{179B07F8-EAD0-4EF7-B8ED-D29F86EC0435}" name="Spalte7916"/>
    <tableColumn id="7934" xr3:uid="{53054689-9064-426F-9148-59B30F222760}" name="Spalte7917"/>
    <tableColumn id="7935" xr3:uid="{E74E4D9D-9D7F-487C-9CCB-EE229D7474AD}" name="Spalte7918"/>
    <tableColumn id="7936" xr3:uid="{5BCCB84D-C17B-49D1-991E-49787D635B08}" name="Spalte7919"/>
    <tableColumn id="7937" xr3:uid="{34916C02-DADA-43A2-9AB8-C25C30380219}" name="Spalte7920"/>
    <tableColumn id="7938" xr3:uid="{F28717D4-E7A5-4B2A-AAC0-1BEFCA99A925}" name="Spalte7921"/>
    <tableColumn id="7939" xr3:uid="{4966E76E-0AE4-4F6C-91D8-F5749DC0EC0C}" name="Spalte7922"/>
    <tableColumn id="7940" xr3:uid="{0870D126-39B5-4A80-B212-87FECF1B7079}" name="Spalte7923"/>
    <tableColumn id="7941" xr3:uid="{35C8F5CE-A0D6-4655-9E37-A1459847468B}" name="Spalte7924"/>
    <tableColumn id="7942" xr3:uid="{AA810DA2-DA00-4C29-9137-BF039EB80A96}" name="Spalte7925"/>
    <tableColumn id="7943" xr3:uid="{B6D527C3-F160-459C-937E-9A6F9AB690FA}" name="Spalte7926"/>
    <tableColumn id="7944" xr3:uid="{9931BF52-2922-4EEA-9F32-4E12B7414D35}" name="Spalte7927"/>
    <tableColumn id="7945" xr3:uid="{E9844806-40EC-460A-9DE9-426AAF38A66A}" name="Spalte7928"/>
    <tableColumn id="7946" xr3:uid="{83A2694D-D979-4479-8585-3637D69AB1D3}" name="Spalte7929"/>
    <tableColumn id="7947" xr3:uid="{9A54988D-F5FB-42AF-88BB-2404A3E8459B}" name="Spalte7930"/>
    <tableColumn id="7948" xr3:uid="{7D30B49D-F768-47FD-86F0-8ECDF2553496}" name="Spalte7931"/>
    <tableColumn id="7949" xr3:uid="{A71100ED-8ECA-46A5-869F-9AA4951E31C8}" name="Spalte7932"/>
    <tableColumn id="7950" xr3:uid="{FD22AD49-BB06-4D9D-BC16-329B8A999197}" name="Spalte7933"/>
    <tableColumn id="7951" xr3:uid="{B8B10BFC-72B6-49A4-8FAD-74332BA7DAD6}" name="Spalte7934"/>
    <tableColumn id="7952" xr3:uid="{811A7BA7-6834-4E40-B3EE-F4DFC44A6331}" name="Spalte7935"/>
    <tableColumn id="7953" xr3:uid="{991014CE-AF00-477B-9810-0215C1A26DA6}" name="Spalte7936"/>
    <tableColumn id="7954" xr3:uid="{67004B95-03B0-4B9E-9964-50334A0CE920}" name="Spalte7937"/>
    <tableColumn id="7955" xr3:uid="{113AA1CF-E5B6-44E3-89EE-B56D05952B27}" name="Spalte7938"/>
    <tableColumn id="7956" xr3:uid="{8F59279D-189F-4D92-9A7D-C64567A5F943}" name="Spalte7939"/>
    <tableColumn id="7957" xr3:uid="{9EB3D5E9-699A-47E8-86F9-F40206A5ADCA}" name="Spalte7940"/>
    <tableColumn id="7958" xr3:uid="{81B386CB-277F-4438-8844-40A2EBA1FEDA}" name="Spalte7941"/>
    <tableColumn id="7959" xr3:uid="{9D3762A9-BDC5-455C-90E0-31495EE2D8D1}" name="Spalte7942"/>
    <tableColumn id="7960" xr3:uid="{34E1B568-C780-439B-8D63-262D433E3A89}" name="Spalte7943"/>
    <tableColumn id="7961" xr3:uid="{1A0281DE-F694-4692-AFA6-0F6B86831941}" name="Spalte7944"/>
    <tableColumn id="7962" xr3:uid="{AD7E8897-0547-4544-BDC1-134729970E16}" name="Spalte7945"/>
    <tableColumn id="7963" xr3:uid="{F92450D1-8148-47BE-A1BE-7679035E57DC}" name="Spalte7946"/>
    <tableColumn id="7964" xr3:uid="{4CBD8732-B4DE-4E64-B3CC-31746CE31600}" name="Spalte7947"/>
    <tableColumn id="7965" xr3:uid="{895E1AA0-2B9E-40A2-B741-8E2B3FB91E1E}" name="Spalte7948"/>
    <tableColumn id="7966" xr3:uid="{D71DFD38-8960-4B3C-907E-DD030AB90F03}" name="Spalte7949"/>
    <tableColumn id="7967" xr3:uid="{26BC66DD-89C9-4DF0-BB21-847502CE42D0}" name="Spalte7950"/>
    <tableColumn id="7968" xr3:uid="{0AB81FAA-02E1-4D38-B453-CC746EE47EC7}" name="Spalte7951"/>
    <tableColumn id="7969" xr3:uid="{E1B82149-A150-4473-9614-B2ACDE5F9ADF}" name="Spalte7952"/>
    <tableColumn id="7970" xr3:uid="{2945C567-05C5-4C10-B2F9-8E1BBF53C233}" name="Spalte7953"/>
    <tableColumn id="7971" xr3:uid="{08086E25-E178-41FA-9A02-8FD5CB1643C1}" name="Spalte7954"/>
    <tableColumn id="7972" xr3:uid="{56E0F990-3CC1-4E60-88E1-C8C03C965FC4}" name="Spalte7955"/>
    <tableColumn id="7973" xr3:uid="{F20BA0F4-78B0-49E0-A176-68317FEF2B35}" name="Spalte7956"/>
    <tableColumn id="7974" xr3:uid="{78AE737A-ECEF-435A-83B4-01D178F54E1B}" name="Spalte7957"/>
    <tableColumn id="7975" xr3:uid="{FA3557C6-6177-4BE9-8BCF-B684119B8B16}" name="Spalte7958"/>
    <tableColumn id="7976" xr3:uid="{DB422163-0C0D-4D81-BA84-60BA199E832C}" name="Spalte7959"/>
    <tableColumn id="7977" xr3:uid="{60DB385F-CFF4-4E2A-B1A3-CE7675E5DD47}" name="Spalte7960"/>
    <tableColumn id="7978" xr3:uid="{6D67B333-A95F-43D6-ABF8-C4746D53177A}" name="Spalte7961"/>
    <tableColumn id="7979" xr3:uid="{FFDF3EAB-B694-48CA-9C6B-EDC6C8706EE4}" name="Spalte7962"/>
    <tableColumn id="7980" xr3:uid="{85F8AB3D-DB98-4E5D-B237-D232FB1EA3D7}" name="Spalte7963"/>
    <tableColumn id="7981" xr3:uid="{630CC70D-DCF5-477B-8625-21FAD2248B36}" name="Spalte7964"/>
    <tableColumn id="7982" xr3:uid="{47D98C4D-E8E7-4243-9B25-BD00EC418EC6}" name="Spalte7965"/>
    <tableColumn id="7983" xr3:uid="{71E30F9F-D25F-41C0-8C15-104793ED5EC1}" name="Spalte7966"/>
    <tableColumn id="7984" xr3:uid="{93457721-0958-48CD-8F8A-BE32EA10BD40}" name="Spalte7967"/>
    <tableColumn id="7985" xr3:uid="{8B6DE491-F42B-4896-BB16-DC99484C2BDE}" name="Spalte7968"/>
    <tableColumn id="7986" xr3:uid="{80946E47-4F2A-400D-8770-26D4C9930B62}" name="Spalte7969"/>
    <tableColumn id="7987" xr3:uid="{0CE382F9-9520-479B-8EAF-02E1CB4B03B9}" name="Spalte7970"/>
    <tableColumn id="7988" xr3:uid="{D403E3E6-C9DA-43D4-9A2A-4EBCE5113EEF}" name="Spalte7971"/>
    <tableColumn id="7989" xr3:uid="{962685BD-6A6C-4D24-85BD-D0C837859120}" name="Spalte7972"/>
    <tableColumn id="7990" xr3:uid="{3038261E-4079-49B8-A923-2272454B5855}" name="Spalte7973"/>
    <tableColumn id="7991" xr3:uid="{1C05AEF9-F331-4DD7-A279-B32DD9DE07D1}" name="Spalte7974"/>
    <tableColumn id="7992" xr3:uid="{E36445E9-8D69-4B6A-818D-C2E621F4CD02}" name="Spalte7975"/>
    <tableColumn id="7993" xr3:uid="{4EFBD918-1F97-43F2-B4BD-C3B84389ACB7}" name="Spalte7976"/>
    <tableColumn id="7994" xr3:uid="{A121C0A6-FDC0-4459-8443-B1EE8A85E17E}" name="Spalte7977"/>
    <tableColumn id="7995" xr3:uid="{CD2AAD7B-4854-478D-B05F-D6654A465D53}" name="Spalte7978"/>
    <tableColumn id="7996" xr3:uid="{49665447-0690-4E9B-BA86-9FBBEC38877F}" name="Spalte7979"/>
    <tableColumn id="7997" xr3:uid="{A28009D9-6AD3-419C-B710-A435907D8A3D}" name="Spalte7980"/>
    <tableColumn id="7998" xr3:uid="{BC194108-ED87-4D48-AEA8-51B2001BE436}" name="Spalte7981"/>
    <tableColumn id="7999" xr3:uid="{B152F0BA-5B2E-4528-A3F4-16F396B1EA0A}" name="Spalte7982"/>
    <tableColumn id="8000" xr3:uid="{3A547989-7221-4273-B368-03127A2752C0}" name="Spalte7983"/>
    <tableColumn id="8001" xr3:uid="{DC584D12-A529-4FAC-9507-8EDA60DF17B1}" name="Spalte7984"/>
    <tableColumn id="8002" xr3:uid="{CDAFDDB6-A5DF-41BB-B439-68F0174048F7}" name="Spalte7985"/>
    <tableColumn id="8003" xr3:uid="{C28B6917-7554-4319-AFCB-CA17EEA49BFC}" name="Spalte7986"/>
    <tableColumn id="8004" xr3:uid="{F2A1BBA3-6CBB-4468-8AB2-748720E7CFD0}" name="Spalte7987"/>
    <tableColumn id="8005" xr3:uid="{27028354-992B-484E-AA77-A613994A0EB3}" name="Spalte7988"/>
    <tableColumn id="8006" xr3:uid="{3901F58E-6574-49BE-8A2C-E74AA9E7BBD3}" name="Spalte7989"/>
    <tableColumn id="8007" xr3:uid="{088C5F6A-AB03-4DD8-8938-9F7F1BE4EE35}" name="Spalte7990"/>
    <tableColumn id="8008" xr3:uid="{60FCA7F1-EB8E-4821-B1EE-DAA7309EC099}" name="Spalte7991"/>
    <tableColumn id="8009" xr3:uid="{7C553F8B-3703-4E6F-95A5-880E18C851CA}" name="Spalte7992"/>
    <tableColumn id="8010" xr3:uid="{D6054BC9-B039-4CCA-B2B1-84D70879ABE8}" name="Spalte7993"/>
    <tableColumn id="8011" xr3:uid="{6283E461-DEB1-46B5-AA8B-9BC48F0844BC}" name="Spalte7994"/>
    <tableColumn id="8012" xr3:uid="{ED616B7D-B300-4C7A-A9D9-B9266EE854E1}" name="Spalte7995"/>
    <tableColumn id="8013" xr3:uid="{EB510A58-3554-4125-A000-F72DABE3C438}" name="Spalte7996"/>
    <tableColumn id="8014" xr3:uid="{41D8AA09-8D08-4EEF-AF14-6301659CD7D6}" name="Spalte7997"/>
    <tableColumn id="8015" xr3:uid="{F26C9777-BF15-481A-8CA3-72F528FDB58D}" name="Spalte7998"/>
    <tableColumn id="8016" xr3:uid="{8312B1C8-391E-4A9A-8A0F-DE3A6E0C4858}" name="Spalte7999"/>
    <tableColumn id="8017" xr3:uid="{9706305C-3E04-4777-9823-0D4CD0F5BB22}" name="Spalte8000"/>
    <tableColumn id="8018" xr3:uid="{1E55FEB5-6BCB-40CD-8AE8-0A471E608DC8}" name="Spalte8001"/>
    <tableColumn id="8019" xr3:uid="{DC4624E9-FCF1-4CD5-B21C-B2745AC7FCB6}" name="Spalte8002"/>
    <tableColumn id="8020" xr3:uid="{C9EBCEA4-98ED-47D2-80F0-FD7AFA233336}" name="Spalte8003"/>
    <tableColumn id="8021" xr3:uid="{D5258D2F-5CAD-4799-8E0B-2B1794795782}" name="Spalte8004"/>
    <tableColumn id="8022" xr3:uid="{40C08B39-0A35-4C50-A67A-0FD5FD993F71}" name="Spalte8005"/>
    <tableColumn id="8023" xr3:uid="{036CE022-914C-4431-824B-63CD7A5D77D4}" name="Spalte8006"/>
    <tableColumn id="8024" xr3:uid="{21E037AA-39AC-4D93-9A6B-CFFB17FC97C3}" name="Spalte8007"/>
    <tableColumn id="8025" xr3:uid="{50C5DB02-3963-40CD-AF4C-3841E5FAE99D}" name="Spalte8008"/>
    <tableColumn id="8026" xr3:uid="{E428962A-6918-4965-B3F9-290A693BAD63}" name="Spalte8009"/>
    <tableColumn id="8027" xr3:uid="{4910488A-36E8-4D3A-969D-E9744A52FC2A}" name="Spalte8010"/>
    <tableColumn id="8028" xr3:uid="{DB26898A-40D3-4200-BC68-AD9FDD0E96A1}" name="Spalte8011"/>
    <tableColumn id="8029" xr3:uid="{4981469E-1BB4-4887-B031-526195BDA286}" name="Spalte8012"/>
    <tableColumn id="8030" xr3:uid="{2C5080B3-B5C4-44A3-B3AE-59A68790D26A}" name="Spalte8013"/>
    <tableColumn id="8031" xr3:uid="{F68E1463-2F0D-4C55-9FB2-A38DEC9D33D5}" name="Spalte8014"/>
    <tableColumn id="8032" xr3:uid="{EAC10D7A-803A-4871-85E3-74477D3D87FE}" name="Spalte8015"/>
    <tableColumn id="8033" xr3:uid="{3E1460B3-222D-43C0-B1EE-158EFA27D446}" name="Spalte8016"/>
    <tableColumn id="8034" xr3:uid="{A5F7042D-69E6-44CD-869E-74A1D650B6D3}" name="Spalte8017"/>
    <tableColumn id="8035" xr3:uid="{48F62930-F68B-4D14-ACF9-7466D6D9CA72}" name="Spalte8018"/>
    <tableColumn id="8036" xr3:uid="{2BCBB74E-47F2-443A-903F-CD47AD650722}" name="Spalte8019"/>
    <tableColumn id="8037" xr3:uid="{58E8A8BC-AA4A-4BE2-A50C-CA6877B50A52}" name="Spalte8020"/>
    <tableColumn id="8038" xr3:uid="{847B8A88-A7AE-4BF2-8971-C08296D6EDF4}" name="Spalte8021"/>
    <tableColumn id="8039" xr3:uid="{290EC428-1EF3-4758-8EC7-6DFF5AA9EED0}" name="Spalte8022"/>
    <tableColumn id="8040" xr3:uid="{3163CB8A-6EF4-4B90-B6FB-4E895D88B205}" name="Spalte8023"/>
    <tableColumn id="8041" xr3:uid="{7236E0FE-2DE4-4620-8118-7384CADFF1EB}" name="Spalte8024"/>
    <tableColumn id="8042" xr3:uid="{9950E517-1B7B-4033-BC24-4EEF254B2C26}" name="Spalte8025"/>
    <tableColumn id="8043" xr3:uid="{D249A8FF-297E-4E0A-843B-2A13170BB338}" name="Spalte8026"/>
    <tableColumn id="8044" xr3:uid="{13EEE7B5-0A0E-4872-9AF3-42D2240A0095}" name="Spalte8027"/>
    <tableColumn id="8045" xr3:uid="{62295435-59BC-42E4-9A92-53CEB828BD97}" name="Spalte8028"/>
    <tableColumn id="8046" xr3:uid="{999FA711-8031-4F32-B5A2-BFA0832AAA94}" name="Spalte8029"/>
    <tableColumn id="8047" xr3:uid="{58C48ECB-C5B0-4035-A53C-3F8852D69715}" name="Spalte8030"/>
    <tableColumn id="8048" xr3:uid="{4D494233-BE18-43AF-8F27-7251766B3613}" name="Spalte8031"/>
    <tableColumn id="8049" xr3:uid="{FCDF6C7F-5936-4ED4-BD7E-E1B588AC6D6A}" name="Spalte8032"/>
    <tableColumn id="8050" xr3:uid="{D04CEEDF-EFA5-47E9-9343-383399642BA8}" name="Spalte8033"/>
    <tableColumn id="8051" xr3:uid="{340B93A4-57EE-46FB-8F1B-63CC5FA9BD33}" name="Spalte8034"/>
    <tableColumn id="8052" xr3:uid="{441C1D4D-9192-4B8F-94F4-C97859FD0923}" name="Spalte8035"/>
    <tableColumn id="8053" xr3:uid="{7887E99B-BA0C-47DD-981E-05ECBC51F1EB}" name="Spalte8036"/>
    <tableColumn id="8054" xr3:uid="{AD911917-B4B2-4CFC-96E2-C124A5229DA1}" name="Spalte8037"/>
    <tableColumn id="8055" xr3:uid="{61F75844-57E8-4280-85B2-20045816365C}" name="Spalte8038"/>
    <tableColumn id="8056" xr3:uid="{2467C431-37F4-4825-836E-7DD7217B3C87}" name="Spalte8039"/>
    <tableColumn id="8057" xr3:uid="{7C1423ED-5E50-4C33-AF85-A527086E4EBA}" name="Spalte8040"/>
    <tableColumn id="8058" xr3:uid="{536E3D4C-F656-42FA-A7E1-213C34809675}" name="Spalte8041"/>
    <tableColumn id="8059" xr3:uid="{47A39034-BF3C-4925-99E4-75B196DE6ECC}" name="Spalte8042"/>
    <tableColumn id="8060" xr3:uid="{0F56B2AB-7478-4088-92F8-182CFED8516D}" name="Spalte8043"/>
    <tableColumn id="8061" xr3:uid="{E267966B-152C-419E-B61B-E528EC737DA8}" name="Spalte8044"/>
    <tableColumn id="8062" xr3:uid="{5F466ABD-1431-40E5-B512-5379E563C651}" name="Spalte8045"/>
    <tableColumn id="8063" xr3:uid="{4BB4BF34-83D7-405A-834B-E19C35465FB5}" name="Spalte8046"/>
    <tableColumn id="8064" xr3:uid="{0298C123-10F5-4901-B859-6078BACD1EEC}" name="Spalte8047"/>
    <tableColumn id="8065" xr3:uid="{27D7BFA4-445F-446C-917F-AAE1CA04FB46}" name="Spalte8048"/>
    <tableColumn id="8066" xr3:uid="{BA5771C1-0A9A-4840-9E8E-397D32814166}" name="Spalte8049"/>
    <tableColumn id="8067" xr3:uid="{601B6346-9A47-4918-8AD5-DB8326883E78}" name="Spalte8050"/>
    <tableColumn id="8068" xr3:uid="{EAA16879-FC63-488B-AE1B-4DA033A373F8}" name="Spalte8051"/>
    <tableColumn id="8069" xr3:uid="{1237F199-81E8-4EC8-9A01-DEE84574B182}" name="Spalte8052"/>
    <tableColumn id="8070" xr3:uid="{E3A47EB2-8345-4C01-8195-151132D93733}" name="Spalte8053"/>
    <tableColumn id="8071" xr3:uid="{37A35A0F-CFB0-49CD-B6F7-7B548B94FF5F}" name="Spalte8054"/>
    <tableColumn id="8072" xr3:uid="{B32B7AF3-9CE7-4566-A73C-3139FA9385E2}" name="Spalte8055"/>
    <tableColumn id="8073" xr3:uid="{2B3976B8-CF7E-4A89-90D5-B2A0189F8CE9}" name="Spalte8056"/>
    <tableColumn id="8074" xr3:uid="{375020BE-B8CC-47E5-976A-4F9E13EDF4CA}" name="Spalte8057"/>
    <tableColumn id="8075" xr3:uid="{B1BAA1C2-0F13-489B-9788-C97D434E2961}" name="Spalte8058"/>
    <tableColumn id="8076" xr3:uid="{EF04A3FF-B641-4C81-B3AE-F7F7F91A212F}" name="Spalte8059"/>
    <tableColumn id="8077" xr3:uid="{C7904F12-A3BF-4047-AB74-ACBF56A8A85B}" name="Spalte8060"/>
    <tableColumn id="8078" xr3:uid="{421FFFBB-D475-4054-A597-279027F544AD}" name="Spalte8061"/>
    <tableColumn id="8079" xr3:uid="{55D82D6A-2954-41D3-BD24-AA30CCD66DF9}" name="Spalte8062"/>
    <tableColumn id="8080" xr3:uid="{98917B8B-E90D-403F-A2B4-C4D7151183E9}" name="Spalte8063"/>
    <tableColumn id="8081" xr3:uid="{93085DAA-4DFF-4E6A-B137-A14104B4229B}" name="Spalte8064"/>
    <tableColumn id="8082" xr3:uid="{9DB50FB5-A4B3-4522-9A7F-CDFB6F500AA5}" name="Spalte8065"/>
    <tableColumn id="8083" xr3:uid="{354EB780-E11C-4FA6-8996-487981F8FEEA}" name="Spalte8066"/>
    <tableColumn id="8084" xr3:uid="{5144D80B-4EAA-4D25-BA22-A55CA7107123}" name="Spalte8067"/>
    <tableColumn id="8085" xr3:uid="{43AB79A9-BE40-48D5-A7C0-62664ED0DD9E}" name="Spalte8068"/>
    <tableColumn id="8086" xr3:uid="{D5487919-FDEF-440D-8998-68140C67C722}" name="Spalte8069"/>
    <tableColumn id="8087" xr3:uid="{417EBE22-521C-4BF7-82E1-3F7DEA7807CC}" name="Spalte8070"/>
    <tableColumn id="8088" xr3:uid="{948A53F9-57AB-4D12-A87C-7B5E08044D4A}" name="Spalte8071"/>
    <tableColumn id="8089" xr3:uid="{3EE92308-FE09-4F60-B694-7EA38B88E63B}" name="Spalte8072"/>
    <tableColumn id="8090" xr3:uid="{FD8C0367-1962-4A46-AA53-1582FCF871EF}" name="Spalte8073"/>
    <tableColumn id="8091" xr3:uid="{4D80BD9D-9E50-43A3-8E0C-89121DE78B83}" name="Spalte8074"/>
    <tableColumn id="8092" xr3:uid="{FD6B733F-7861-42AA-B3F1-E1F4AB8CE0C2}" name="Spalte8075"/>
    <tableColumn id="8093" xr3:uid="{A0C508FE-8720-4C3C-9B0F-0AA1AD9B5931}" name="Spalte8076"/>
    <tableColumn id="8094" xr3:uid="{B488916F-0514-498C-B035-950F06EE382E}" name="Spalte8077"/>
    <tableColumn id="8095" xr3:uid="{9947397D-03BB-4BC0-85B3-09BCEF932368}" name="Spalte8078"/>
    <tableColumn id="8096" xr3:uid="{7851AC89-62F2-4051-9C26-8F2F18D971A9}" name="Spalte8079"/>
    <tableColumn id="8097" xr3:uid="{98687C9A-0F9C-49B8-A990-DF0AED36B545}" name="Spalte8080"/>
    <tableColumn id="8098" xr3:uid="{6812D2CD-296B-4F1E-A1AE-3A3EA600657E}" name="Spalte8081"/>
    <tableColumn id="8099" xr3:uid="{AB93DD8D-C08E-439E-A564-CFFFD09DECBF}" name="Spalte8082"/>
    <tableColumn id="8100" xr3:uid="{CA8E75F0-FFF6-4A33-BAFE-1922633A1334}" name="Spalte8083"/>
    <tableColumn id="8101" xr3:uid="{F3615856-D542-41CE-92CF-7A0BEFB2A296}" name="Spalte8084"/>
    <tableColumn id="8102" xr3:uid="{C9421677-118D-4767-8721-1CD01D3B4188}" name="Spalte8085"/>
    <tableColumn id="8103" xr3:uid="{458C7451-FA90-4A20-BBA5-9B07FA252796}" name="Spalte8086"/>
    <tableColumn id="8104" xr3:uid="{A209BC18-BDB8-4C09-97C4-FDFAEF1ED1D2}" name="Spalte8087"/>
    <tableColumn id="8105" xr3:uid="{6F072E26-140D-4BEF-B4C6-47CED19F9BF4}" name="Spalte8088"/>
    <tableColumn id="8106" xr3:uid="{973EEB52-4510-417E-BE2A-1E7782BD3599}" name="Spalte8089"/>
    <tableColumn id="8107" xr3:uid="{A528C05B-A205-405C-9B00-9CACF692A72B}" name="Spalte8090"/>
    <tableColumn id="8108" xr3:uid="{EE1134E6-8C65-4759-B61D-CACE994A1486}" name="Spalte8091"/>
    <tableColumn id="8109" xr3:uid="{B37895A7-CB40-4BB6-9C5A-9D25D17A5BE3}" name="Spalte8092"/>
    <tableColumn id="8110" xr3:uid="{BEA4D580-2CE8-4993-9D1F-2C7451F1E53C}" name="Spalte8093"/>
    <tableColumn id="8111" xr3:uid="{9985ABD4-39D4-45CC-A188-AB6E3206D0F5}" name="Spalte8094"/>
    <tableColumn id="8112" xr3:uid="{545CE532-3AD8-4F5B-9EBE-584A5E1AE750}" name="Spalte8095"/>
    <tableColumn id="8113" xr3:uid="{16A10AC2-4BA1-4A4D-8B52-5F5E9EBEF26B}" name="Spalte8096"/>
    <tableColumn id="8114" xr3:uid="{E585E309-69CD-4B6D-95AB-F5B558971075}" name="Spalte8097"/>
    <tableColumn id="8115" xr3:uid="{E94F02F9-BAD4-48C5-B09E-186F19B3AAB9}" name="Spalte8098"/>
    <tableColumn id="8116" xr3:uid="{B5BFBE97-1BE6-4B18-8B2F-586D23E0BA6A}" name="Spalte8099"/>
    <tableColumn id="8117" xr3:uid="{AE60A915-68AE-43CA-818D-AAAF7022C5C7}" name="Spalte8100"/>
    <tableColumn id="8118" xr3:uid="{E631C3B4-0326-48E5-81EB-FD5612F86449}" name="Spalte8101"/>
    <tableColumn id="8119" xr3:uid="{8CF31908-57E0-44EC-8371-C4BCBB73927F}" name="Spalte8102"/>
    <tableColumn id="8120" xr3:uid="{3AA83F08-2395-4AC9-8E61-D5369AF801A7}" name="Spalte8103"/>
    <tableColumn id="8121" xr3:uid="{3ABDA78F-26A4-444D-B049-03645266552A}" name="Spalte8104"/>
    <tableColumn id="8122" xr3:uid="{2D635CCA-6623-4BE6-A4E0-C1A61F1D79E9}" name="Spalte8105"/>
    <tableColumn id="8123" xr3:uid="{80A545CD-C6FF-48BF-8F65-00EF295067F8}" name="Spalte8106"/>
    <tableColumn id="8124" xr3:uid="{D8BCC002-701D-4FE5-93B2-D86AEADA0B06}" name="Spalte8107"/>
    <tableColumn id="8125" xr3:uid="{CE4F4804-1B0C-4C97-BCCF-B30604BB6B5A}" name="Spalte8108"/>
    <tableColumn id="8126" xr3:uid="{8AC6AE14-0FCD-4D51-B1A2-D7F395CB0024}" name="Spalte8109"/>
    <tableColumn id="8127" xr3:uid="{B41182A8-EC48-4086-9262-C55E2982C06E}" name="Spalte8110"/>
    <tableColumn id="8128" xr3:uid="{EC808D6F-FDDB-4551-9492-35292DDEC008}" name="Spalte8111"/>
    <tableColumn id="8129" xr3:uid="{50E90A67-9071-4B2D-99E0-DEDAC6A2A12A}" name="Spalte8112"/>
    <tableColumn id="8130" xr3:uid="{C69EF6EA-61FB-4309-A093-8FFFD77D88A9}" name="Spalte8113"/>
    <tableColumn id="8131" xr3:uid="{4FD32D57-5517-4B04-BEBC-E8318C9F7FE3}" name="Spalte8114"/>
    <tableColumn id="8132" xr3:uid="{F8B7271B-0CA8-4B9F-8C49-E303213AF877}" name="Spalte8115"/>
    <tableColumn id="8133" xr3:uid="{52E91296-6106-4AF6-B124-4632C5CA2F6B}" name="Spalte8116"/>
    <tableColumn id="8134" xr3:uid="{5111CABD-AB90-4F8D-950D-936884982413}" name="Spalte8117"/>
    <tableColumn id="8135" xr3:uid="{FE9E2B62-0723-4B82-9981-D62362844D06}" name="Spalte8118"/>
    <tableColumn id="8136" xr3:uid="{0CA20AFF-F855-409E-AC2B-1A553503656D}" name="Spalte8119"/>
    <tableColumn id="8137" xr3:uid="{957FDB75-3C8C-40B3-B348-3FBB9E63FF70}" name="Spalte8120"/>
    <tableColumn id="8138" xr3:uid="{B1A52CE5-90F1-48FC-A901-3015AAB9BC86}" name="Spalte8121"/>
    <tableColumn id="8139" xr3:uid="{D18C6016-808D-409D-A6DA-B73F99A60B7C}" name="Spalte8122"/>
    <tableColumn id="8140" xr3:uid="{49F82B20-055B-4DD8-B836-98A896124591}" name="Spalte8123"/>
    <tableColumn id="8141" xr3:uid="{C3CE8FA7-5A4C-430D-87C6-8D3E65E0D010}" name="Spalte8124"/>
    <tableColumn id="8142" xr3:uid="{9D4DF468-40AD-464E-B0CB-B9C70B9A34CC}" name="Spalte8125"/>
    <tableColumn id="8143" xr3:uid="{7DE58326-CFBD-4A31-A04C-7D1BF421E8E2}" name="Spalte8126"/>
    <tableColumn id="8144" xr3:uid="{1F68A727-4C3D-4719-AEAF-892CD43A7698}" name="Spalte8127"/>
    <tableColumn id="8145" xr3:uid="{F1CC1C4F-02F8-4A37-B22D-29EA93CC64CF}" name="Spalte8128"/>
    <tableColumn id="8146" xr3:uid="{07652611-3974-4C78-8FD4-6B6EB16969F0}" name="Spalte8129"/>
    <tableColumn id="8147" xr3:uid="{499E296C-F020-4648-8855-22E823AE48F3}" name="Spalte8130"/>
    <tableColumn id="8148" xr3:uid="{3D20F90D-B270-4A01-9E54-1EC4C72D06E4}" name="Spalte8131"/>
    <tableColumn id="8149" xr3:uid="{9596649C-9ECA-4901-8303-9E879E4A8AE6}" name="Spalte8132"/>
    <tableColumn id="8150" xr3:uid="{A62B95DB-19E2-409C-9C39-1468C5112A0D}" name="Spalte8133"/>
    <tableColumn id="8151" xr3:uid="{24AACA42-505E-4E55-8B06-250A1CF42626}" name="Spalte8134"/>
    <tableColumn id="8152" xr3:uid="{3B1EEB7B-4600-4AB0-B2E6-0395AB0DBB65}" name="Spalte8135"/>
    <tableColumn id="8153" xr3:uid="{BF804804-9730-4885-BE06-571BB8385CC9}" name="Spalte8136"/>
    <tableColumn id="8154" xr3:uid="{4FBBEA05-4949-46E2-AA71-265E4501C4AD}" name="Spalte8137"/>
    <tableColumn id="8155" xr3:uid="{FF3044D2-F3C3-4B87-BBF8-68549C10C70D}" name="Spalte8138"/>
    <tableColumn id="8156" xr3:uid="{25771683-F4EC-4CA1-BAC6-DDC93ACB5B95}" name="Spalte8139"/>
    <tableColumn id="8157" xr3:uid="{8EE70CF2-25EB-4066-B185-62B2E5CBBA67}" name="Spalte8140"/>
    <tableColumn id="8158" xr3:uid="{C79F9274-B8CE-4F63-80F2-92C76261F477}" name="Spalte8141"/>
    <tableColumn id="8159" xr3:uid="{B000DD29-09FB-4A2F-A7A1-FC413986D783}" name="Spalte8142"/>
    <tableColumn id="8160" xr3:uid="{5BFE5FA9-C78F-4125-8B88-71D9BE797868}" name="Spalte8143"/>
    <tableColumn id="8161" xr3:uid="{B2AE5234-0DDA-4DF2-AC30-529F9C0046C3}" name="Spalte8144"/>
    <tableColumn id="8162" xr3:uid="{2AA9FD47-3D77-4F99-BBCD-4523C2888070}" name="Spalte8145"/>
    <tableColumn id="8163" xr3:uid="{B5E75847-0415-429B-82EC-7E1D788F7E1E}" name="Spalte8146"/>
    <tableColumn id="8164" xr3:uid="{4E8AB271-08B5-42F4-9E68-76AF71D5A647}" name="Spalte8147"/>
    <tableColumn id="8165" xr3:uid="{99B72B1C-3CDF-4DCB-88AF-A1479287AE0B}" name="Spalte8148"/>
    <tableColumn id="8166" xr3:uid="{4CBDC6ED-5989-450A-B072-D09E4F46B93E}" name="Spalte8149"/>
    <tableColumn id="8167" xr3:uid="{049F38FE-1551-49B7-A92F-39B51969CFE3}" name="Spalte8150"/>
    <tableColumn id="8168" xr3:uid="{F317EFF1-7959-41A5-A309-34BDF41B8BB3}" name="Spalte8151"/>
    <tableColumn id="8169" xr3:uid="{ED92C2E1-178A-4BC1-8B5E-DD15C7CEA3C4}" name="Spalte8152"/>
    <tableColumn id="8170" xr3:uid="{83E5ECDC-F191-4E97-8D07-CA051E5424C2}" name="Spalte8153"/>
    <tableColumn id="8171" xr3:uid="{4AB17C0C-904E-4159-9900-E8398E6B24D5}" name="Spalte8154"/>
    <tableColumn id="8172" xr3:uid="{9C0C1169-906A-4FDA-8D24-B887802D09EA}" name="Spalte8155"/>
    <tableColumn id="8173" xr3:uid="{0C2E5FA1-0AF7-41A0-83E9-39701CC7DD54}" name="Spalte8156"/>
    <tableColumn id="8174" xr3:uid="{5A7CD64A-DFF2-42AF-86B0-93DF7E2EA871}" name="Spalte8157"/>
    <tableColumn id="8175" xr3:uid="{B8C85BC9-3F8E-49C3-92AB-DDBB87188BBB}" name="Spalte8158"/>
    <tableColumn id="8176" xr3:uid="{1EA4761F-9938-4BB2-9736-82EB6A8C5ED9}" name="Spalte8159"/>
    <tableColumn id="8177" xr3:uid="{0781110D-8E36-48C6-9F7D-5E6935EC0263}" name="Spalte8160"/>
    <tableColumn id="8178" xr3:uid="{C7BC27CE-F75E-4E49-ABA4-F94EC2E06E64}" name="Spalte8161"/>
    <tableColumn id="8179" xr3:uid="{128BC84E-FEA8-4CBD-A32A-44633DCCAF02}" name="Spalte8162"/>
    <tableColumn id="8180" xr3:uid="{AB5738D6-1CAE-4828-A55D-58EDDD4657F7}" name="Spalte8163"/>
    <tableColumn id="8181" xr3:uid="{4FAAF855-D316-4D8D-A4E2-337D77768E47}" name="Spalte8164"/>
    <tableColumn id="8182" xr3:uid="{B6A750E0-0775-4A1F-8ABC-D8662A631E82}" name="Spalte8165"/>
    <tableColumn id="8183" xr3:uid="{0F3E1191-7826-4D79-89FC-F0F691E3A2C2}" name="Spalte8166"/>
    <tableColumn id="8184" xr3:uid="{57F8EFEC-0E6E-44CC-837F-57DEA27B666F}" name="Spalte8167"/>
    <tableColumn id="8185" xr3:uid="{764BBA84-DF64-432B-8857-DFA958EC31B5}" name="Spalte8168"/>
    <tableColumn id="8186" xr3:uid="{A2F60133-001F-44F2-8CB4-5855C64C22B4}" name="Spalte8169"/>
    <tableColumn id="8187" xr3:uid="{2BA8FFCF-B182-46B1-ABFB-624207FE272E}" name="Spalte8170"/>
    <tableColumn id="8188" xr3:uid="{412C1AFD-BFAD-4BD8-A556-F8339C282FC7}" name="Spalte8171"/>
    <tableColumn id="8189" xr3:uid="{288D6180-F6CE-4FA9-98A2-0263C7E19E97}" name="Spalte8172"/>
    <tableColumn id="8190" xr3:uid="{D66FCC44-146C-456D-ABFC-99F9E2732E8D}" name="Spalte8173"/>
    <tableColumn id="8191" xr3:uid="{9A9ED3F8-B43C-4E87-BDF5-7B06E4071D0D}" name="Spalte8174"/>
    <tableColumn id="8192" xr3:uid="{6C7AC589-5C9D-4D39-A63F-B036A2630523}" name="Spalte8175"/>
    <tableColumn id="8193" xr3:uid="{B0203717-1A15-49FD-B36D-C442F342C26A}" name="Spalte8176"/>
    <tableColumn id="8194" xr3:uid="{FFD114B5-3DFE-4DD6-A7C5-B5382919B877}" name="Spalte8177"/>
    <tableColumn id="8195" xr3:uid="{88359F82-EA12-4C49-9485-F370E8CE6408}" name="Spalte8178"/>
    <tableColumn id="8196" xr3:uid="{115F64F0-7999-4C7B-93EA-4CDB55E19B8B}" name="Spalte8179"/>
    <tableColumn id="8197" xr3:uid="{A91533EC-9E03-4E25-B66E-F35BB403D426}" name="Spalte8180"/>
    <tableColumn id="8198" xr3:uid="{088ED554-B0CD-44C1-BCA8-954261E38004}" name="Spalte8181"/>
    <tableColumn id="8199" xr3:uid="{34F1A541-08C3-40AA-AB1A-9D68513A9A01}" name="Spalte8182"/>
    <tableColumn id="8200" xr3:uid="{2DEB06DC-2F90-413D-9793-B67935930C3B}" name="Spalte8183"/>
    <tableColumn id="8201" xr3:uid="{246482D0-A0D9-46E5-A993-C002FCC6B92F}" name="Spalte8184"/>
    <tableColumn id="8202" xr3:uid="{74B97936-4F13-468F-B4EA-3009E7EC9047}" name="Spalte8185"/>
    <tableColumn id="8203" xr3:uid="{C7FB6427-F5D5-405B-A93E-236502EAC027}" name="Spalte8186"/>
    <tableColumn id="8204" xr3:uid="{7E55161B-850C-43A8-87EE-09B1A9FCC3CE}" name="Spalte8187"/>
    <tableColumn id="8205" xr3:uid="{2BF79419-0EE8-47F4-B75E-10476DEC2514}" name="Spalte8188"/>
    <tableColumn id="8206" xr3:uid="{A56481FD-E6F1-45DD-AE23-6078F11F2A29}" name="Spalte8189"/>
    <tableColumn id="8207" xr3:uid="{138C1348-30C0-4403-A732-76FBE9EEF428}" name="Spalte8190"/>
    <tableColumn id="8208" xr3:uid="{D856F26E-C0DC-4FE5-BA36-68CA5D058019}" name="Spalte8191"/>
    <tableColumn id="8209" xr3:uid="{4315EB19-90D0-4204-AEC9-F2DBA40A9C18}" name="Spalte8192"/>
    <tableColumn id="8210" xr3:uid="{2544D2C0-33A2-4571-BA65-A94656D7CF84}" name="Spalte8193"/>
    <tableColumn id="8211" xr3:uid="{F61BF527-C353-4EFD-9436-3666341443FD}" name="Spalte8194"/>
    <tableColumn id="8212" xr3:uid="{4D2E8342-FF97-4992-BD57-9E71C59EA469}" name="Spalte8195"/>
    <tableColumn id="8213" xr3:uid="{AA59F760-86D2-4B54-8768-99CD85F72C38}" name="Spalte8196"/>
    <tableColumn id="8214" xr3:uid="{4680FEF7-6F8E-4715-BE8F-10B4C2D3D7EC}" name="Spalte8197"/>
    <tableColumn id="8215" xr3:uid="{96CF204C-2C61-4B42-9991-EB7B386251BA}" name="Spalte8198"/>
    <tableColumn id="8216" xr3:uid="{F11132EB-8AC3-4ACA-9AAA-1EA75DC729F5}" name="Spalte8199"/>
    <tableColumn id="8217" xr3:uid="{4A06BCFB-1B88-4352-919F-C80BEB332059}" name="Spalte8200"/>
    <tableColumn id="8218" xr3:uid="{42978F6F-2089-4B91-A59F-877191309C3B}" name="Spalte8201"/>
    <tableColumn id="8219" xr3:uid="{238FBBA1-CD61-45EA-8A59-9C1679BEDD9F}" name="Spalte8202"/>
    <tableColumn id="8220" xr3:uid="{4D90EAC6-72BA-4A05-B2D7-C58AB94B35C6}" name="Spalte8203"/>
    <tableColumn id="8221" xr3:uid="{6EE76080-67BD-4CF4-AFBA-6260AC2B3738}" name="Spalte8204"/>
    <tableColumn id="8222" xr3:uid="{CA312E22-3BEE-41BD-AEBA-84F07B2A73F5}" name="Spalte8205"/>
    <tableColumn id="8223" xr3:uid="{FDED1441-3116-4634-82CB-0E6E8B400A3B}" name="Spalte8206"/>
    <tableColumn id="8224" xr3:uid="{2D6D505C-B1A5-4198-A42F-70AA8E7C7A2A}" name="Spalte8207"/>
    <tableColumn id="8225" xr3:uid="{8A4B9885-3A08-4F00-8056-8561668CD28D}" name="Spalte8208"/>
    <tableColumn id="8226" xr3:uid="{48F41051-4219-4A06-A9D9-C210230BDC7F}" name="Spalte8209"/>
    <tableColumn id="8227" xr3:uid="{A6B66F5F-5647-462F-AB51-F5799C1E266E}" name="Spalte8210"/>
    <tableColumn id="8228" xr3:uid="{CEA29F7F-00E1-4F77-991C-B34C2565C58B}" name="Spalte8211"/>
    <tableColumn id="8229" xr3:uid="{6B8C8264-4DD0-4DBC-99B0-C7D50A3CE179}" name="Spalte8212"/>
    <tableColumn id="8230" xr3:uid="{9AF2F1F6-D1F7-40C4-9AF9-0E394A0FB976}" name="Spalte8213"/>
    <tableColumn id="8231" xr3:uid="{948A4622-FB9F-43B4-AB79-0A9FAD26BBB2}" name="Spalte8214"/>
    <tableColumn id="8232" xr3:uid="{7E023DAE-36AC-4FB5-9E37-13F5EB5F9706}" name="Spalte8215"/>
    <tableColumn id="8233" xr3:uid="{BA0BAD32-50F8-472A-82AF-157BA48049B4}" name="Spalte8216"/>
    <tableColumn id="8234" xr3:uid="{99EE60DB-B912-4EDB-B896-6CDDC89A3D97}" name="Spalte8217"/>
    <tableColumn id="8235" xr3:uid="{2035951F-746B-40CE-BE4D-988889A2276B}" name="Spalte8218"/>
    <tableColumn id="8236" xr3:uid="{5542C5BE-B5DD-4FC0-BE24-8F55F49F7F4E}" name="Spalte8219"/>
    <tableColumn id="8237" xr3:uid="{BA6D2E38-4EE5-49EE-95DC-75D0AD1CF49B}" name="Spalte8220"/>
    <tableColumn id="8238" xr3:uid="{994DFA58-CA63-465E-AF1D-3C99AA1AAC1F}" name="Spalte8221"/>
    <tableColumn id="8239" xr3:uid="{D53BBF70-5162-4609-B0E8-09864DD9262D}" name="Spalte8222"/>
    <tableColumn id="8240" xr3:uid="{F31BDAE8-6275-4552-ADA2-FC4F76B76EB4}" name="Spalte8223"/>
    <tableColumn id="8241" xr3:uid="{342F95A0-D7D4-4ABA-99F7-49B939D92863}" name="Spalte8224"/>
    <tableColumn id="8242" xr3:uid="{8253356D-06F4-4464-B0B2-13C454600F2D}" name="Spalte8225"/>
    <tableColumn id="8243" xr3:uid="{CA25B384-8C9E-4C63-A679-2B13EE94B9A5}" name="Spalte8226"/>
    <tableColumn id="8244" xr3:uid="{E8747F58-49BD-484E-8CAC-9C842A56E549}" name="Spalte8227"/>
    <tableColumn id="8245" xr3:uid="{F1606496-BA02-457E-8F6E-FC013E6C3B12}" name="Spalte8228"/>
    <tableColumn id="8246" xr3:uid="{9AD68767-2F6C-49D6-B866-392563347789}" name="Spalte8229"/>
    <tableColumn id="8247" xr3:uid="{A5077ECB-7CC3-4361-BA57-B3C029CD53AD}" name="Spalte8230"/>
    <tableColumn id="8248" xr3:uid="{16B7C6E3-46B6-4973-B687-942C96774FBE}" name="Spalte8231"/>
    <tableColumn id="8249" xr3:uid="{50562C82-2B27-45DB-A26A-6F5F377D17E3}" name="Spalte8232"/>
    <tableColumn id="8250" xr3:uid="{59107117-D27D-47E0-9D5B-88E5629303FD}" name="Spalte8233"/>
    <tableColumn id="8251" xr3:uid="{1DB25081-F85C-41E1-B5F1-325EFB8764D8}" name="Spalte8234"/>
    <tableColumn id="8252" xr3:uid="{42131EB3-5152-4EAC-A47F-8C89C1092567}" name="Spalte8235"/>
    <tableColumn id="8253" xr3:uid="{4BADC235-2CB7-44DD-A552-45A9B25DB019}" name="Spalte8236"/>
    <tableColumn id="8254" xr3:uid="{86CC5094-EC01-4BCB-A381-093D7C418135}" name="Spalte8237"/>
    <tableColumn id="8255" xr3:uid="{94174763-92E3-464D-82BC-72E3EA2ECBE0}" name="Spalte8238"/>
    <tableColumn id="8256" xr3:uid="{8216489B-EFD6-4FBC-AB57-0BDDF45BE4F1}" name="Spalte8239"/>
    <tableColumn id="8257" xr3:uid="{68C2E566-84ED-4371-B210-57F7E0E6C4BA}" name="Spalte8240"/>
    <tableColumn id="8258" xr3:uid="{D91072CD-F303-44A3-8CB8-AB396A3520E3}" name="Spalte8241"/>
    <tableColumn id="8259" xr3:uid="{8D147449-B0A3-4433-BAB1-99ED8D547D07}" name="Spalte8242"/>
    <tableColumn id="8260" xr3:uid="{E2E951D4-42CB-4F0A-A802-8AA163B21914}" name="Spalte8243"/>
    <tableColumn id="8261" xr3:uid="{25F8B4CF-56D8-4CCB-8EC2-D12B2B8C87D0}" name="Spalte8244"/>
    <tableColumn id="8262" xr3:uid="{18D0702D-3D18-41DB-881D-3B702CDF9E9E}" name="Spalte8245"/>
    <tableColumn id="8263" xr3:uid="{30263FEF-EC58-420F-84C5-B66B4D7CAB26}" name="Spalte8246"/>
    <tableColumn id="8264" xr3:uid="{103AEB83-84E4-4E64-BC8E-1D74D12C4D06}" name="Spalte8247"/>
    <tableColumn id="8265" xr3:uid="{0FE37EFF-038C-4ED7-B769-4181F78EA21C}" name="Spalte8248"/>
    <tableColumn id="8266" xr3:uid="{C33ACC3D-0B45-4EB7-BEB2-3F1735B7AEFD}" name="Spalte8249"/>
    <tableColumn id="8267" xr3:uid="{8F253FE0-0882-4B28-B4DD-2506E3566E6A}" name="Spalte8250"/>
    <tableColumn id="8268" xr3:uid="{5B19AC3F-0F08-4C44-B666-1044104A1BA0}" name="Spalte8251"/>
    <tableColumn id="8269" xr3:uid="{203E037C-AA71-44B1-AF97-E33411739A7D}" name="Spalte8252"/>
    <tableColumn id="8270" xr3:uid="{54677126-952F-49B7-87CA-4E36B061AEFD}" name="Spalte8253"/>
    <tableColumn id="8271" xr3:uid="{2BBEF892-68D0-4E05-AFF7-881E87CD1133}" name="Spalte8254"/>
    <tableColumn id="8272" xr3:uid="{A0ADDA8D-8159-4AFF-AF79-98BDDD2FBFF9}" name="Spalte8255"/>
    <tableColumn id="8273" xr3:uid="{CE5D7FC4-1E47-44D3-9BC9-E0A0F1FB4B4F}" name="Spalte8256"/>
    <tableColumn id="8274" xr3:uid="{3A903C9C-D87C-4149-AB5D-EDC714174151}" name="Spalte8257"/>
    <tableColumn id="8275" xr3:uid="{42069D74-7FDB-484F-BEAF-9DD58AA75139}" name="Spalte8258"/>
    <tableColumn id="8276" xr3:uid="{B7A3353C-433C-4D65-B06D-7A9814FDCB3A}" name="Spalte8259"/>
    <tableColumn id="8277" xr3:uid="{EB85D4C5-9F3C-4E85-83AF-A616A72AAFBE}" name="Spalte8260"/>
    <tableColumn id="8278" xr3:uid="{A527FB66-CB46-4E70-BB39-121BD6FF010A}" name="Spalte8261"/>
    <tableColumn id="8279" xr3:uid="{030582E5-3FC7-48C4-B737-21C069AA17CC}" name="Spalte8262"/>
    <tableColumn id="8280" xr3:uid="{2964C3E6-DAA7-4991-8E7D-EE8E5CA46B24}" name="Spalte8263"/>
    <tableColumn id="8281" xr3:uid="{2247F751-7AA7-4EDC-A290-FAE0EFFA3F94}" name="Spalte8264"/>
    <tableColumn id="8282" xr3:uid="{BE35F7BE-9705-443D-8501-6B4F87A97622}" name="Spalte8265"/>
    <tableColumn id="8283" xr3:uid="{E4FA95B6-396E-4919-81F7-4596CC66DF0C}" name="Spalte8266"/>
    <tableColumn id="8284" xr3:uid="{CD3D6831-66D7-4E04-9940-B8A67CDE3630}" name="Spalte8267"/>
    <tableColumn id="8285" xr3:uid="{6B08B8D5-06A0-4807-9F91-DFB4C945D253}" name="Spalte8268"/>
    <tableColumn id="8286" xr3:uid="{2F244EF0-B702-48C6-8E88-BFF0D49DD1F2}" name="Spalte8269"/>
    <tableColumn id="8287" xr3:uid="{847D44D6-B844-44EB-B925-5BC4B84FD8CC}" name="Spalte8270"/>
    <tableColumn id="8288" xr3:uid="{E821E8BB-1BA1-44FC-A588-0AE46A7AC4A5}" name="Spalte8271"/>
    <tableColumn id="8289" xr3:uid="{1C8206EA-0BB0-4BE0-BFED-F96A1621745C}" name="Spalte8272"/>
    <tableColumn id="8290" xr3:uid="{3271FD3A-FC24-4992-AA01-60F1E51CBD41}" name="Spalte8273"/>
    <tableColumn id="8291" xr3:uid="{94082F68-75B4-4CFE-BAD9-A9583493112D}" name="Spalte8274"/>
    <tableColumn id="8292" xr3:uid="{8C3FAEB6-75AA-4E80-87FE-3ECBCA9D99D7}" name="Spalte8275"/>
    <tableColumn id="8293" xr3:uid="{19A82AC6-F343-407F-BB72-B9C1BCE3189E}" name="Spalte8276"/>
    <tableColumn id="8294" xr3:uid="{565D817A-5462-4FF0-86A4-4472D056EBE2}" name="Spalte8277"/>
    <tableColumn id="8295" xr3:uid="{C9513A85-06EF-4D47-BB25-1FEC50D00E84}" name="Spalte8278"/>
    <tableColumn id="8296" xr3:uid="{3510FB11-6ED8-44D4-AA44-D79A691A0C3F}" name="Spalte8279"/>
    <tableColumn id="8297" xr3:uid="{24486BB6-ED18-4934-B772-1183D6AD0555}" name="Spalte8280"/>
    <tableColumn id="8298" xr3:uid="{FA01622D-463A-4FE7-83D0-C5E39D16D124}" name="Spalte8281"/>
    <tableColumn id="8299" xr3:uid="{1304511F-458C-4F74-A7B8-F990340F322F}" name="Spalte8282"/>
    <tableColumn id="8300" xr3:uid="{1239EB19-1E9D-45C9-844F-046DD0E6FA8E}" name="Spalte8283"/>
    <tableColumn id="8301" xr3:uid="{E931D2F8-596A-4504-A7FF-D4EC4ACFE018}" name="Spalte8284"/>
    <tableColumn id="8302" xr3:uid="{AA968226-4BDB-4C66-9F4C-16A268B2F7A2}" name="Spalte8285"/>
    <tableColumn id="8303" xr3:uid="{3137E78B-FD2E-46E9-A2CB-F434605F4604}" name="Spalte8286"/>
    <tableColumn id="8304" xr3:uid="{6F553D87-AEF8-45A0-8AFC-30629F807B94}" name="Spalte8287"/>
    <tableColumn id="8305" xr3:uid="{94A4AD07-E447-4452-982C-2921B35ECD2F}" name="Spalte8288"/>
    <tableColumn id="8306" xr3:uid="{8E6EC8A1-6CB9-4A41-8592-DEB8E18A4A32}" name="Spalte8289"/>
    <tableColumn id="8307" xr3:uid="{8BA2B02C-E952-4B64-84E0-747F551741BA}" name="Spalte8290"/>
    <tableColumn id="8308" xr3:uid="{FB34E321-38BB-4468-86A3-A66E1407FC9A}" name="Spalte8291"/>
    <tableColumn id="8309" xr3:uid="{31E4A280-F440-43BA-8785-32C46A050BE8}" name="Spalte8292"/>
    <tableColumn id="8310" xr3:uid="{1950BC9F-7DD4-4EED-89BD-313C87E61537}" name="Spalte8293"/>
    <tableColumn id="8311" xr3:uid="{4E421BD4-228C-4E50-AB6D-39FFA245DBA4}" name="Spalte8294"/>
    <tableColumn id="8312" xr3:uid="{9BF63F39-E51C-4E88-9AAC-C2E9AB30548A}" name="Spalte8295"/>
    <tableColumn id="8313" xr3:uid="{96AEF71D-E307-415F-B7FB-29DAC1FE4FE7}" name="Spalte8296"/>
    <tableColumn id="8314" xr3:uid="{72885697-2DC8-4986-82F2-CEC9B8463725}" name="Spalte8297"/>
    <tableColumn id="8315" xr3:uid="{949620F4-EA4C-46DD-A9B4-0E73880043F1}" name="Spalte8298"/>
    <tableColumn id="8316" xr3:uid="{384D4DC2-C8FC-4DE2-8AD7-009E5F570213}" name="Spalte8299"/>
    <tableColumn id="8317" xr3:uid="{BEBD112C-4BF8-4F54-AD84-6CEBE8A1BE3C}" name="Spalte8300"/>
    <tableColumn id="8318" xr3:uid="{9F754D19-1B0F-46D7-B0F2-3ACC78CACB49}" name="Spalte8301"/>
    <tableColumn id="8319" xr3:uid="{AA82DD4F-C480-4962-83EE-32D31E71E07E}" name="Spalte8302"/>
    <tableColumn id="8320" xr3:uid="{5BAB336F-CE6E-438C-9E4B-FA69D9A51DD8}" name="Spalte8303"/>
    <tableColumn id="8321" xr3:uid="{839E6AD2-1534-4502-A207-580590E47913}" name="Spalte8304"/>
    <tableColumn id="8322" xr3:uid="{8E8A82F1-C895-4F1A-82EF-B97C1208D299}" name="Spalte8305"/>
    <tableColumn id="8323" xr3:uid="{2B9F6531-C8E0-4B54-A88B-610A075AA5B3}" name="Spalte8306"/>
    <tableColumn id="8324" xr3:uid="{3450DB38-98E0-4809-8800-B460DEEF3654}" name="Spalte8307"/>
    <tableColumn id="8325" xr3:uid="{94767ADC-93C5-4B92-9218-E2BEC752837E}" name="Spalte8308"/>
    <tableColumn id="8326" xr3:uid="{4A145082-B24E-43E8-B766-F836339D6B75}" name="Spalte8309"/>
    <tableColumn id="8327" xr3:uid="{163C89B2-09C7-42EE-A95B-BE162CA43B14}" name="Spalte8310"/>
    <tableColumn id="8328" xr3:uid="{217C4C23-3FDC-402E-BC43-32AB50471FB1}" name="Spalte8311"/>
    <tableColumn id="8329" xr3:uid="{15E1135A-F7B1-4907-BC42-05A583168FE8}" name="Spalte8312"/>
    <tableColumn id="8330" xr3:uid="{972E8A41-1BC0-4B71-8EE6-F85BC60135E4}" name="Spalte8313"/>
    <tableColumn id="8331" xr3:uid="{61FC3EE0-3EB6-4912-9B9C-DAB3B279DFF0}" name="Spalte8314"/>
    <tableColumn id="8332" xr3:uid="{529FA709-779E-4886-8ABA-29686844C2FA}" name="Spalte8315"/>
    <tableColumn id="8333" xr3:uid="{B052FE68-38B6-4EE6-9A6B-4BC9FDB5313D}" name="Spalte8316"/>
    <tableColumn id="8334" xr3:uid="{98C20E89-5E43-455E-9C60-ECE79F3D42BB}" name="Spalte8317"/>
    <tableColumn id="8335" xr3:uid="{227BAD9A-62EE-4796-8663-DF2179FBDB1B}" name="Spalte8318"/>
    <tableColumn id="8336" xr3:uid="{A15FCAF6-52A4-4FEA-8D7D-7D194E6E487A}" name="Spalte8319"/>
    <tableColumn id="8337" xr3:uid="{50AA0D3B-2266-4681-BC18-BC0F36CE497D}" name="Spalte8320"/>
    <tableColumn id="8338" xr3:uid="{71393FE4-BF11-4647-AA01-716266EFA1E2}" name="Spalte8321"/>
    <tableColumn id="8339" xr3:uid="{F8BF40D5-789A-4B9E-9861-4C651216B437}" name="Spalte8322"/>
    <tableColumn id="8340" xr3:uid="{DA2D183B-C999-4560-A920-783068269C61}" name="Spalte8323"/>
    <tableColumn id="8341" xr3:uid="{18EBD76E-5D89-452B-8631-AE88A52D187F}" name="Spalte8324"/>
    <tableColumn id="8342" xr3:uid="{8AB3EBE3-7A5E-45A6-BB13-2AA79CC018AB}" name="Spalte8325"/>
    <tableColumn id="8343" xr3:uid="{E755A804-36A3-44A8-B562-AE12CB7EDA6F}" name="Spalte8326"/>
    <tableColumn id="8344" xr3:uid="{385BFF66-E227-4087-9421-A85098D41C87}" name="Spalte8327"/>
    <tableColumn id="8345" xr3:uid="{61D64480-678A-4CCF-853D-19E57B1CE761}" name="Spalte8328"/>
    <tableColumn id="8346" xr3:uid="{48AD563A-99D9-4156-A83E-36675D119412}" name="Spalte8329"/>
    <tableColumn id="8347" xr3:uid="{7317D6CA-E456-4C71-87D1-E5C03E7E3170}" name="Spalte8330"/>
    <tableColumn id="8348" xr3:uid="{EC26BD48-2CF7-4FB7-B089-7385AF917968}" name="Spalte8331"/>
    <tableColumn id="8349" xr3:uid="{83527A3B-F884-4724-A36F-BB750C23E890}" name="Spalte8332"/>
    <tableColumn id="8350" xr3:uid="{E1E178C3-E7B5-4940-B756-8184EF757469}" name="Spalte8333"/>
    <tableColumn id="8351" xr3:uid="{9FF0843B-6B19-4FBD-9E81-717AB6D459FA}" name="Spalte8334"/>
    <tableColumn id="8352" xr3:uid="{5394D3C8-6381-4781-B2D6-F8C54F13E77E}" name="Spalte8335"/>
    <tableColumn id="8353" xr3:uid="{690F98B6-9562-4D52-86DE-94835729D1C1}" name="Spalte8336"/>
    <tableColumn id="8354" xr3:uid="{98D285E8-18F5-49A8-B240-F61FB38298E3}" name="Spalte8337"/>
    <tableColumn id="8355" xr3:uid="{3EEB578A-0018-484C-BB2B-63114A9B63D6}" name="Spalte8338"/>
    <tableColumn id="8356" xr3:uid="{C48CC007-7643-4E50-AC70-41BE4007452D}" name="Spalte8339"/>
    <tableColumn id="8357" xr3:uid="{619324B0-559C-43EE-95C2-AC9C69F39FB8}" name="Spalte8340"/>
    <tableColumn id="8358" xr3:uid="{79F92388-F4E5-4D76-BA02-53FAB3D4AF04}" name="Spalte8341"/>
    <tableColumn id="8359" xr3:uid="{770F4DE1-0D21-4DD6-A931-3195981E392A}" name="Spalte8342"/>
    <tableColumn id="8360" xr3:uid="{4C22CF2D-B183-48C6-8CF5-2E88B217C5F8}" name="Spalte8343"/>
    <tableColumn id="8361" xr3:uid="{CB59406D-B82C-4244-8BA4-43D8AC44EE2E}" name="Spalte8344"/>
    <tableColumn id="8362" xr3:uid="{9611A314-7BEA-4F81-964D-608F947784C4}" name="Spalte8345"/>
    <tableColumn id="8363" xr3:uid="{6141742B-287B-42FB-900A-43C6F7E32895}" name="Spalte8346"/>
    <tableColumn id="8364" xr3:uid="{EC3C5F88-67AD-4A9D-A896-0191275D83D0}" name="Spalte8347"/>
    <tableColumn id="8365" xr3:uid="{1E11C4FF-0A8F-4AE9-B801-408C0C4A7C42}" name="Spalte8348"/>
    <tableColumn id="8366" xr3:uid="{93E39966-8A4E-4542-9632-968ED0DA6AE8}" name="Spalte8349"/>
    <tableColumn id="8367" xr3:uid="{C5630632-A7B6-4D7D-85F8-6DE8C06C02A4}" name="Spalte8350"/>
    <tableColumn id="8368" xr3:uid="{08E6B675-43D3-4EC7-95F2-E8EEF9427DE7}" name="Spalte8351"/>
    <tableColumn id="8369" xr3:uid="{7ADAB913-DB59-47FB-97CD-E73101DE0505}" name="Spalte8352"/>
    <tableColumn id="8370" xr3:uid="{D2689587-9ACB-4E1A-8E58-3CE19BF20B68}" name="Spalte8353"/>
    <tableColumn id="8371" xr3:uid="{C1F5594C-15BE-4D5C-9C65-58F58D83CC73}" name="Spalte8354"/>
    <tableColumn id="8372" xr3:uid="{3D8B7B5F-5999-4D94-ADCC-57A6131F1F4F}" name="Spalte8355"/>
    <tableColumn id="8373" xr3:uid="{401D4E13-7955-4E5A-B472-F1516ECA6D1D}" name="Spalte8356"/>
    <tableColumn id="8374" xr3:uid="{149B0D2F-5CB0-4C04-B00E-94C639732980}" name="Spalte8357"/>
    <tableColumn id="8375" xr3:uid="{D1875E70-A88D-409A-B0C9-F2EE6949851D}" name="Spalte8358"/>
    <tableColumn id="8376" xr3:uid="{961DB60E-B4E0-4F9B-AEFE-40D2D98B661F}" name="Spalte8359"/>
    <tableColumn id="8377" xr3:uid="{B7F9B5CC-DC13-420E-861A-62F96879E5A8}" name="Spalte8360"/>
    <tableColumn id="8378" xr3:uid="{259B2AC5-5D16-4CBC-B3C1-533F80037FC8}" name="Spalte8361"/>
    <tableColumn id="8379" xr3:uid="{9A24F72D-7B0A-44F0-A300-DE8A5227303E}" name="Spalte8362"/>
    <tableColumn id="8380" xr3:uid="{25352FBE-220E-466C-AA2F-ED41F4B5CB20}" name="Spalte8363"/>
    <tableColumn id="8381" xr3:uid="{144195D1-9A4E-45C5-A2F4-6184A4B7B027}" name="Spalte8364"/>
    <tableColumn id="8382" xr3:uid="{5937E0E9-FC13-4816-8089-1338D92423D1}" name="Spalte8365"/>
    <tableColumn id="8383" xr3:uid="{DB0C91E1-EF41-4855-BAC3-E31B2EC91ED1}" name="Spalte8366"/>
    <tableColumn id="8384" xr3:uid="{1A9A576B-F071-48F9-80CE-52A98E5D22DB}" name="Spalte8367"/>
    <tableColumn id="8385" xr3:uid="{66DC009D-0B0E-4777-81E8-1F8860A9C286}" name="Spalte8368"/>
    <tableColumn id="8386" xr3:uid="{6D35F6E5-1217-449D-A7EF-E2ABA13415B2}" name="Spalte8369"/>
    <tableColumn id="8387" xr3:uid="{E441ECD0-9965-4ACB-B9F4-808BE37374A6}" name="Spalte8370"/>
    <tableColumn id="8388" xr3:uid="{C9E7A6CF-EA1C-4895-8E20-7367EB5B8DB1}" name="Spalte8371"/>
    <tableColumn id="8389" xr3:uid="{8FB21375-C00D-4604-93FE-4EACE21F8663}" name="Spalte8372"/>
    <tableColumn id="8390" xr3:uid="{FBE24E04-5FD1-4272-A0BC-8FF5CDD363C4}" name="Spalte8373"/>
    <tableColumn id="8391" xr3:uid="{0000B4FC-A75B-44C3-918C-A7BB8C73A323}" name="Spalte8374"/>
    <tableColumn id="8392" xr3:uid="{F429DE37-2920-4965-BD80-E45C92211385}" name="Spalte8375"/>
    <tableColumn id="8393" xr3:uid="{0B42AF57-D1D6-4199-B880-890AAB413315}" name="Spalte8376"/>
    <tableColumn id="8394" xr3:uid="{8B043146-F56F-4275-A37E-D12EFB7C5AE9}" name="Spalte8377"/>
    <tableColumn id="8395" xr3:uid="{D9929F0E-FDB0-4D3D-807C-EF0C132F2D5E}" name="Spalte8378"/>
    <tableColumn id="8396" xr3:uid="{97334954-9456-44BF-BD49-AB89559F06F4}" name="Spalte8379"/>
    <tableColumn id="8397" xr3:uid="{2F536117-8595-4771-A961-DBA807338DF1}" name="Spalte8380"/>
    <tableColumn id="8398" xr3:uid="{35C2EFD8-956C-40E0-BBFE-145682A779A7}" name="Spalte8381"/>
    <tableColumn id="8399" xr3:uid="{4814B114-5EF7-449B-A42F-A0C33E523835}" name="Spalte8382"/>
    <tableColumn id="8400" xr3:uid="{B9B19468-A814-466D-A9B6-29B5DC98D292}" name="Spalte8383"/>
    <tableColumn id="8401" xr3:uid="{6F95D126-8C43-432A-87F5-26F84AF4A1D7}" name="Spalte8384"/>
    <tableColumn id="8402" xr3:uid="{07BAA8C8-AA31-43C6-8255-62A8E7A02F2B}" name="Spalte8385"/>
    <tableColumn id="8403" xr3:uid="{7ACDA13F-9CF3-4632-809E-F4E4DDF134E8}" name="Spalte8386"/>
    <tableColumn id="8404" xr3:uid="{789E70F2-1512-457D-A5CD-5B54F4856AB4}" name="Spalte8387"/>
    <tableColumn id="8405" xr3:uid="{4724F93E-2C72-42EC-822E-334E0B692421}" name="Spalte8388"/>
    <tableColumn id="8406" xr3:uid="{A5B64AD7-7172-4BD5-A496-F9E66AC21EB6}" name="Spalte8389"/>
    <tableColumn id="8407" xr3:uid="{35FD3741-CC3F-4BA3-9E1E-3A51517E7145}" name="Spalte8390"/>
    <tableColumn id="8408" xr3:uid="{0AD22474-2C09-4597-A55F-9968E611B954}" name="Spalte8391"/>
    <tableColumn id="8409" xr3:uid="{5E089E98-1DDF-4B38-A298-7A2F1079CA6D}" name="Spalte8392"/>
    <tableColumn id="8410" xr3:uid="{C6902F22-6445-4F41-B7DA-074408C9445B}" name="Spalte8393"/>
    <tableColumn id="8411" xr3:uid="{ACD900E1-3FB2-4B5E-A431-2A27F620103B}" name="Spalte8394"/>
    <tableColumn id="8412" xr3:uid="{FD529D1D-4002-4945-8C14-EBBE94AB5E8D}" name="Spalte8395"/>
    <tableColumn id="8413" xr3:uid="{503DA066-DF82-4E53-B370-62374D54BBED}" name="Spalte8396"/>
    <tableColumn id="8414" xr3:uid="{4EC3C4B4-A7CE-439C-AC2D-FA2E4F195A18}" name="Spalte8397"/>
    <tableColumn id="8415" xr3:uid="{36B76FEB-B0A9-49DE-83B9-B7BCE4AE9EA7}" name="Spalte8398"/>
    <tableColumn id="8416" xr3:uid="{05FF9061-73A6-49F9-AA90-E6CDE619B986}" name="Spalte8399"/>
    <tableColumn id="8417" xr3:uid="{350A3F5F-0494-401D-A368-5BF2096EB9FD}" name="Spalte8400"/>
    <tableColumn id="8418" xr3:uid="{BE0BD57C-5171-4A9D-81F2-88130D1321B4}" name="Spalte8401"/>
    <tableColumn id="8419" xr3:uid="{329FBDFA-B0CA-40B8-B040-07D9AA7ABDE4}" name="Spalte8402"/>
    <tableColumn id="8420" xr3:uid="{B7C849E7-7FC9-4DA4-AB87-10A69A5AEE6B}" name="Spalte8403"/>
    <tableColumn id="8421" xr3:uid="{0E297245-90C0-4DB4-87AA-FFF64F7ED497}" name="Spalte8404"/>
    <tableColumn id="8422" xr3:uid="{E8D06E48-77D1-400D-8E63-F4455EFB4135}" name="Spalte8405"/>
    <tableColumn id="8423" xr3:uid="{9839D34C-ED76-4123-A88F-AAAC9D1FBF7A}" name="Spalte8406"/>
    <tableColumn id="8424" xr3:uid="{4A590DA4-4D8D-458F-948D-9A651AD0C838}" name="Spalte8407"/>
    <tableColumn id="8425" xr3:uid="{41546E39-9E31-424E-9665-A1B640B1229A}" name="Spalte8408"/>
    <tableColumn id="8426" xr3:uid="{1A772751-1B15-47A3-AB4C-8D107B7DFBF7}" name="Spalte8409"/>
    <tableColumn id="8427" xr3:uid="{37A895AE-A662-4493-A32E-D82BE075C87C}" name="Spalte8410"/>
    <tableColumn id="8428" xr3:uid="{ADAF38C6-3C1B-4F00-8D7B-94B5816081E7}" name="Spalte8411"/>
    <tableColumn id="8429" xr3:uid="{BDD78A4C-11C5-4227-A362-691F84F823EB}" name="Spalte8412"/>
    <tableColumn id="8430" xr3:uid="{365BBCDB-A428-4D41-A266-DDA68094A590}" name="Spalte8413"/>
    <tableColumn id="8431" xr3:uid="{7878974C-93A7-482D-A851-1637DBF18596}" name="Spalte8414"/>
    <tableColumn id="8432" xr3:uid="{D81BD20F-94FA-4A33-84EC-B7759B72DC8B}" name="Spalte8415"/>
    <tableColumn id="8433" xr3:uid="{69F378D2-E5A4-4072-8307-EB797846BB93}" name="Spalte8416"/>
    <tableColumn id="8434" xr3:uid="{A9160BCC-124F-4728-894C-2AD6A7A848AB}" name="Spalte8417"/>
    <tableColumn id="8435" xr3:uid="{3FC490B5-9CEC-406A-A420-B9743C64F3E7}" name="Spalte8418"/>
    <tableColumn id="8436" xr3:uid="{7AA861D9-3B2E-401C-96DF-0FB1F7BC1A3F}" name="Spalte8419"/>
    <tableColumn id="8437" xr3:uid="{35F7E523-A295-4189-A708-C09525C82677}" name="Spalte8420"/>
    <tableColumn id="8438" xr3:uid="{F13CAF7D-DD21-41E1-88B1-8B94F6DA2005}" name="Spalte8421"/>
    <tableColumn id="8439" xr3:uid="{4C45360D-4B5F-4526-A835-F8BC4F18E82A}" name="Spalte8422"/>
    <tableColumn id="8440" xr3:uid="{B478B05A-3A7F-4C1E-8F3E-95DD95F81A21}" name="Spalte8423"/>
    <tableColumn id="8441" xr3:uid="{38D5997D-6E71-4568-9992-62F903C15FC1}" name="Spalte8424"/>
    <tableColumn id="8442" xr3:uid="{79EEFAAD-AF3A-4507-A3AF-786AB96E336A}" name="Spalte8425"/>
    <tableColumn id="8443" xr3:uid="{1FC68714-7D2E-4681-9E76-5B2B43848B2A}" name="Spalte8426"/>
    <tableColumn id="8444" xr3:uid="{157F55F4-9D5C-4A84-8600-3C295B80EBAF}" name="Spalte8427"/>
    <tableColumn id="8445" xr3:uid="{12FD0293-D5ED-4352-99B9-966427000421}" name="Spalte8428"/>
    <tableColumn id="8446" xr3:uid="{B9EABD7E-0225-4F5B-89BE-3DBC1831AAE7}" name="Spalte8429"/>
    <tableColumn id="8447" xr3:uid="{143C407E-0A57-45F0-BA89-BB923E772E26}" name="Spalte8430"/>
    <tableColumn id="8448" xr3:uid="{76DCB7B5-9EA2-42B0-9B3B-FF12DA826C7F}" name="Spalte8431"/>
    <tableColumn id="8449" xr3:uid="{5A19FE0E-DD23-4CA1-BBA1-4AC6CEC3CF66}" name="Spalte8432"/>
    <tableColumn id="8450" xr3:uid="{99C691EE-E163-4CB9-9A13-E0D06C209A55}" name="Spalte8433"/>
    <tableColumn id="8451" xr3:uid="{A60764CE-D3A2-4E26-92EF-F4B4DFAB9EFE}" name="Spalte8434"/>
    <tableColumn id="8452" xr3:uid="{B464491C-C35C-4854-979E-12B397B616A7}" name="Spalte8435"/>
    <tableColumn id="8453" xr3:uid="{B0782855-BF4D-43F9-99F3-3C8EFF3760A6}" name="Spalte8436"/>
    <tableColumn id="8454" xr3:uid="{DDEDE0AD-7D82-4C79-AD14-575759A04BA0}" name="Spalte8437"/>
    <tableColumn id="8455" xr3:uid="{62B78358-D52E-4D55-8C35-327EFB7765AD}" name="Spalte8438"/>
    <tableColumn id="8456" xr3:uid="{283DF338-5540-4CDE-9AF2-99B56C4E4643}" name="Spalte8439"/>
    <tableColumn id="8457" xr3:uid="{E8059900-E3FF-4E97-A32F-A57D330DB1D5}" name="Spalte8440"/>
    <tableColumn id="8458" xr3:uid="{6BE67911-C456-4EBD-881C-633BAE420A88}" name="Spalte8441"/>
    <tableColumn id="8459" xr3:uid="{4D69831F-A994-47AC-B998-63F9C8A23970}" name="Spalte8442"/>
    <tableColumn id="8460" xr3:uid="{92534CD7-CE60-4322-B7AA-AA6635202AD9}" name="Spalte8443"/>
    <tableColumn id="8461" xr3:uid="{F8730840-947D-42DE-AFA2-78AFD1EE8DDF}" name="Spalte8444"/>
    <tableColumn id="8462" xr3:uid="{0EDADD2D-7C10-45F3-B205-487AB859A33A}" name="Spalte8445"/>
    <tableColumn id="8463" xr3:uid="{4D886E29-0736-400E-80E2-82ABF4C14F91}" name="Spalte8446"/>
    <tableColumn id="8464" xr3:uid="{8FCAD0BA-E1D5-4A12-85A7-2A8C0D6F9FDB}" name="Spalte8447"/>
    <tableColumn id="8465" xr3:uid="{DBA4E8ED-1BAB-47F1-8906-102F7D811D4D}" name="Spalte8448"/>
    <tableColumn id="8466" xr3:uid="{25956528-F2CC-4A51-A9A1-57735EFCCAAC}" name="Spalte8449"/>
    <tableColumn id="8467" xr3:uid="{5DA413FE-E7AE-4D29-9EB3-E38A786B63FC}" name="Spalte8450"/>
    <tableColumn id="8468" xr3:uid="{BBC9ED38-BB8B-415F-A82D-24951785380C}" name="Spalte8451"/>
    <tableColumn id="8469" xr3:uid="{AEB32DBC-3C93-491F-B449-9D384BAF7C44}" name="Spalte8452"/>
    <tableColumn id="8470" xr3:uid="{67FF26A1-DE14-44FB-A42B-0B9DC0A15C05}" name="Spalte8453"/>
    <tableColumn id="8471" xr3:uid="{CA98C5EC-288A-4058-8DB2-D375653EC04B}" name="Spalte8454"/>
    <tableColumn id="8472" xr3:uid="{33B106DF-3AC2-4B99-BBF2-BBDDC2A1FF10}" name="Spalte8455"/>
    <tableColumn id="8473" xr3:uid="{A55D1886-8F20-4C21-A75F-2F76D078EF35}" name="Spalte8456"/>
    <tableColumn id="8474" xr3:uid="{7D4A9D78-43A4-4364-B99E-51CBC7FBF2CD}" name="Spalte8457"/>
    <tableColumn id="8475" xr3:uid="{E7BE2EC3-5165-4DED-8E5F-C1079209CAB8}" name="Spalte8458"/>
    <tableColumn id="8476" xr3:uid="{CE31712B-0C23-44E2-8FC1-3F221858EDC1}" name="Spalte8459"/>
    <tableColumn id="8477" xr3:uid="{B84707C5-89DB-40B2-8B57-860D58FA655B}" name="Spalte8460"/>
    <tableColumn id="8478" xr3:uid="{26E0DD43-29AF-4822-B152-A9EC492DD421}" name="Spalte8461"/>
    <tableColumn id="8479" xr3:uid="{4CB4BE39-F15E-434D-85AA-D78251064136}" name="Spalte8462"/>
    <tableColumn id="8480" xr3:uid="{45AA059B-0CFA-4AD2-BE92-39D7C29078A6}" name="Spalte8463"/>
    <tableColumn id="8481" xr3:uid="{B569EB91-5276-4417-AB0F-48A5D6C35CEF}" name="Spalte8464"/>
    <tableColumn id="8482" xr3:uid="{F13F071E-35A7-4E99-AD9D-4B710598F108}" name="Spalte8465"/>
    <tableColumn id="8483" xr3:uid="{428C9D55-CA6B-4172-819B-A5524C149D06}" name="Spalte8466"/>
    <tableColumn id="8484" xr3:uid="{51AEFA7D-908E-4CEF-A2FE-AA03986EED1E}" name="Spalte8467"/>
    <tableColumn id="8485" xr3:uid="{E73E2F18-188B-4F2A-A936-E1B07BB436B4}" name="Spalte8468"/>
    <tableColumn id="8486" xr3:uid="{A6FF4CAC-C6FC-4B3B-8B51-4F9666044AAF}" name="Spalte8469"/>
    <tableColumn id="8487" xr3:uid="{96D9827F-0584-4F7E-A5E7-C3253FB0399E}" name="Spalte8470"/>
    <tableColumn id="8488" xr3:uid="{1C269379-DC19-4989-8088-2A03EA42BAD3}" name="Spalte8471"/>
    <tableColumn id="8489" xr3:uid="{10A7C4F2-59DB-4EA0-856B-82392BD05C74}" name="Spalte8472"/>
    <tableColumn id="8490" xr3:uid="{9EAEAAB9-F537-4E71-A2C8-458412F5FAA1}" name="Spalte8473"/>
    <tableColumn id="8491" xr3:uid="{61F10553-004C-42D8-99B5-92BBA8FECBDA}" name="Spalte8474"/>
    <tableColumn id="8492" xr3:uid="{44228278-3D27-40A8-A8A2-9208EF4B385D}" name="Spalte8475"/>
    <tableColumn id="8493" xr3:uid="{79C51932-2995-492E-8C65-DAA03BAF7269}" name="Spalte8476"/>
    <tableColumn id="8494" xr3:uid="{F28F344F-8493-4926-8DB1-23E0B074CA8A}" name="Spalte8477"/>
    <tableColumn id="8495" xr3:uid="{5CA3C00F-E897-4CB0-8007-6E5989A7116B}" name="Spalte8478"/>
    <tableColumn id="8496" xr3:uid="{8CCA9B22-E476-4AB3-BE98-BC9AAD3670B2}" name="Spalte8479"/>
    <tableColumn id="8497" xr3:uid="{B3E7FF63-2E7A-40D5-8AEC-4C2A3AA65677}" name="Spalte8480"/>
    <tableColumn id="8498" xr3:uid="{C10FD2F1-CB6C-4420-BEC4-F21A5FF18469}" name="Spalte8481"/>
    <tableColumn id="8499" xr3:uid="{EFA4073E-6301-480F-B9FC-CD2C61960BDF}" name="Spalte8482"/>
    <tableColumn id="8500" xr3:uid="{4F6860AF-F93F-42A2-809B-6FD3355AF56C}" name="Spalte8483"/>
    <tableColumn id="8501" xr3:uid="{82CF2CC0-5193-46DA-94D5-916DA03E015A}" name="Spalte8484"/>
    <tableColumn id="8502" xr3:uid="{09C39AC6-77B5-4A80-8E80-02C61B3726CB}" name="Spalte8485"/>
    <tableColumn id="8503" xr3:uid="{C304C72F-877C-44F8-8FDF-F30444A24B81}" name="Spalte8486"/>
    <tableColumn id="8504" xr3:uid="{8C9CCF56-DC36-4984-ACE3-F77731894D3E}" name="Spalte8487"/>
    <tableColumn id="8505" xr3:uid="{2EC4C010-23FE-499C-8335-DFEA51F7B120}" name="Spalte8488"/>
    <tableColumn id="8506" xr3:uid="{5EEA747A-493A-4B16-83E1-F7BA386F09CC}" name="Spalte8489"/>
    <tableColumn id="8507" xr3:uid="{28889606-5D3A-4CB4-AEC1-CFF2FE3B5886}" name="Spalte8490"/>
    <tableColumn id="8508" xr3:uid="{5F7DDE9A-2AA8-48CE-8EF7-02648D3AABBB}" name="Spalte8491"/>
    <tableColumn id="8509" xr3:uid="{678306D9-AD1A-456B-A340-71C4AF935A48}" name="Spalte8492"/>
    <tableColumn id="8510" xr3:uid="{AC86C84B-053F-4E24-9FBB-63B293B2A480}" name="Spalte8493"/>
    <tableColumn id="8511" xr3:uid="{830745AB-3D49-4A6D-A181-8C2D2AB4AC9A}" name="Spalte8494"/>
    <tableColumn id="8512" xr3:uid="{28980F97-01AA-4B23-B89C-27115261CA9E}" name="Spalte8495"/>
    <tableColumn id="8513" xr3:uid="{97E5408D-C3DA-4D8B-943F-A54080991DFC}" name="Spalte8496"/>
    <tableColumn id="8514" xr3:uid="{93407922-BC73-4CD3-9D5F-032EA38ED774}" name="Spalte8497"/>
    <tableColumn id="8515" xr3:uid="{46F3F65D-46F2-4BF4-A115-243D39B55049}" name="Spalte8498"/>
    <tableColumn id="8516" xr3:uid="{6B4666C5-00BC-449D-B95A-7E54E9340AA7}" name="Spalte8499"/>
    <tableColumn id="8517" xr3:uid="{8857C494-D64B-4820-841D-DF778CCC625C}" name="Spalte8500"/>
    <tableColumn id="8518" xr3:uid="{132F7908-52F9-4112-98B9-FFE82202DAB4}" name="Spalte8501"/>
    <tableColumn id="8519" xr3:uid="{10460360-DE43-4877-B2ED-35AE33BD3847}" name="Spalte8502"/>
    <tableColumn id="8520" xr3:uid="{41EA8678-2230-4F0F-8E72-DAEE39CE63FC}" name="Spalte8503"/>
    <tableColumn id="8521" xr3:uid="{B0D3EB0B-FF66-4667-9EC7-661E6E842788}" name="Spalte8504"/>
    <tableColumn id="8522" xr3:uid="{617DE25A-BCE0-46B3-A2A9-36301CE618AC}" name="Spalte8505"/>
    <tableColumn id="8523" xr3:uid="{78B3CA89-1186-4AED-B523-C50671B3250D}" name="Spalte8506"/>
    <tableColumn id="8524" xr3:uid="{102ADABF-EE19-4AF0-9ADF-6FFFC3AF3F68}" name="Spalte8507"/>
    <tableColumn id="8525" xr3:uid="{799D78C2-FB70-43BA-918E-DFE6480B91DC}" name="Spalte8508"/>
    <tableColumn id="8526" xr3:uid="{FBBEAEF8-AE1B-44FE-8CCE-19E2DE3CBC1A}" name="Spalte8509"/>
    <tableColumn id="8527" xr3:uid="{CA1DBEA2-DE15-4DAF-961A-987978A8FA13}" name="Spalte8510"/>
    <tableColumn id="8528" xr3:uid="{BCC41FCD-471C-4AE5-811D-3037E03BD2CC}" name="Spalte8511"/>
    <tableColumn id="8529" xr3:uid="{68F64203-9EA2-4C08-9AC7-A3567B2695F1}" name="Spalte8512"/>
    <tableColumn id="8530" xr3:uid="{2AA13412-A098-4968-B483-7D9613554F48}" name="Spalte8513"/>
    <tableColumn id="8531" xr3:uid="{08717BC3-658D-4067-9F21-190A29B7D880}" name="Spalte8514"/>
    <tableColumn id="8532" xr3:uid="{BE5CA3F4-6F74-44D8-9A42-D4F55EBD2C48}" name="Spalte8515"/>
    <tableColumn id="8533" xr3:uid="{07CA65B8-E863-4A91-B215-73C76CF910F6}" name="Spalte8516"/>
    <tableColumn id="8534" xr3:uid="{BAAC8E1D-F953-4078-8640-136813EF360D}" name="Spalte8517"/>
    <tableColumn id="8535" xr3:uid="{CE18EB32-0412-4DC5-9179-93F03554EBBC}" name="Spalte8518"/>
    <tableColumn id="8536" xr3:uid="{C55541C8-7330-4368-BA2C-AE5DC12B8ABA}" name="Spalte8519"/>
    <tableColumn id="8537" xr3:uid="{E0709E26-AC93-4AA0-93B9-3AC8E9FCE132}" name="Spalte8520"/>
    <tableColumn id="8538" xr3:uid="{2B3BB8C8-7AEB-4682-A2BB-E2626F6DDE25}" name="Spalte8521"/>
    <tableColumn id="8539" xr3:uid="{09EAA61A-1A58-4199-AE71-0E8A22F42ACB}" name="Spalte8522"/>
    <tableColumn id="8540" xr3:uid="{AD3501E4-B95B-4002-91B1-89E562E23293}" name="Spalte8523"/>
    <tableColumn id="8541" xr3:uid="{EB225E4C-76C0-4553-B663-B6CC1799F120}" name="Spalte8524"/>
    <tableColumn id="8542" xr3:uid="{C4F43BCA-A660-4CE2-9EC2-1B03529119DA}" name="Spalte8525"/>
    <tableColumn id="8543" xr3:uid="{D4C2EA85-B421-41FF-91D9-F30C86CF3BEB}" name="Spalte8526"/>
    <tableColumn id="8544" xr3:uid="{71EC1B4A-1552-4E58-BF24-6FAD22B2CBED}" name="Spalte8527"/>
    <tableColumn id="8545" xr3:uid="{6B87F2E4-3B4F-42AF-9258-14F6F2759BA3}" name="Spalte8528"/>
    <tableColumn id="8546" xr3:uid="{B85C32F6-A141-462C-859D-1545CA8AF8FA}" name="Spalte8529"/>
    <tableColumn id="8547" xr3:uid="{26165D66-9A18-40AF-B344-E3E14A192F99}" name="Spalte8530"/>
    <tableColumn id="8548" xr3:uid="{800BD7AB-7A94-473D-AFDB-02F9E1792B53}" name="Spalte8531"/>
    <tableColumn id="8549" xr3:uid="{C2DEA24C-C20A-4750-B1FB-BDE33863AE2D}" name="Spalte8532"/>
    <tableColumn id="8550" xr3:uid="{535C2CB6-3096-48CA-B757-7C9C2F89455C}" name="Spalte8533"/>
    <tableColumn id="8551" xr3:uid="{DB3FFFEF-F888-40A4-9604-67EA505BDA67}" name="Spalte8534"/>
    <tableColumn id="8552" xr3:uid="{0676C07F-C9B0-4489-81FE-1EFA113BF55E}" name="Spalte8535"/>
    <tableColumn id="8553" xr3:uid="{ECE635D1-3831-46B4-BEEA-612BB294CF54}" name="Spalte8536"/>
    <tableColumn id="8554" xr3:uid="{C8F67002-71EF-4822-AE86-DA39EC3B326C}" name="Spalte8537"/>
    <tableColumn id="8555" xr3:uid="{1DF1D1E9-A31F-454E-BC07-5DB241216D60}" name="Spalte8538"/>
    <tableColumn id="8556" xr3:uid="{8EF78362-D288-470F-B012-88B0903F57CC}" name="Spalte8539"/>
    <tableColumn id="8557" xr3:uid="{B3AD79DC-5626-420A-97B9-68807C869C46}" name="Spalte8540"/>
    <tableColumn id="8558" xr3:uid="{87B9302C-A111-4FE5-AF29-678AEA8B3C88}" name="Spalte8541"/>
    <tableColumn id="8559" xr3:uid="{C81B288D-D46B-48C1-8823-6FF6D2CEA733}" name="Spalte8542"/>
    <tableColumn id="8560" xr3:uid="{5384A5CF-4550-45C6-A63D-A0BE48B9BBA3}" name="Spalte8543"/>
    <tableColumn id="8561" xr3:uid="{5AADD7A5-60FD-495B-9C25-7B01B0EEBA54}" name="Spalte8544"/>
    <tableColumn id="8562" xr3:uid="{3DB6E8C3-190F-46CA-926A-7667FB70EA6E}" name="Spalte8545"/>
    <tableColumn id="8563" xr3:uid="{D83807F0-AE5B-43C5-8AE3-9A61391E69D3}" name="Spalte8546"/>
    <tableColumn id="8564" xr3:uid="{66DC07C7-988F-41DD-AB72-08386D7DB97A}" name="Spalte8547"/>
    <tableColumn id="8565" xr3:uid="{4B5DC489-54C2-4B1E-BCAF-5C07BB6731D8}" name="Spalte8548"/>
    <tableColumn id="8566" xr3:uid="{1D88B8C2-8C6A-44CB-B93B-62AE61958D31}" name="Spalte8549"/>
    <tableColumn id="8567" xr3:uid="{67CDFF95-0BA8-4BC4-896C-668ABF14CF40}" name="Spalte8550"/>
    <tableColumn id="8568" xr3:uid="{B49AE284-AFC1-4114-9541-515027EBEC8F}" name="Spalte8551"/>
    <tableColumn id="8569" xr3:uid="{346A22B1-2C2F-4BD1-A8BE-E5159EDE3C59}" name="Spalte8552"/>
    <tableColumn id="8570" xr3:uid="{F2CFCAE0-5C72-4A97-A200-DAE46721A24C}" name="Spalte8553"/>
    <tableColumn id="8571" xr3:uid="{FEF69FD3-2947-446C-9123-D518FA4E16CD}" name="Spalte8554"/>
    <tableColumn id="8572" xr3:uid="{50940D45-D17E-445C-A3AB-0FD7B991EF56}" name="Spalte8555"/>
    <tableColumn id="8573" xr3:uid="{C990D6B6-3264-4814-9169-E42F823AE5B8}" name="Spalte8556"/>
    <tableColumn id="8574" xr3:uid="{F06F0EF2-A008-40A2-A118-41AE0E0D70E0}" name="Spalte8557"/>
    <tableColumn id="8575" xr3:uid="{B9C6A0D8-F404-4772-9F7B-D30F9DC3147A}" name="Spalte8558"/>
    <tableColumn id="8576" xr3:uid="{E388B355-9DFC-4B15-B940-C880E19ADCEA}" name="Spalte8559"/>
    <tableColumn id="8577" xr3:uid="{CEE14A4D-B6D8-4360-BD6A-E54C92284DF9}" name="Spalte8560"/>
    <tableColumn id="8578" xr3:uid="{92C41BA0-BBEC-46CA-BF41-FB58F251553D}" name="Spalte8561"/>
    <tableColumn id="8579" xr3:uid="{9E237205-20E3-43E4-A419-CEA78EDA2589}" name="Spalte8562"/>
    <tableColumn id="8580" xr3:uid="{DDAF27E2-D406-467F-8553-2A1C94507AF1}" name="Spalte8563"/>
    <tableColumn id="8581" xr3:uid="{52EB6E6E-6693-495D-8243-3D42173313F0}" name="Spalte8564"/>
    <tableColumn id="8582" xr3:uid="{89561151-4AB7-400C-97FC-AA9055D6C4C5}" name="Spalte8565"/>
    <tableColumn id="8583" xr3:uid="{1D8919EB-9D3E-40D0-9FFF-44887DF661C4}" name="Spalte8566"/>
    <tableColumn id="8584" xr3:uid="{66CEDEBE-FE1F-4CB0-B37C-370E991FC0B2}" name="Spalte8567"/>
    <tableColumn id="8585" xr3:uid="{BD4321ED-DC16-453F-84A7-FD6858F27F37}" name="Spalte8568"/>
    <tableColumn id="8586" xr3:uid="{3BCB00E9-099C-4D80-B570-3BE706DA17DD}" name="Spalte8569"/>
    <tableColumn id="8587" xr3:uid="{2C736868-81B7-4C91-B6C0-C14CC609D320}" name="Spalte8570"/>
    <tableColumn id="8588" xr3:uid="{9729441C-C3AA-4F21-859A-2AFD7D93DD95}" name="Spalte8571"/>
    <tableColumn id="8589" xr3:uid="{EC90DAD1-DC74-4E41-BB35-F18032ED3081}" name="Spalte8572"/>
    <tableColumn id="8590" xr3:uid="{AB9D1EA6-A263-411E-A762-0CE620E2CA9C}" name="Spalte8573"/>
    <tableColumn id="8591" xr3:uid="{DB767A7C-EFFD-4CBD-9B52-F9C155EC1C20}" name="Spalte8574"/>
    <tableColumn id="8592" xr3:uid="{F7CAC074-1891-4CAE-ABF5-E30EC5598C97}" name="Spalte8575"/>
    <tableColumn id="8593" xr3:uid="{48D25455-C08C-4CEB-A93A-39DF167C98AE}" name="Spalte8576"/>
    <tableColumn id="8594" xr3:uid="{C5E10A0E-50F9-4A1E-AAC4-B160C4A85900}" name="Spalte8577"/>
    <tableColumn id="8595" xr3:uid="{ED344938-A739-4536-AF9F-8D1ACE51ED43}" name="Spalte8578"/>
    <tableColumn id="8596" xr3:uid="{BE4FDE44-E252-4F3D-91F2-BF54A786F7AF}" name="Spalte8579"/>
    <tableColumn id="8597" xr3:uid="{3FC6A47C-4EAF-473F-B640-00C8C35B0359}" name="Spalte8580"/>
    <tableColumn id="8598" xr3:uid="{0C9C76F2-30F9-4EE8-931C-582FCD989194}" name="Spalte8581"/>
    <tableColumn id="8599" xr3:uid="{5F1B1B14-7665-4F02-832F-3384900D878F}" name="Spalte8582"/>
    <tableColumn id="8600" xr3:uid="{9B4ACD5F-DCB8-4895-927F-5BDDB473BE56}" name="Spalte8583"/>
    <tableColumn id="8601" xr3:uid="{6D6B13CC-C868-4048-984E-6B91059484DE}" name="Spalte8584"/>
    <tableColumn id="8602" xr3:uid="{5CFDB328-6390-4212-93A9-CE4E25D392A4}" name="Spalte8585"/>
    <tableColumn id="8603" xr3:uid="{88F4B64D-B67B-4B4D-A074-FE2924E6880B}" name="Spalte8586"/>
    <tableColumn id="8604" xr3:uid="{610FC084-E20C-44C0-9729-2689CE156685}" name="Spalte8587"/>
    <tableColumn id="8605" xr3:uid="{7D5899EB-B1AC-4ACE-B3A1-464E4813F86A}" name="Spalte8588"/>
    <tableColumn id="8606" xr3:uid="{DB3E9DE7-2CAC-45B7-89B9-EAC41CEA4E70}" name="Spalte8589"/>
    <tableColumn id="8607" xr3:uid="{BAF6C772-00D7-489E-9532-32636CA5EB69}" name="Spalte8590"/>
    <tableColumn id="8608" xr3:uid="{B3724B5F-C149-479A-8159-B1BBA8151697}" name="Spalte8591"/>
    <tableColumn id="8609" xr3:uid="{B1A2950D-E50F-44F2-AEBA-586A912E7F33}" name="Spalte8592"/>
    <tableColumn id="8610" xr3:uid="{EF72EA00-0A9E-49DB-859D-1C9481DB18EB}" name="Spalte8593"/>
    <tableColumn id="8611" xr3:uid="{6A8DE87A-B682-4CE4-8FBB-28196316F425}" name="Spalte8594"/>
    <tableColumn id="8612" xr3:uid="{9B093A7F-E3AC-460F-9BEC-A5469CDA0108}" name="Spalte8595"/>
    <tableColumn id="8613" xr3:uid="{50C29422-9243-49B3-957B-2DBD75CBEEC4}" name="Spalte8596"/>
    <tableColumn id="8614" xr3:uid="{DCD05565-46CC-404F-8D02-1388862CEAA5}" name="Spalte8597"/>
    <tableColumn id="8615" xr3:uid="{3A3AE8F5-BC61-4512-8E3E-3F9609FC0B48}" name="Spalte8598"/>
    <tableColumn id="8616" xr3:uid="{6C7D080B-255C-4D2D-8E53-8437568DDF96}" name="Spalte8599"/>
    <tableColumn id="8617" xr3:uid="{6C881572-41AB-4363-9F34-A42A06A7FE3D}" name="Spalte8600"/>
    <tableColumn id="8618" xr3:uid="{2DB70982-6D96-410C-86A3-8C8FF9D64812}" name="Spalte8601"/>
    <tableColumn id="8619" xr3:uid="{C20EAA73-59EC-4CA0-933F-D502C12A2B40}" name="Spalte8602"/>
    <tableColumn id="8620" xr3:uid="{FA3F34D4-9266-4F71-8324-6B2AC8A77717}" name="Spalte8603"/>
    <tableColumn id="8621" xr3:uid="{D78C40AA-F23E-4D36-9B3D-3448646580F5}" name="Spalte8604"/>
    <tableColumn id="8622" xr3:uid="{56635682-C4BC-44BD-81AC-780F85B10DAC}" name="Spalte8605"/>
    <tableColumn id="8623" xr3:uid="{020C64B6-1E2E-49B0-AD60-71BDC96EEFCA}" name="Spalte8606"/>
    <tableColumn id="8624" xr3:uid="{C3DA9979-0893-4AA7-B9B9-1050A3F903D4}" name="Spalte8607"/>
    <tableColumn id="8625" xr3:uid="{6542B9C4-5F03-4B2D-8C38-9E6B8C3BDE4D}" name="Spalte8608"/>
    <tableColumn id="8626" xr3:uid="{3E93C00A-9FDD-4115-86A6-DB62C8150E39}" name="Spalte8609"/>
    <tableColumn id="8627" xr3:uid="{A0699567-40DD-4B60-826E-1332A5D64AAA}" name="Spalte8610"/>
    <tableColumn id="8628" xr3:uid="{12EEAC93-85D7-4AE8-907E-C6CECB79245D}" name="Spalte8611"/>
    <tableColumn id="8629" xr3:uid="{6DB763BF-8F75-48EF-8A74-7455B51E07B1}" name="Spalte8612"/>
    <tableColumn id="8630" xr3:uid="{75878C34-E199-47BD-B5F2-EBE81AF01EA6}" name="Spalte8613"/>
    <tableColumn id="8631" xr3:uid="{2FF8F277-8E91-4E6A-8EA2-7E503E34D0E0}" name="Spalte8614"/>
    <tableColumn id="8632" xr3:uid="{98BFDFD6-388A-4F15-961E-EE3D4392D0F3}" name="Spalte8615"/>
    <tableColumn id="8633" xr3:uid="{EAE3A678-E60D-4A29-8002-8104F04AD5C4}" name="Spalte8616"/>
    <tableColumn id="8634" xr3:uid="{E736940B-C409-4080-AA4D-E26E1DACCB1B}" name="Spalte8617"/>
    <tableColumn id="8635" xr3:uid="{B5D108CC-1534-45FE-89C9-8FEA881DB682}" name="Spalte8618"/>
    <tableColumn id="8636" xr3:uid="{9C28F815-52D8-4B07-AF7F-FF6E445EF4AE}" name="Spalte8619"/>
    <tableColumn id="8637" xr3:uid="{B6964C31-2650-425A-A390-1250D8EF0A61}" name="Spalte8620"/>
    <tableColumn id="8638" xr3:uid="{37A907DF-9ED2-4BDB-92D2-E5021FE42E15}" name="Spalte8621"/>
    <tableColumn id="8639" xr3:uid="{42CC3070-6BB9-4E04-B459-E48E7D4FCF7D}" name="Spalte8622"/>
    <tableColumn id="8640" xr3:uid="{7BB618C2-B3AF-4B59-83F6-83C8A14943FA}" name="Spalte8623"/>
    <tableColumn id="8641" xr3:uid="{5CFAD533-D815-44D7-BADB-084108D61AB1}" name="Spalte8624"/>
    <tableColumn id="8642" xr3:uid="{2F358A38-F364-4BCE-B904-77C7473E6BEB}" name="Spalte8625"/>
    <tableColumn id="8643" xr3:uid="{6EAE705B-3C89-4EC5-9CB3-91ADFD7F0740}" name="Spalte8626"/>
    <tableColumn id="8644" xr3:uid="{88783B6F-1517-4D99-A13F-AC68DA13AD86}" name="Spalte8627"/>
    <tableColumn id="8645" xr3:uid="{9C7F5AF3-839D-4CC9-99CE-93C45EF8C796}" name="Spalte8628"/>
    <tableColumn id="8646" xr3:uid="{FBA7792E-8B31-4384-9A3D-714E3559FA83}" name="Spalte8629"/>
    <tableColumn id="8647" xr3:uid="{DE33CD3F-E3A9-4F93-9A1C-D7064E9BC170}" name="Spalte8630"/>
    <tableColumn id="8648" xr3:uid="{B86EE8CA-A683-4E79-96BC-B45D4AD8FBA0}" name="Spalte8631"/>
    <tableColumn id="8649" xr3:uid="{90FA9925-84BE-4283-B136-C6519790EA08}" name="Spalte8632"/>
    <tableColumn id="8650" xr3:uid="{631A1FEF-01E8-41CE-8182-0CBBE36810FE}" name="Spalte8633"/>
    <tableColumn id="8651" xr3:uid="{8629A292-EEB8-47E0-9FEF-17CFA908A455}" name="Spalte8634"/>
    <tableColumn id="8652" xr3:uid="{2C3618E6-B553-49CE-861A-900AD1256500}" name="Spalte8635"/>
    <tableColumn id="8653" xr3:uid="{143960D2-8748-468A-A2CA-E19C1AA1C71E}" name="Spalte8636"/>
    <tableColumn id="8654" xr3:uid="{E43853C9-4C8E-4D00-8DFB-BBA57D5F9A0E}" name="Spalte8637"/>
    <tableColumn id="8655" xr3:uid="{A92F3842-3975-4A02-AB6B-797EE3E74BAB}" name="Spalte8638"/>
    <tableColumn id="8656" xr3:uid="{5638F287-254A-42E2-BEBF-528A12981134}" name="Spalte8639"/>
    <tableColumn id="8657" xr3:uid="{F68F96B1-B906-43F0-B2B0-40E8E18E7A15}" name="Spalte8640"/>
    <tableColumn id="8658" xr3:uid="{AED361D8-52EA-4046-BF3C-738229A09762}" name="Spalte8641"/>
    <tableColumn id="8659" xr3:uid="{B165F20E-3C2C-491F-B61B-F06F0FC4731E}" name="Spalte8642"/>
    <tableColumn id="8660" xr3:uid="{A5B19D60-D964-4BF0-9F9B-229BC0FDD420}" name="Spalte8643"/>
    <tableColumn id="8661" xr3:uid="{0797AED7-4E89-4BD6-80AB-76B40729535F}" name="Spalte8644"/>
    <tableColumn id="8662" xr3:uid="{BC6C3469-6CA3-4980-8E3E-DE8C7BE322C0}" name="Spalte8645"/>
    <tableColumn id="8663" xr3:uid="{585228D3-4BBE-4526-A0C6-686EC60E086A}" name="Spalte8646"/>
    <tableColumn id="8664" xr3:uid="{8EED8697-D337-4EE8-A5BE-E66237562FA3}" name="Spalte8647"/>
    <tableColumn id="8665" xr3:uid="{7BB23202-B61E-4873-9437-3575F9E68BD2}" name="Spalte8648"/>
    <tableColumn id="8666" xr3:uid="{F1003B05-8887-48E6-8AA8-484091A4B19C}" name="Spalte8649"/>
    <tableColumn id="8667" xr3:uid="{433FDFEF-2618-43CF-B4AF-80D4AD5222C2}" name="Spalte8650"/>
    <tableColumn id="8668" xr3:uid="{90EA395C-22F3-4D48-B637-A7594B00BA51}" name="Spalte8651"/>
    <tableColumn id="8669" xr3:uid="{9494FAA9-A98F-4D83-8D37-C9F7E4F6C89E}" name="Spalte8652"/>
    <tableColumn id="8670" xr3:uid="{B0E6B30F-BC62-42BA-BB23-72EC5C02BAC9}" name="Spalte8653"/>
    <tableColumn id="8671" xr3:uid="{A73D2FC8-69E7-41B3-B54B-9F7C9292FD96}" name="Spalte8654"/>
    <tableColumn id="8672" xr3:uid="{D9F6D9A3-9EB5-4A98-8BCA-DA16CBF6FA7C}" name="Spalte8655"/>
    <tableColumn id="8673" xr3:uid="{A8E2E7BA-9ECD-4F99-A786-1FC2E06F25C7}" name="Spalte8656"/>
    <tableColumn id="8674" xr3:uid="{16682F11-DF93-4F9B-B1CD-1F1B804AB82B}" name="Spalte8657"/>
    <tableColumn id="8675" xr3:uid="{7C8A383C-0E07-42A4-B7D8-777B1CDEA3B2}" name="Spalte8658"/>
    <tableColumn id="8676" xr3:uid="{9D72EEE5-9FE6-43AF-BF29-59A5B5EA6700}" name="Spalte8659"/>
    <tableColumn id="8677" xr3:uid="{AEE3D9AA-70B5-473D-9978-0035914A21D0}" name="Spalte8660"/>
    <tableColumn id="8678" xr3:uid="{26F6D6D4-C6B7-4B69-8003-FB6ABC4338B2}" name="Spalte8661"/>
    <tableColumn id="8679" xr3:uid="{401A90B4-07E7-4D61-BC1D-1152BD8FE89C}" name="Spalte8662"/>
    <tableColumn id="8680" xr3:uid="{F1501FE1-F260-4B80-9747-66FEDE95661A}" name="Spalte8663"/>
    <tableColumn id="8681" xr3:uid="{D915CC46-37F1-4BCA-878D-4C6A5DFF483A}" name="Spalte8664"/>
    <tableColumn id="8682" xr3:uid="{67266F0B-F1E4-454A-A259-8861A0CDBF04}" name="Spalte8665"/>
    <tableColumn id="8683" xr3:uid="{E1FE99C0-BECB-4DA1-8C8B-F37233447E7D}" name="Spalte8666"/>
    <tableColumn id="8684" xr3:uid="{8671A1AB-2653-472D-9F5F-A912743B20C7}" name="Spalte8667"/>
    <tableColumn id="8685" xr3:uid="{38930142-1A86-4FE4-81AE-BA0F18DCE0A6}" name="Spalte8668"/>
    <tableColumn id="8686" xr3:uid="{F5506CE0-FE19-432D-8AB7-103BFDE0D3AE}" name="Spalte8669"/>
    <tableColumn id="8687" xr3:uid="{1339DCD1-89D8-4519-AAD6-7C2448A77E44}" name="Spalte8670"/>
    <tableColumn id="8688" xr3:uid="{EC3A22E5-3F6C-4EDC-8C92-5CC50C916AE7}" name="Spalte8671"/>
    <tableColumn id="8689" xr3:uid="{B89BEDB0-217A-4A3F-8695-D66BBE4CF83E}" name="Spalte8672"/>
    <tableColumn id="8690" xr3:uid="{5FE4AEBD-459A-4AE9-9653-EBA4E919123C}" name="Spalte8673"/>
    <tableColumn id="8691" xr3:uid="{31F59D34-1BFD-494F-8663-5551443843A3}" name="Spalte8674"/>
    <tableColumn id="8692" xr3:uid="{139BFE0B-8A10-47AE-A4BA-98373D42F1F6}" name="Spalte8675"/>
    <tableColumn id="8693" xr3:uid="{C622A6B8-FD6E-4E67-97DF-53DBA633E5C3}" name="Spalte8676"/>
    <tableColumn id="8694" xr3:uid="{2460DFE2-5DE4-4F59-A978-EE35A92E2BA9}" name="Spalte8677"/>
    <tableColumn id="8695" xr3:uid="{FA50D300-591C-4150-A70E-C8139317E62C}" name="Spalte8678"/>
    <tableColumn id="8696" xr3:uid="{39E0BFD3-606B-4A99-A6F7-BC299D0ADD83}" name="Spalte8679"/>
    <tableColumn id="8697" xr3:uid="{7A74041E-922B-4CCA-BEA4-DCDFD98EF1BC}" name="Spalte8680"/>
    <tableColumn id="8698" xr3:uid="{A3730B73-4F6A-4406-A0F2-C4B77B683EAB}" name="Spalte8681"/>
    <tableColumn id="8699" xr3:uid="{EE5B5FEA-59D6-478E-863B-7F05E8062951}" name="Spalte8682"/>
    <tableColumn id="8700" xr3:uid="{D4DD9AE1-1309-45E3-B9B6-39C0EA3D3CA0}" name="Spalte8683"/>
    <tableColumn id="8701" xr3:uid="{2642EEF1-242B-448F-83F7-5C46B09C7957}" name="Spalte8684"/>
    <tableColumn id="8702" xr3:uid="{B076B393-E6F9-4747-8EF5-25556B8A04CA}" name="Spalte8685"/>
    <tableColumn id="8703" xr3:uid="{5EB0AF24-3A97-4A09-A38D-BF12F7A11451}" name="Spalte8686"/>
    <tableColumn id="8704" xr3:uid="{4216816D-E595-45EE-BFB6-A183AB060551}" name="Spalte8687"/>
    <tableColumn id="8705" xr3:uid="{A2EF0D9F-5A45-4177-8B9B-04B4B65FFA5F}" name="Spalte8688"/>
    <tableColumn id="8706" xr3:uid="{94CF602F-9BC9-4EB4-B28E-16BCBA62F338}" name="Spalte8689"/>
    <tableColumn id="8707" xr3:uid="{9E06C58D-D56C-427C-96CB-8924BA0DD0F7}" name="Spalte8690"/>
    <tableColumn id="8708" xr3:uid="{C6AD5848-297F-4777-A822-DE5E1E11C259}" name="Spalte8691"/>
    <tableColumn id="8709" xr3:uid="{FFFD2F6E-A532-4856-9CE4-4049A43ECA2D}" name="Spalte8692"/>
    <tableColumn id="8710" xr3:uid="{60CD1A18-0EF7-4610-9339-A82F27B4E748}" name="Spalte8693"/>
    <tableColumn id="8711" xr3:uid="{AE521BAB-B3A7-4A99-9DE1-A91F36EF9B0D}" name="Spalte8694"/>
    <tableColumn id="8712" xr3:uid="{A5A0643C-6BAB-4BF1-A6C6-1703A2EEDECA}" name="Spalte8695"/>
    <tableColumn id="8713" xr3:uid="{8A16A63F-C11D-4E23-BECE-3E2E01EF69E0}" name="Spalte8696"/>
    <tableColumn id="8714" xr3:uid="{FBB19CAA-A520-4046-BB54-4E8A449794B3}" name="Spalte8697"/>
    <tableColumn id="8715" xr3:uid="{F3CD3DC7-34A6-4DC9-A2B6-3B36E03CCCFD}" name="Spalte8698"/>
    <tableColumn id="8716" xr3:uid="{D5509D12-EC8A-4BB2-811A-5D7F02A6ED43}" name="Spalte8699"/>
    <tableColumn id="8717" xr3:uid="{4EDFD106-2481-401A-8BB7-5A3C71E91A9D}" name="Spalte8700"/>
    <tableColumn id="8718" xr3:uid="{209A8BAE-2987-4651-8443-A98EC9C7725B}" name="Spalte8701"/>
    <tableColumn id="8719" xr3:uid="{9194DBCD-B4EE-4274-A675-579BFD278A4C}" name="Spalte8702"/>
    <tableColumn id="8720" xr3:uid="{CE4EEFD1-8CC0-47C3-9B08-2DF8BF5796ED}" name="Spalte8703"/>
    <tableColumn id="8721" xr3:uid="{8C5C089D-3B1F-4425-A905-BF3192C2AD2A}" name="Spalte8704"/>
    <tableColumn id="8722" xr3:uid="{E6600C08-1058-465A-A906-BB8C6699DC86}" name="Spalte8705"/>
    <tableColumn id="8723" xr3:uid="{6C65DC2A-4E94-4222-82EB-10FBCF02329F}" name="Spalte8706"/>
    <tableColumn id="8724" xr3:uid="{9E5F9E93-A5EC-43CA-A0CC-29EC4A177EA2}" name="Spalte8707"/>
    <tableColumn id="8725" xr3:uid="{C714B3C5-E781-479B-9B57-2AE2E3717148}" name="Spalte8708"/>
    <tableColumn id="8726" xr3:uid="{195AF921-80B8-4277-ABF0-12C0CC823E03}" name="Spalte8709"/>
    <tableColumn id="8727" xr3:uid="{BDE08959-FF8B-4AE3-B3D7-59287526E6EB}" name="Spalte8710"/>
    <tableColumn id="8728" xr3:uid="{E63EA190-1322-4F4D-8F71-4BA911D54940}" name="Spalte8711"/>
    <tableColumn id="8729" xr3:uid="{A64F5019-E6A2-4BED-82F5-076A798DA396}" name="Spalte8712"/>
    <tableColumn id="8730" xr3:uid="{0000037C-3B31-4073-BA48-C78D235E07E9}" name="Spalte8713"/>
    <tableColumn id="8731" xr3:uid="{CEC7862B-E4EC-4C52-89C0-6BC4AEABD0E2}" name="Spalte8714"/>
    <tableColumn id="8732" xr3:uid="{D894148C-69A0-47DD-BAAC-D07469927D1C}" name="Spalte8715"/>
    <tableColumn id="8733" xr3:uid="{EB052AEA-84A9-4823-A4BA-26B23ABED10B}" name="Spalte8716"/>
    <tableColumn id="8734" xr3:uid="{D6D4D4DC-3D39-4FE0-A00F-69F9F4411972}" name="Spalte8717"/>
    <tableColumn id="8735" xr3:uid="{5E8BE77A-3335-47C4-B088-69FB731955CD}" name="Spalte8718"/>
    <tableColumn id="8736" xr3:uid="{EBB22332-73A0-42C9-A615-38E4E6D6B293}" name="Spalte8719"/>
    <tableColumn id="8737" xr3:uid="{7C4A6228-DCEA-435A-9FD2-DC23A854088E}" name="Spalte8720"/>
    <tableColumn id="8738" xr3:uid="{7A2E6027-DA0F-4366-975E-0C48684E82B7}" name="Spalte8721"/>
    <tableColumn id="8739" xr3:uid="{28811129-A1D5-4099-8434-C49B573D1843}" name="Spalte8722"/>
    <tableColumn id="8740" xr3:uid="{93CDD718-6E84-443C-97AC-F3B3790309A3}" name="Spalte8723"/>
    <tableColumn id="8741" xr3:uid="{439284E3-F827-4887-938A-FCBD159A67A4}" name="Spalte8724"/>
    <tableColumn id="8742" xr3:uid="{6748E372-EE39-4555-9001-55BCC4B4CD63}" name="Spalte8725"/>
    <tableColumn id="8743" xr3:uid="{11AA064A-ADED-4ED5-9A3B-9A819363D8C1}" name="Spalte8726"/>
    <tableColumn id="8744" xr3:uid="{C0BF0D84-8E65-416A-9589-568A1E1E8E01}" name="Spalte8727"/>
    <tableColumn id="8745" xr3:uid="{441A0852-27E2-47E0-8596-D1384F2BF8D7}" name="Spalte8728"/>
    <tableColumn id="8746" xr3:uid="{ABB06DAF-3446-43AD-969B-52DBE8E44627}" name="Spalte8729"/>
    <tableColumn id="8747" xr3:uid="{3245AFB4-241B-49D4-8908-5007327B1B28}" name="Spalte8730"/>
    <tableColumn id="8748" xr3:uid="{9AA1BC44-4B7C-49F8-9543-AE3C3475884D}" name="Spalte8731"/>
    <tableColumn id="8749" xr3:uid="{F3625F3D-01DD-4501-A59B-9370EA978ABC}" name="Spalte8732"/>
    <tableColumn id="8750" xr3:uid="{F186ADA2-5307-41DF-A9B0-5E3AE77511F7}" name="Spalte8733"/>
    <tableColumn id="8751" xr3:uid="{0F207443-C5EB-4B01-8786-F52508E7D41C}" name="Spalte8734"/>
    <tableColumn id="8752" xr3:uid="{91DFE751-AB70-4331-8421-2355368165E9}" name="Spalte8735"/>
    <tableColumn id="8753" xr3:uid="{D9AA690F-13BC-4DB0-9023-ADD281282A13}" name="Spalte8736"/>
    <tableColumn id="8754" xr3:uid="{89F50B5D-F102-49ED-B6AF-7B35889E3ECC}" name="Spalte8737"/>
    <tableColumn id="8755" xr3:uid="{2547F597-10BF-4042-88F5-341B2B874BDD}" name="Spalte8738"/>
    <tableColumn id="8756" xr3:uid="{CB583AB6-CA72-47DC-9E63-0BD80C1E941A}" name="Spalte8739"/>
    <tableColumn id="8757" xr3:uid="{58B9BB0B-7D9E-4AE4-A346-5FB7CFA2BB51}" name="Spalte8740"/>
    <tableColumn id="8758" xr3:uid="{2D5EE08E-7813-4984-9918-62ACEBFAE9C1}" name="Spalte8741"/>
    <tableColumn id="8759" xr3:uid="{207B46EA-6749-4713-A888-195B9CB32254}" name="Spalte8742"/>
    <tableColumn id="8760" xr3:uid="{67C87341-8B6C-46DF-B19B-4E6C95F62390}" name="Spalte8743"/>
    <tableColumn id="8761" xr3:uid="{3C39CFE2-AE3E-44FB-9C64-3ABDC448918E}" name="Spalte8744"/>
    <tableColumn id="8762" xr3:uid="{EF0D3E7B-A1E7-4D80-88F6-85DC9FDB605A}" name="Spalte8745"/>
    <tableColumn id="8763" xr3:uid="{C7622CA4-B67A-4B79-9348-40FFC4068833}" name="Spalte8746"/>
    <tableColumn id="8764" xr3:uid="{F6BBAE71-927F-443C-8F1A-F324904A5DAC}" name="Spalte8747"/>
    <tableColumn id="8765" xr3:uid="{383BB63C-AF16-41E6-AA9E-BF63FA1718AC}" name="Spalte8748"/>
    <tableColumn id="8766" xr3:uid="{485D910F-DC58-4FE2-83BA-F126937B364E}" name="Spalte8749"/>
    <tableColumn id="8767" xr3:uid="{10C69673-2516-4957-800E-1022F4771EAF}" name="Spalte8750"/>
    <tableColumn id="8768" xr3:uid="{D1B172B1-86A8-4769-9583-FB77C0573A3A}" name="Spalte8751"/>
    <tableColumn id="8769" xr3:uid="{A0B75FBD-CFFC-4DC7-8210-5005D0483A21}" name="Spalte8752"/>
    <tableColumn id="8770" xr3:uid="{AA6A4487-F8B5-4B02-8E02-16A910E6091A}" name="Spalte8753"/>
    <tableColumn id="8771" xr3:uid="{17E1B75A-9715-42E4-BF1D-F002CC452E45}" name="Spalte8754"/>
    <tableColumn id="8772" xr3:uid="{3A602DD6-287C-4054-8B58-462BE487C920}" name="Spalte8755"/>
    <tableColumn id="8773" xr3:uid="{5ECC5292-16D7-4FD3-9179-9366A3D3CE53}" name="Spalte8756"/>
    <tableColumn id="8774" xr3:uid="{FA8037FD-0B4E-4D51-8D95-0D9C60E04F27}" name="Spalte8757"/>
    <tableColumn id="8775" xr3:uid="{49296715-A9CE-4AF8-942F-02C26084DD3A}" name="Spalte8758"/>
    <tableColumn id="8776" xr3:uid="{C7017E75-268B-46D3-B65B-F10FDCA577C7}" name="Spalte8759"/>
    <tableColumn id="8777" xr3:uid="{FC164972-D66C-4828-8D5B-729379530F4E}" name="Spalte8760"/>
    <tableColumn id="8778" xr3:uid="{EFEB286F-85BD-48FE-AEA6-6CF560F16BFA}" name="Spalte8761"/>
    <tableColumn id="8779" xr3:uid="{B34693C9-5175-4A02-B57A-716A05CA5405}" name="Spalte8762"/>
    <tableColumn id="8780" xr3:uid="{F1CAB919-BC52-4F1C-8CD4-6A5125CC1E25}" name="Spalte8763"/>
    <tableColumn id="8781" xr3:uid="{630C9340-3FFD-43AB-A509-D107509B5EFB}" name="Spalte8764"/>
    <tableColumn id="8782" xr3:uid="{03DA8880-90A3-4346-AD22-504ED33317CC}" name="Spalte8765"/>
    <tableColumn id="8783" xr3:uid="{38C6FEBC-7F49-4813-8683-33B2F0CE5E22}" name="Spalte8766"/>
    <tableColumn id="8784" xr3:uid="{CEBE3366-FF89-4565-B85D-1FB7D37F7598}" name="Spalte8767"/>
    <tableColumn id="8785" xr3:uid="{DDE0C862-6818-4E2C-AD22-64E5A02FA4C0}" name="Spalte8768"/>
    <tableColumn id="8786" xr3:uid="{8DFB465C-3092-417F-8279-532C6636E900}" name="Spalte8769"/>
    <tableColumn id="8787" xr3:uid="{432BF781-DDC9-4908-B04A-22131AD58507}" name="Spalte8770"/>
    <tableColumn id="8788" xr3:uid="{587961CA-6C4A-4197-AD5D-112F959B84F4}" name="Spalte8771"/>
    <tableColumn id="8789" xr3:uid="{1FC98215-3B0B-411E-8C35-B63376FB27ED}" name="Spalte8772"/>
    <tableColumn id="8790" xr3:uid="{E7951971-8BB2-489A-85AD-E1DD815BA12C}" name="Spalte8773"/>
    <tableColumn id="8791" xr3:uid="{A5DCB92A-DC46-46B5-AA83-6B86A6D7026A}" name="Spalte8774"/>
    <tableColumn id="8792" xr3:uid="{199CDF37-7953-4311-80EE-01EDFC3CD59E}" name="Spalte8775"/>
    <tableColumn id="8793" xr3:uid="{9762CDF0-4246-4712-B774-1AE85B5E5AE2}" name="Spalte8776"/>
    <tableColumn id="8794" xr3:uid="{2A6416E3-0AA1-4E6A-8BBF-1F2DDC463FAD}" name="Spalte8777"/>
    <tableColumn id="8795" xr3:uid="{CB389B64-C619-4EB1-9B51-7B571D76F588}" name="Spalte8778"/>
    <tableColumn id="8796" xr3:uid="{C29D75C2-C373-4C22-AD71-C3C96DE444C8}" name="Spalte8779"/>
    <tableColumn id="8797" xr3:uid="{D31B837A-3C17-4935-A43F-49178D990420}" name="Spalte8780"/>
    <tableColumn id="8798" xr3:uid="{AF3841F8-9F3B-40B0-83E0-4A205F02DF8D}" name="Spalte8781"/>
    <tableColumn id="8799" xr3:uid="{D9A5850F-4D35-4D7E-AC36-3FDE8DD7FCAE}" name="Spalte8782"/>
    <tableColumn id="8800" xr3:uid="{4AFDFD60-16E0-4744-B1F9-B8075C826B86}" name="Spalte8783"/>
    <tableColumn id="8801" xr3:uid="{7C9376B8-232D-451A-B2F7-E727CBD1C081}" name="Spalte8784"/>
    <tableColumn id="8802" xr3:uid="{FB149AFC-B23C-463C-B151-A3CEAE392DF6}" name="Spalte8785"/>
    <tableColumn id="8803" xr3:uid="{FBA470BF-AAD2-4865-BD1E-DCF50D0C56E1}" name="Spalte8786"/>
    <tableColumn id="8804" xr3:uid="{E7B71AAB-BFD2-434D-AE90-20EABF92D367}" name="Spalte8787"/>
    <tableColumn id="8805" xr3:uid="{ACBDC833-24BE-4011-A26A-A46F3A305B50}" name="Spalte8788"/>
    <tableColumn id="8806" xr3:uid="{913016C7-77C3-49D1-A4A5-6E3F1286190E}" name="Spalte8789"/>
    <tableColumn id="8807" xr3:uid="{64D2EFA4-7A4D-459C-A763-9B56F99EB043}" name="Spalte8790"/>
    <tableColumn id="8808" xr3:uid="{AFB2164A-7549-4767-A6D1-1CBF389A1E0B}" name="Spalte8791"/>
    <tableColumn id="8809" xr3:uid="{C9E09758-0EEB-4E3C-ABB5-F8CBE1CC49BD}" name="Spalte8792"/>
    <tableColumn id="8810" xr3:uid="{B2162C57-1C52-49E7-8ECF-D218C1D7206F}" name="Spalte8793"/>
    <tableColumn id="8811" xr3:uid="{02E42EFD-743F-47E9-BA00-9D042EC0C69F}" name="Spalte8794"/>
    <tableColumn id="8812" xr3:uid="{4C7D3E5B-7B47-47E1-AA94-16F29D842028}" name="Spalte8795"/>
    <tableColumn id="8813" xr3:uid="{3B3E8645-659D-44D8-9C6B-CDE80DD282FE}" name="Spalte8796"/>
    <tableColumn id="8814" xr3:uid="{6FFDF8A5-C054-4588-90F9-8EA089F23F4F}" name="Spalte8797"/>
    <tableColumn id="8815" xr3:uid="{085177F4-0314-426A-970A-122553EF1DD1}" name="Spalte8798"/>
    <tableColumn id="8816" xr3:uid="{FF29A24B-D8A1-40FD-ACCB-F877C21CF4C9}" name="Spalte8799"/>
    <tableColumn id="8817" xr3:uid="{E9EE2BFF-6B09-422E-B05A-5780B72ACCF1}" name="Spalte8800"/>
    <tableColumn id="8818" xr3:uid="{5B0BB546-F562-4D6F-8961-42F6AC8C99E6}" name="Spalte8801"/>
    <tableColumn id="8819" xr3:uid="{47848B12-46D9-4364-AFCA-CBE900ABB514}" name="Spalte8802"/>
    <tableColumn id="8820" xr3:uid="{F360D8A0-FA92-4515-A71D-251163DC91D8}" name="Spalte8803"/>
    <tableColumn id="8821" xr3:uid="{7413EFCC-7F90-49FE-B607-C666CF4AB846}" name="Spalte8804"/>
    <tableColumn id="8822" xr3:uid="{F38A7CD2-9A83-4644-A10D-3C5CE165C978}" name="Spalte8805"/>
    <tableColumn id="8823" xr3:uid="{D6F3AAE8-FFA0-4DD4-9C50-158C8E9C38B3}" name="Spalte8806"/>
    <tableColumn id="8824" xr3:uid="{C260B50B-8EBB-4F8F-8F3F-E71DF42EFA6A}" name="Spalte8807"/>
    <tableColumn id="8825" xr3:uid="{7FAAD609-2D48-4B07-B231-04D0D27BEFD1}" name="Spalte8808"/>
    <tableColumn id="8826" xr3:uid="{DE6EA426-F048-4D8C-A7D6-22C7BF400210}" name="Spalte8809"/>
    <tableColumn id="8827" xr3:uid="{79470D8B-38AC-4CC1-87FC-2B4FCFF050B1}" name="Spalte8810"/>
    <tableColumn id="8828" xr3:uid="{54DA149D-A130-4C08-B7CA-43F270D54292}" name="Spalte8811"/>
    <tableColumn id="8829" xr3:uid="{A2664138-747A-4B9F-ADCC-23ED9A08F5F9}" name="Spalte8812"/>
    <tableColumn id="8830" xr3:uid="{DFF6639C-4026-4E86-A1B9-5C3BE0D14290}" name="Spalte8813"/>
    <tableColumn id="8831" xr3:uid="{5F24E1EC-A200-4931-BE06-B68F5385DFE1}" name="Spalte8814"/>
    <tableColumn id="8832" xr3:uid="{E648AAA3-F8B2-487A-8DEB-675C042D233D}" name="Spalte8815"/>
    <tableColumn id="8833" xr3:uid="{F4FB0FA8-131C-4477-A5D5-C481DF8066E6}" name="Spalte8816"/>
    <tableColumn id="8834" xr3:uid="{4852F42A-5469-4B4C-832E-0C0980F258FB}" name="Spalte8817"/>
    <tableColumn id="8835" xr3:uid="{9E488E96-B098-455B-97F2-605665F8D9D8}" name="Spalte8818"/>
    <tableColumn id="8836" xr3:uid="{20FD8683-12B3-463E-866C-84C8CDBBBBD9}" name="Spalte8819"/>
    <tableColumn id="8837" xr3:uid="{E2D3AF31-3E3A-4DF9-8228-2E9C7184149F}" name="Spalte8820"/>
    <tableColumn id="8838" xr3:uid="{4B057B7F-7053-4B83-A221-A5F01EB6C1DC}" name="Spalte8821"/>
    <tableColumn id="8839" xr3:uid="{92516922-8F0B-4E9D-8A9E-3992E7490F4A}" name="Spalte8822"/>
    <tableColumn id="8840" xr3:uid="{7E282C49-2186-43DB-B028-1B28122CBE32}" name="Spalte8823"/>
    <tableColumn id="8841" xr3:uid="{9AB55F9D-80C6-4586-AAA3-2F46AD142CB5}" name="Spalte8824"/>
    <tableColumn id="8842" xr3:uid="{DC9EDA3C-A342-49B3-BA0E-63C0F1E8EBF3}" name="Spalte8825"/>
    <tableColumn id="8843" xr3:uid="{BA251940-BA39-45FB-BE15-441B3CD4D2DF}" name="Spalte8826"/>
    <tableColumn id="8844" xr3:uid="{6EA21673-AD84-4BDE-826D-01C5F3A289F9}" name="Spalte8827"/>
    <tableColumn id="8845" xr3:uid="{92F1573C-FA81-48E1-A3B5-1094AF28C220}" name="Spalte8828"/>
    <tableColumn id="8846" xr3:uid="{8D6F63CE-D3FA-43E1-BCD1-C02B7FF9F4EC}" name="Spalte8829"/>
    <tableColumn id="8847" xr3:uid="{9A488AC5-BD80-480A-9D7D-A3FBBB01976C}" name="Spalte8830"/>
    <tableColumn id="8848" xr3:uid="{1D55AA1F-CD51-49E7-BA09-1603AB262BC3}" name="Spalte8831"/>
    <tableColumn id="8849" xr3:uid="{325BCEF4-1096-4F1B-90EA-A5EBCC96A99C}" name="Spalte8832"/>
    <tableColumn id="8850" xr3:uid="{380C910A-C17A-483F-B003-1FD0AD35A446}" name="Spalte8833"/>
    <tableColumn id="8851" xr3:uid="{DF58C7A5-A8C3-4595-A40B-43C6D5968735}" name="Spalte8834"/>
    <tableColumn id="8852" xr3:uid="{90B433F3-9222-424D-9579-BE248555A17F}" name="Spalte8835"/>
    <tableColumn id="8853" xr3:uid="{FB385B31-D7D2-48F1-8D26-FD6AF687946C}" name="Spalte8836"/>
    <tableColumn id="8854" xr3:uid="{3CC08C85-77ED-45A1-B040-BDBE8F955695}" name="Spalte8837"/>
    <tableColumn id="8855" xr3:uid="{07866DF4-33DE-4D0C-931E-4EF1ADC4AA72}" name="Spalte8838"/>
    <tableColumn id="8856" xr3:uid="{1083D48E-3953-490D-AA85-D65DC829356D}" name="Spalte8839"/>
    <tableColumn id="8857" xr3:uid="{079752D1-828E-4C6C-85D9-3710FD836DFD}" name="Spalte8840"/>
    <tableColumn id="8858" xr3:uid="{63CA8865-BB89-4AE7-AA1E-D907751D9A58}" name="Spalte8841"/>
    <tableColumn id="8859" xr3:uid="{2576A9B4-D0DB-458E-A61B-4B931953EAF6}" name="Spalte8842"/>
    <tableColumn id="8860" xr3:uid="{5991FDB0-E023-4FB8-9EE1-0AEBE59E0A61}" name="Spalte8843"/>
    <tableColumn id="8861" xr3:uid="{43E1FDE3-773D-4690-B4AF-0E080979003F}" name="Spalte8844"/>
    <tableColumn id="8862" xr3:uid="{44E4406F-8A5A-4440-9E1D-41E93186E1C5}" name="Spalte8845"/>
    <tableColumn id="8863" xr3:uid="{7AC588C6-1190-412B-8F46-D9EC8D15B754}" name="Spalte8846"/>
    <tableColumn id="8864" xr3:uid="{3BA6EADC-FB65-48E0-A853-3EA8EDB81D98}" name="Spalte8847"/>
    <tableColumn id="8865" xr3:uid="{9B534AAC-F2A7-46A0-BFCD-FB105BC433AE}" name="Spalte8848"/>
    <tableColumn id="8866" xr3:uid="{0A2D506A-71CB-4848-9490-AAC4A3FB9C79}" name="Spalte8849"/>
    <tableColumn id="8867" xr3:uid="{397CB90F-AF1E-464A-93C7-3748594F8BF5}" name="Spalte8850"/>
    <tableColumn id="8868" xr3:uid="{529C025C-1AF1-4CD1-97A9-7ECB379D836F}" name="Spalte8851"/>
    <tableColumn id="8869" xr3:uid="{FEFA59D7-ACE6-452E-9B9F-C184926BAA2F}" name="Spalte8852"/>
    <tableColumn id="8870" xr3:uid="{920AA13B-276F-454A-BC8F-DFE26710480B}" name="Spalte8853"/>
    <tableColumn id="8871" xr3:uid="{E5348347-5D78-4DE7-8C45-0FF2ABDF8A8B}" name="Spalte8854"/>
    <tableColumn id="8872" xr3:uid="{C7C506A2-A60E-4F33-84F7-EBA47902CEFE}" name="Spalte8855"/>
    <tableColumn id="8873" xr3:uid="{72ACD5D5-280A-4BED-89C3-421BE00A4062}" name="Spalte8856"/>
    <tableColumn id="8874" xr3:uid="{F02494F0-690A-42E1-8FE1-3BE0DFC339B0}" name="Spalte8857"/>
    <tableColumn id="8875" xr3:uid="{2AD3FAF3-9F1D-4BD0-8583-DC6B957E04EC}" name="Spalte8858"/>
    <tableColumn id="8876" xr3:uid="{752B5D71-5404-400F-AF39-26F56DD12292}" name="Spalte8859"/>
    <tableColumn id="8877" xr3:uid="{4CD42EF9-35A0-4AD4-9DEB-AC7B99B8704E}" name="Spalte8860"/>
    <tableColumn id="8878" xr3:uid="{11F32173-AD88-486E-9014-92151E431BE4}" name="Spalte8861"/>
    <tableColumn id="8879" xr3:uid="{FF3DFC9C-1B22-46AF-9C9E-2C5E2275149C}" name="Spalte8862"/>
    <tableColumn id="8880" xr3:uid="{46F3AB5B-C35A-46FC-8D9D-1138616C91A3}" name="Spalte8863"/>
    <tableColumn id="8881" xr3:uid="{7BC79EA3-6E2C-40B7-A519-2DCA01D523AC}" name="Spalte8864"/>
    <tableColumn id="8882" xr3:uid="{8E54A854-8289-4A72-94D2-31936638FF4C}" name="Spalte8865"/>
    <tableColumn id="8883" xr3:uid="{6EC69615-900C-4394-8AF9-2671D9F3D32D}" name="Spalte8866"/>
    <tableColumn id="8884" xr3:uid="{2786CD8D-8701-438F-A0D0-DB795438F51D}" name="Spalte8867"/>
    <tableColumn id="8885" xr3:uid="{6BD28968-CE24-4BA7-905E-BECC9EBCBD41}" name="Spalte8868"/>
    <tableColumn id="8886" xr3:uid="{583EB8C7-28FB-466E-AE09-065BC16136E1}" name="Spalte8869"/>
    <tableColumn id="8887" xr3:uid="{30C50251-DD89-492D-9778-E0FE2E187AB7}" name="Spalte8870"/>
    <tableColumn id="8888" xr3:uid="{0DB1CFC5-E2E4-4EC3-826C-9EB434698C8A}" name="Spalte8871"/>
    <tableColumn id="8889" xr3:uid="{E841F4C2-4609-4D22-A225-7E8FB63F18F3}" name="Spalte8872"/>
    <tableColumn id="8890" xr3:uid="{61891A54-DC0B-4FE2-8075-C2ABEFF4F991}" name="Spalte8873"/>
    <tableColumn id="8891" xr3:uid="{8280F5AF-9942-46CA-B9B5-14865E767FD5}" name="Spalte8874"/>
    <tableColumn id="8892" xr3:uid="{8D7075C3-D277-4A41-83B6-8E9BC6F79002}" name="Spalte8875"/>
    <tableColumn id="8893" xr3:uid="{F44F724E-88FB-4059-9B14-F4772CC5F9FE}" name="Spalte8876"/>
    <tableColumn id="8894" xr3:uid="{9037F69D-A191-4748-9F5D-0583C7BC297B}" name="Spalte8877"/>
    <tableColumn id="8895" xr3:uid="{C40D5844-6744-42FA-B608-67B130396D5A}" name="Spalte8878"/>
    <tableColumn id="8896" xr3:uid="{7E5E5EC8-9D06-49C1-BCB4-3836AF0B0FAC}" name="Spalte8879"/>
    <tableColumn id="8897" xr3:uid="{F9357DE8-0627-4599-93D5-B2FFDA3FE868}" name="Spalte8880"/>
    <tableColumn id="8898" xr3:uid="{807C758B-AA1C-4D75-A8D7-B2C52EBA6125}" name="Spalte8881"/>
    <tableColumn id="8899" xr3:uid="{006CD0F1-E2DD-4E82-B818-06473F93A52D}" name="Spalte8882"/>
    <tableColumn id="8900" xr3:uid="{795DFB82-C634-4481-9F66-FD93A668031E}" name="Spalte8883"/>
    <tableColumn id="8901" xr3:uid="{48EE1643-0FA2-4E6A-82AE-1D173ADCFA06}" name="Spalte8884"/>
    <tableColumn id="8902" xr3:uid="{684CB42E-0276-4854-852A-6657E90F68C2}" name="Spalte8885"/>
    <tableColumn id="8903" xr3:uid="{31240322-AA94-4470-8868-869B009B9A8B}" name="Spalte8886"/>
    <tableColumn id="8904" xr3:uid="{C6F54B5E-87A5-43C7-B449-C218F46DE092}" name="Spalte8887"/>
    <tableColumn id="8905" xr3:uid="{651B13E7-ED7A-45F9-A4BF-7052329FA18D}" name="Spalte8888"/>
    <tableColumn id="8906" xr3:uid="{E7336323-0934-474F-BF31-1249A2B96E44}" name="Spalte8889"/>
    <tableColumn id="8907" xr3:uid="{95EA71AF-23D4-4D91-9FB9-02F4B24F53CD}" name="Spalte8890"/>
    <tableColumn id="8908" xr3:uid="{72C32B72-641F-4D9E-9A9E-3072F0FE48EA}" name="Spalte8891"/>
    <tableColumn id="8909" xr3:uid="{2029632E-3A95-4CE1-8E3B-92410E6A6693}" name="Spalte8892"/>
    <tableColumn id="8910" xr3:uid="{07355B76-67FF-4CF1-939C-21929617D93F}" name="Spalte8893"/>
    <tableColumn id="8911" xr3:uid="{5D7D5AAE-4E8C-45DA-85DA-F9F05314689C}" name="Spalte8894"/>
    <tableColumn id="8912" xr3:uid="{D85C02E6-2260-42C2-BB9B-EE30730D398D}" name="Spalte8895"/>
    <tableColumn id="8913" xr3:uid="{2A5FF22D-C7DE-471C-A770-34B394FB81BD}" name="Spalte8896"/>
    <tableColumn id="8914" xr3:uid="{920525DF-EF7A-4914-B6B5-E92CB20980C1}" name="Spalte8897"/>
    <tableColumn id="8915" xr3:uid="{6EA8092D-155F-4175-B986-441CC336FB5F}" name="Spalte8898"/>
    <tableColumn id="8916" xr3:uid="{54F1FA6E-B8F0-468E-B88C-359DFE96E65A}" name="Spalte8899"/>
    <tableColumn id="8917" xr3:uid="{E5D51BEA-A4B7-4324-800B-C2A77EB4325C}" name="Spalte8900"/>
    <tableColumn id="8918" xr3:uid="{8B187108-A130-4C39-9111-066BC8B76D44}" name="Spalte8901"/>
    <tableColumn id="8919" xr3:uid="{B4880A6C-9C57-4FDB-A38A-C15CA67F684D}" name="Spalte8902"/>
    <tableColumn id="8920" xr3:uid="{63FD29A2-6F7E-437F-B2D9-E431EB0C9E13}" name="Spalte8903"/>
    <tableColumn id="8921" xr3:uid="{FCFB3949-C135-4AA3-A59E-D706B2A6606F}" name="Spalte8904"/>
    <tableColumn id="8922" xr3:uid="{BE85BEA0-7479-458D-BE39-B92BD3F0CD4A}" name="Spalte8905"/>
    <tableColumn id="8923" xr3:uid="{13749FC6-44B9-4042-9A87-7E9364A23059}" name="Spalte8906"/>
    <tableColumn id="8924" xr3:uid="{93CA80F4-E759-4F31-9F44-F3ACB02F0118}" name="Spalte8907"/>
    <tableColumn id="8925" xr3:uid="{7EF68F4E-D174-4ADB-A776-4DAA5A69B0B0}" name="Spalte8908"/>
    <tableColumn id="8926" xr3:uid="{513B3866-667B-4A4A-BE68-85B04B40D897}" name="Spalte8909"/>
    <tableColumn id="8927" xr3:uid="{EEC05683-C0AE-4336-BB6E-ABCA02634610}" name="Spalte8910"/>
    <tableColumn id="8928" xr3:uid="{FF052C54-3274-4A68-9050-DB5A0D5AB3DE}" name="Spalte8911"/>
    <tableColumn id="8929" xr3:uid="{A1547EAB-1878-401A-875D-40627FF5B04A}" name="Spalte8912"/>
    <tableColumn id="8930" xr3:uid="{906B7F4D-F886-4EF7-8773-5187AB4644D4}" name="Spalte8913"/>
    <tableColumn id="8931" xr3:uid="{1A3E64D8-285E-4626-B90B-5F3F7DB3944A}" name="Spalte8914"/>
    <tableColumn id="8932" xr3:uid="{A6E90252-13E3-4E58-A4EE-D3C456598334}" name="Spalte8915"/>
    <tableColumn id="8933" xr3:uid="{6630E40D-1019-46F6-8D74-80445E3C582A}" name="Spalte8916"/>
    <tableColumn id="8934" xr3:uid="{333AE1DE-65CE-4650-B069-51A8F5C22A09}" name="Spalte8917"/>
    <tableColumn id="8935" xr3:uid="{CC795EE1-B720-458F-9118-DD423DBEDB0C}" name="Spalte8918"/>
    <tableColumn id="8936" xr3:uid="{2884AA74-B11E-48B4-BAE6-E785A7FBB223}" name="Spalte8919"/>
    <tableColumn id="8937" xr3:uid="{AD47E8B0-8F0A-4CAD-90D9-B551996F5F8D}" name="Spalte8920"/>
    <tableColumn id="8938" xr3:uid="{EDEE28BA-7C9B-446B-B07B-03AC8BCCB225}" name="Spalte8921"/>
    <tableColumn id="8939" xr3:uid="{C612D9B4-F659-45BC-9543-7396B6B45D3C}" name="Spalte8922"/>
    <tableColumn id="8940" xr3:uid="{4864816D-4BB8-4537-AFDD-562FC4A227A9}" name="Spalte8923"/>
    <tableColumn id="8941" xr3:uid="{28530DBC-7B8E-46CC-9D0A-C3E52F164F2F}" name="Spalte8924"/>
    <tableColumn id="8942" xr3:uid="{6FA8D5A7-43E2-4C8D-8D99-610212127DFF}" name="Spalte8925"/>
    <tableColumn id="8943" xr3:uid="{8337F823-62C6-4069-AF47-6F6A95081E19}" name="Spalte8926"/>
    <tableColumn id="8944" xr3:uid="{84C99EE3-7729-4086-8D80-6508391279D2}" name="Spalte8927"/>
    <tableColumn id="8945" xr3:uid="{6CB304E9-92A2-4DF0-BB5C-D6B0E29B4DD4}" name="Spalte8928"/>
    <tableColumn id="8946" xr3:uid="{F0D73364-6A0E-430B-93C5-FE25396CA11B}" name="Spalte8929"/>
    <tableColumn id="8947" xr3:uid="{5CC32427-A15F-48FA-B914-2F4007EC1088}" name="Spalte8930"/>
    <tableColumn id="8948" xr3:uid="{6B240D84-ECCE-4BCF-BF4F-CBA8CEC0DDA4}" name="Spalte8931"/>
    <tableColumn id="8949" xr3:uid="{96003010-B577-4DDD-872E-28F07DCEEFE9}" name="Spalte8932"/>
    <tableColumn id="8950" xr3:uid="{E7FF9B78-9D9E-443D-9DB8-27CB92A935D6}" name="Spalte8933"/>
    <tableColumn id="8951" xr3:uid="{2DE9738C-104C-4038-9737-63266354F7A8}" name="Spalte8934"/>
    <tableColumn id="8952" xr3:uid="{76F8CA53-402D-493F-B834-A5457881A6B6}" name="Spalte8935"/>
    <tableColumn id="8953" xr3:uid="{F23F8730-A650-4740-AE65-62F770F8E1E2}" name="Spalte8936"/>
    <tableColumn id="8954" xr3:uid="{472DFE56-DA1B-427F-A6C5-C95745F7825F}" name="Spalte8937"/>
    <tableColumn id="8955" xr3:uid="{ABEE9E51-5FE7-4CF4-93A0-C268DF3BB0BE}" name="Spalte8938"/>
    <tableColumn id="8956" xr3:uid="{E600DE05-A522-4942-B046-BDAD3AD626E4}" name="Spalte8939"/>
    <tableColumn id="8957" xr3:uid="{06FFDC9F-95C7-439B-9EA1-87DDF76D1E08}" name="Spalte8940"/>
    <tableColumn id="8958" xr3:uid="{7291E571-1F1E-41EB-8338-80E229CDAFCF}" name="Spalte8941"/>
    <tableColumn id="8959" xr3:uid="{7FF0D078-F7F7-4C86-86F4-31100126529A}" name="Spalte8942"/>
    <tableColumn id="8960" xr3:uid="{0EFA4775-3885-43E4-AC67-5BD8DBD0017C}" name="Spalte8943"/>
    <tableColumn id="8961" xr3:uid="{B12FDB06-899D-4E36-879A-12B0E4D83308}" name="Spalte8944"/>
    <tableColumn id="8962" xr3:uid="{84500E9D-0790-4816-BAA9-3A7CFF0B79D4}" name="Spalte8945"/>
    <tableColumn id="8963" xr3:uid="{86D62680-1BD8-4EDA-8373-7DC8587140EB}" name="Spalte8946"/>
    <tableColumn id="8964" xr3:uid="{1D369080-2223-497E-A9C7-A9D246335436}" name="Spalte8947"/>
    <tableColumn id="8965" xr3:uid="{CA78D26B-5CF7-40C6-AE7F-51C9697E6C42}" name="Spalte8948"/>
    <tableColumn id="8966" xr3:uid="{7BCA7AFE-FF17-4753-805A-646A9D7B2DB1}" name="Spalte8949"/>
    <tableColumn id="8967" xr3:uid="{A8476682-0440-4605-9D6A-F1EDFBD93160}" name="Spalte8950"/>
    <tableColumn id="8968" xr3:uid="{D54EB3EE-0C74-49CA-A896-6935044497F8}" name="Spalte8951"/>
    <tableColumn id="8969" xr3:uid="{7129040E-D62F-4B83-95A6-43DADC71555A}" name="Spalte8952"/>
    <tableColumn id="8970" xr3:uid="{9C688080-DFF0-41C9-892C-7B7AC16D933D}" name="Spalte8953"/>
    <tableColumn id="8971" xr3:uid="{EB456E29-FE7B-40CB-B4F8-BB5B4CDDAB70}" name="Spalte8954"/>
    <tableColumn id="8972" xr3:uid="{1F80744B-EB3A-400E-AF15-884B0A5CE04F}" name="Spalte8955"/>
    <tableColumn id="8973" xr3:uid="{C8D758E4-E5E7-4E16-A1D9-6245D87E6048}" name="Spalte8956"/>
    <tableColumn id="8974" xr3:uid="{96C62A06-A483-433A-932A-7AA1823048C0}" name="Spalte8957"/>
    <tableColumn id="8975" xr3:uid="{031A81CE-7F07-4B5C-955C-0B47A4531637}" name="Spalte8958"/>
    <tableColumn id="8976" xr3:uid="{8CAF6383-B4F2-4E71-8479-E06670956F2F}" name="Spalte8959"/>
    <tableColumn id="8977" xr3:uid="{D2B0A11A-6EDC-4D4D-ABA3-D735160BD1BA}" name="Spalte8960"/>
    <tableColumn id="8978" xr3:uid="{EC682F5A-FEAB-47AD-B041-B6A9A47B5E3A}" name="Spalte8961"/>
    <tableColumn id="8979" xr3:uid="{C1A817B9-1EB7-442F-98EA-B6D452D5D194}" name="Spalte8962"/>
    <tableColumn id="8980" xr3:uid="{81F46F68-D1AF-4252-BE40-7DA7DC63BBF1}" name="Spalte8963"/>
    <tableColumn id="8981" xr3:uid="{A5B56BE0-0AC4-4E2E-8656-8118BE457724}" name="Spalte8964"/>
    <tableColumn id="8982" xr3:uid="{085AE82A-5B66-48C9-B7F6-C4675839875E}" name="Spalte8965"/>
    <tableColumn id="8983" xr3:uid="{9CC4A5D2-664C-4E7C-8A18-9DA7590FCD10}" name="Spalte8966"/>
    <tableColumn id="8984" xr3:uid="{4F0D5DC9-80B4-46CA-9238-A72EA41DBAAF}" name="Spalte8967"/>
    <tableColumn id="8985" xr3:uid="{26289735-A45A-49B8-8747-15BFA9A6BCB3}" name="Spalte8968"/>
    <tableColumn id="8986" xr3:uid="{36CFE949-6220-4498-975B-D2422AA29E8D}" name="Spalte8969"/>
    <tableColumn id="8987" xr3:uid="{B208F4F8-F6FD-4770-B05C-2E975239714A}" name="Spalte8970"/>
    <tableColumn id="8988" xr3:uid="{7085C037-EB30-4F70-BF2F-30E54AACCFF8}" name="Spalte8971"/>
    <tableColumn id="8989" xr3:uid="{69D4FBCE-4D67-4BC2-9E3B-ED3DB46EEF01}" name="Spalte8972"/>
    <tableColumn id="8990" xr3:uid="{6FBD9F8B-C02C-4228-9DE9-88C11F6EE793}" name="Spalte8973"/>
    <tableColumn id="8991" xr3:uid="{6236CE8A-756E-4BB8-B3A4-44E7BEAEDDA6}" name="Spalte8974"/>
    <tableColumn id="8992" xr3:uid="{B99C946B-4520-4817-A777-A470B893EB8E}" name="Spalte8975"/>
    <tableColumn id="8993" xr3:uid="{4BF96277-4087-4260-9783-5E79FC161D59}" name="Spalte8976"/>
    <tableColumn id="8994" xr3:uid="{34391D7E-C247-4F6D-BDCF-03377EA16D13}" name="Spalte8977"/>
    <tableColumn id="8995" xr3:uid="{D1185F60-B22B-4908-8EF6-50C8F9C901E7}" name="Spalte8978"/>
    <tableColumn id="8996" xr3:uid="{9371C2AA-1699-4BDD-99B7-6943B2AD442C}" name="Spalte8979"/>
    <tableColumn id="8997" xr3:uid="{A8AD5E88-9509-4BC6-9B60-10111DE0A39B}" name="Spalte8980"/>
    <tableColumn id="8998" xr3:uid="{31B96ED0-950C-4BB2-9908-D34C371540F0}" name="Spalte8981"/>
    <tableColumn id="8999" xr3:uid="{16027929-56A9-4353-865F-2E84BEC0B725}" name="Spalte8982"/>
    <tableColumn id="9000" xr3:uid="{32500AE7-0FB9-49FA-984A-679F5760AD0C}" name="Spalte8983"/>
    <tableColumn id="9001" xr3:uid="{71AF7C69-273A-41B8-B709-654BF0B88F35}" name="Spalte8984"/>
    <tableColumn id="9002" xr3:uid="{111DF4F0-B691-4290-96EE-19195870494A}" name="Spalte8985"/>
    <tableColumn id="9003" xr3:uid="{C2B07197-6D4A-43E0-B4A7-807F68E58EE2}" name="Spalte8986"/>
    <tableColumn id="9004" xr3:uid="{9CE6DA2A-F71E-4F25-B2EF-62DB9B536AD1}" name="Spalte8987"/>
    <tableColumn id="9005" xr3:uid="{0E356E0D-3E78-4894-AD0A-E3FA5ACD5DED}" name="Spalte8988"/>
    <tableColumn id="9006" xr3:uid="{F512405A-B273-45C9-BB48-4B8E59629E21}" name="Spalte8989"/>
    <tableColumn id="9007" xr3:uid="{1B45D63F-1842-487D-86AB-53758EAAE059}" name="Spalte8990"/>
    <tableColumn id="9008" xr3:uid="{C5F6C0F9-3FB1-43BE-B63E-5A1518C25A94}" name="Spalte8991"/>
    <tableColumn id="9009" xr3:uid="{B7EF8F4A-91D5-4DB6-AC37-02104EFCD8D1}" name="Spalte8992"/>
    <tableColumn id="9010" xr3:uid="{2FF8923A-CBDF-4C15-BE5A-E39FCE90327D}" name="Spalte8993"/>
    <tableColumn id="9011" xr3:uid="{0F985AB4-CC62-4B77-B0D3-3406C5B30936}" name="Spalte8994"/>
    <tableColumn id="9012" xr3:uid="{739F511D-1757-4C48-9100-35817F96D7C2}" name="Spalte8995"/>
    <tableColumn id="9013" xr3:uid="{8AB721F1-37B1-44DF-B188-A4AB63732960}" name="Spalte8996"/>
    <tableColumn id="9014" xr3:uid="{31F87B11-679B-4233-89AF-CDA4DF95B434}" name="Spalte8997"/>
    <tableColumn id="9015" xr3:uid="{2D6E136D-34B7-4B41-911D-A49AD2A22501}" name="Spalte8998"/>
    <tableColumn id="9016" xr3:uid="{8CEB5B68-AD00-4312-BC4D-6711D131038A}" name="Spalte8999"/>
    <tableColumn id="9017" xr3:uid="{F42400D6-6787-4058-8BE0-0DA3F211546A}" name="Spalte9000"/>
    <tableColumn id="9018" xr3:uid="{AA630E49-B601-4BE3-B3A2-26BDEC8D3D32}" name="Spalte9001"/>
    <tableColumn id="9019" xr3:uid="{549AE1BC-F229-4DCA-972D-7CB7C124A7A3}" name="Spalte9002"/>
    <tableColumn id="9020" xr3:uid="{F40E24A3-0243-41D2-BA9E-64CFCE83B91F}" name="Spalte9003"/>
    <tableColumn id="9021" xr3:uid="{DCF90FBB-67C8-4D73-8FB2-B6AEF866D72B}" name="Spalte9004"/>
    <tableColumn id="9022" xr3:uid="{9D5A574D-2411-4ECF-9209-81F59DDD9E7A}" name="Spalte9005"/>
    <tableColumn id="9023" xr3:uid="{9C700AA6-B0EB-46A8-99EA-543354F42B73}" name="Spalte9006"/>
    <tableColumn id="9024" xr3:uid="{5B339B6B-1448-4590-AD81-754110FB1DBF}" name="Spalte9007"/>
    <tableColumn id="9025" xr3:uid="{60D38F3B-DA7F-482B-B386-216247D610B3}" name="Spalte9008"/>
    <tableColumn id="9026" xr3:uid="{699C691D-B26E-4047-86AA-6F74906C6177}" name="Spalte9009"/>
    <tableColumn id="9027" xr3:uid="{DB3E8847-A674-4BDB-BC3E-B92D68184469}" name="Spalte9010"/>
    <tableColumn id="9028" xr3:uid="{71D049C7-5852-4E6D-B3E5-12960C116B0C}" name="Spalte9011"/>
    <tableColumn id="9029" xr3:uid="{CB7DC5E8-10C9-4D0E-B60C-BACF88FFEB77}" name="Spalte9012"/>
    <tableColumn id="9030" xr3:uid="{A790E81C-72DD-4A2A-8F14-B1BC0354ADBE}" name="Spalte9013"/>
    <tableColumn id="9031" xr3:uid="{C3EA8467-8B03-457D-B4D9-2FEBBBD9D9FE}" name="Spalte9014"/>
    <tableColumn id="9032" xr3:uid="{9DFD71FA-94CF-4B45-9FDD-03CF980E430E}" name="Spalte9015"/>
    <tableColumn id="9033" xr3:uid="{704FEE0F-D089-4C92-8B0F-22CB308024C1}" name="Spalte9016"/>
    <tableColumn id="9034" xr3:uid="{3DF5E42C-E9A6-42DA-81C9-823629249F06}" name="Spalte9017"/>
    <tableColumn id="9035" xr3:uid="{C574C904-3BBA-4505-9D3A-C61E627FECA8}" name="Spalte9018"/>
    <tableColumn id="9036" xr3:uid="{051CF7E5-FBF0-4B3D-B9BB-8B2543101DA7}" name="Spalte9019"/>
    <tableColumn id="9037" xr3:uid="{89EE01D2-98F0-4C9D-97BC-BB84ADC458DF}" name="Spalte9020"/>
    <tableColumn id="9038" xr3:uid="{76074C8C-FD8B-49D9-AC3A-7BE3701C2344}" name="Spalte9021"/>
    <tableColumn id="9039" xr3:uid="{D5AF3189-0044-48A8-8C3E-2A3D648FF5ED}" name="Spalte9022"/>
    <tableColumn id="9040" xr3:uid="{6AF1A3DD-2655-4E9C-9174-3691489DEE76}" name="Spalte9023"/>
    <tableColumn id="9041" xr3:uid="{35F1790F-E333-4F03-8420-EF9A6ED722A1}" name="Spalte9024"/>
    <tableColumn id="9042" xr3:uid="{126126EB-72E4-4032-912C-E11495B6E697}" name="Spalte9025"/>
    <tableColumn id="9043" xr3:uid="{1866903F-5A7D-4859-A7F3-D1849CD75B46}" name="Spalte9026"/>
    <tableColumn id="9044" xr3:uid="{F2565D73-FC99-4261-9752-B36BF32427DC}" name="Spalte9027"/>
    <tableColumn id="9045" xr3:uid="{B5C6FA0E-A9F4-4F8C-AE22-2BCF44D8F430}" name="Spalte9028"/>
    <tableColumn id="9046" xr3:uid="{54019E1A-FCAB-48C6-A715-936B09D36B44}" name="Spalte9029"/>
    <tableColumn id="9047" xr3:uid="{4B3FEE91-0BB2-4C65-91BB-9502C8C3B9E5}" name="Spalte9030"/>
    <tableColumn id="9048" xr3:uid="{C1561551-B180-4D7E-BCE2-A1FF2A17E483}" name="Spalte9031"/>
    <tableColumn id="9049" xr3:uid="{279EDB42-FBD9-425D-8F7A-622AF72C4BB2}" name="Spalte9032"/>
    <tableColumn id="9050" xr3:uid="{4B170620-200B-475A-B909-277D8070E5C2}" name="Spalte9033"/>
    <tableColumn id="9051" xr3:uid="{CECBA91F-BED4-46AC-B6FD-6DF0A917591A}" name="Spalte9034"/>
    <tableColumn id="9052" xr3:uid="{C30C13C7-47A8-496E-80B2-F816C0AA3DDC}" name="Spalte9035"/>
    <tableColumn id="9053" xr3:uid="{EECCE57B-E070-4946-BF95-2DD01943D954}" name="Spalte9036"/>
    <tableColumn id="9054" xr3:uid="{DD0D22F5-E298-41BB-A1B3-0343CBC25AD2}" name="Spalte9037"/>
    <tableColumn id="9055" xr3:uid="{54DBB17F-6801-41D8-96AA-DBE9835E3552}" name="Spalte9038"/>
    <tableColumn id="9056" xr3:uid="{67FA2912-F70A-4E70-8B5B-0360B35DBDF6}" name="Spalte9039"/>
    <tableColumn id="9057" xr3:uid="{1387AB1F-B98B-442F-806B-B0A7EDB6EC9A}" name="Spalte9040"/>
    <tableColumn id="9058" xr3:uid="{EEB7C976-206E-4161-B8DE-788DD5036AC9}" name="Spalte9041"/>
    <tableColumn id="9059" xr3:uid="{E79D6059-D137-452F-BBF4-C353C6A79A8C}" name="Spalte9042"/>
    <tableColumn id="9060" xr3:uid="{7FA504DA-50D8-4132-8EBF-486E0A8F26D3}" name="Spalte9043"/>
    <tableColumn id="9061" xr3:uid="{00E64FB2-2DA1-4C48-B03D-19B48436C8D2}" name="Spalte9044"/>
    <tableColumn id="9062" xr3:uid="{13B4A6D4-A1B9-43A1-A479-3D9371A28D16}" name="Spalte9045"/>
    <tableColumn id="9063" xr3:uid="{37A3EB31-7B9E-42EB-A782-5F6B00B1CF0A}" name="Spalte9046"/>
    <tableColumn id="9064" xr3:uid="{4CDBD01C-8F95-405D-B210-8C135B019F50}" name="Spalte9047"/>
    <tableColumn id="9065" xr3:uid="{ACAC1EFF-D636-464E-AA84-D7A35F34A358}" name="Spalte9048"/>
    <tableColumn id="9066" xr3:uid="{DED20DEC-6274-494B-A62B-1A3185236F1A}" name="Spalte9049"/>
    <tableColumn id="9067" xr3:uid="{DBDE9784-66C1-40A3-B2AA-F88E921FC133}" name="Spalte9050"/>
    <tableColumn id="9068" xr3:uid="{AE48A3C6-1CCA-4DFD-BEFD-787F99CC75B6}" name="Spalte9051"/>
    <tableColumn id="9069" xr3:uid="{5F253DB4-4C31-4426-A71E-EFAB22B47221}" name="Spalte9052"/>
    <tableColumn id="9070" xr3:uid="{C82E1CF9-C351-474C-A9DE-F661F7F122BC}" name="Spalte9053"/>
    <tableColumn id="9071" xr3:uid="{319FE75D-4138-4B35-9700-98B355FBB1B8}" name="Spalte9054"/>
    <tableColumn id="9072" xr3:uid="{C5F3DE60-26AF-48A5-A42B-71E82D9356CC}" name="Spalte9055"/>
    <tableColumn id="9073" xr3:uid="{52A82E27-882F-4928-BE81-B6AE0B2AE576}" name="Spalte9056"/>
    <tableColumn id="9074" xr3:uid="{2F271A7C-74F6-4CF5-8481-1991249771E7}" name="Spalte9057"/>
    <tableColumn id="9075" xr3:uid="{CF258A1C-DC55-4CC6-82DD-97BED2B3C2B6}" name="Spalte9058"/>
    <tableColumn id="9076" xr3:uid="{62CB0569-9236-4D17-8CFB-034F0B93D8EA}" name="Spalte9059"/>
    <tableColumn id="9077" xr3:uid="{9AB40A90-8522-44A2-9792-3E6BEAAACD56}" name="Spalte9060"/>
    <tableColumn id="9078" xr3:uid="{C76A4C68-EBE1-4944-A1BD-7DF4A45C0DC9}" name="Spalte9061"/>
    <tableColumn id="9079" xr3:uid="{C7F5F158-D20F-4E78-9129-A9E3467BAE63}" name="Spalte9062"/>
    <tableColumn id="9080" xr3:uid="{777B9D8D-C195-4D9A-BB11-A79C6C96C64B}" name="Spalte9063"/>
    <tableColumn id="9081" xr3:uid="{0357B738-141A-4156-A533-B0F83C38DA7F}" name="Spalte9064"/>
    <tableColumn id="9082" xr3:uid="{51F91AE0-B43F-4948-BA30-210897F134F6}" name="Spalte9065"/>
    <tableColumn id="9083" xr3:uid="{A8651004-A22E-4F13-A4DB-1C1F54A1EF02}" name="Spalte9066"/>
    <tableColumn id="9084" xr3:uid="{DD27C95A-8A45-443E-B170-64D7BCE2899F}" name="Spalte9067"/>
    <tableColumn id="9085" xr3:uid="{063B7A39-ADD2-4EC3-8BEB-9342B0F9CBB4}" name="Spalte9068"/>
    <tableColumn id="9086" xr3:uid="{9BAF78A9-3328-4C0B-897F-99FECE2B4343}" name="Spalte9069"/>
    <tableColumn id="9087" xr3:uid="{2649BCB2-8A3E-49B9-A642-8F2E2530E063}" name="Spalte9070"/>
    <tableColumn id="9088" xr3:uid="{5F78FF98-815E-4432-8F98-430E57F1F12A}" name="Spalte9071"/>
    <tableColumn id="9089" xr3:uid="{E90BE429-D5B2-450B-BB80-633196A022DB}" name="Spalte9072"/>
    <tableColumn id="9090" xr3:uid="{7EC86E88-47A3-42A5-856C-48D12E383962}" name="Spalte9073"/>
    <tableColumn id="9091" xr3:uid="{4604264A-9354-479E-8C05-21D808B7E2B6}" name="Spalte9074"/>
    <tableColumn id="9092" xr3:uid="{F6D41140-93CE-40FC-9B71-9D8FC3AF2D3A}" name="Spalte9075"/>
    <tableColumn id="9093" xr3:uid="{E4F7A0DA-8440-44BF-AE9E-13F06FC5913F}" name="Spalte9076"/>
    <tableColumn id="9094" xr3:uid="{BBF76C43-1469-4CC1-ACF6-643E6B783E9C}" name="Spalte9077"/>
    <tableColumn id="9095" xr3:uid="{90648C40-41A3-46C2-9D77-0649764A3459}" name="Spalte9078"/>
    <tableColumn id="9096" xr3:uid="{C8C4C01F-41B8-43D5-BCBB-8BD64A37BDBC}" name="Spalte9079"/>
    <tableColumn id="9097" xr3:uid="{0E3FA395-BEA9-4974-AE9A-4B23B97CE787}" name="Spalte9080"/>
    <tableColumn id="9098" xr3:uid="{5E59B040-C0AD-4EB5-8A21-796331604626}" name="Spalte9081"/>
    <tableColumn id="9099" xr3:uid="{271FBCA5-56F2-46C6-BFC0-AD65D81113E2}" name="Spalte9082"/>
    <tableColumn id="9100" xr3:uid="{796F0A30-F8C7-4F65-A6AF-A00E3AB70174}" name="Spalte9083"/>
    <tableColumn id="9101" xr3:uid="{DC2B0B0C-240D-4DC8-98DD-FA45A06C6E18}" name="Spalte9084"/>
    <tableColumn id="9102" xr3:uid="{25B06078-9B44-4C00-B7EA-00A81E200044}" name="Spalte9085"/>
    <tableColumn id="9103" xr3:uid="{ADD737F7-2ED3-4D7A-886F-11172C56D9F3}" name="Spalte9086"/>
    <tableColumn id="9104" xr3:uid="{D2142701-929C-47EB-98F1-3AF775CF662D}" name="Spalte9087"/>
    <tableColumn id="9105" xr3:uid="{660B2D3B-3548-471A-9A71-8412046259FD}" name="Spalte9088"/>
    <tableColumn id="9106" xr3:uid="{5F4491DE-1CC9-4EE8-8624-11CD694765AF}" name="Spalte9089"/>
    <tableColumn id="9107" xr3:uid="{6F53A1B1-D232-4F87-9AA7-E2AAADB27D6A}" name="Spalte9090"/>
    <tableColumn id="9108" xr3:uid="{D33791CA-BB91-46F9-867F-140CF82C04B3}" name="Spalte9091"/>
    <tableColumn id="9109" xr3:uid="{379307DF-C84E-45F2-9311-DA78A9ED34F0}" name="Spalte9092"/>
    <tableColumn id="9110" xr3:uid="{368BC877-16C4-44BA-A7EF-B29C147174E7}" name="Spalte9093"/>
    <tableColumn id="9111" xr3:uid="{3CA9D9ED-5848-483F-8491-1AC17A785637}" name="Spalte9094"/>
    <tableColumn id="9112" xr3:uid="{5F598944-2A8B-4626-951F-6516C4103259}" name="Spalte9095"/>
    <tableColumn id="9113" xr3:uid="{12C971E1-55C4-439A-AABE-826C2C8B9423}" name="Spalte9096"/>
    <tableColumn id="9114" xr3:uid="{46A5DAAC-A4EC-49E4-A452-FE9701E81CC1}" name="Spalte9097"/>
    <tableColumn id="9115" xr3:uid="{632609E0-5168-4788-B172-927891A5F90D}" name="Spalte9098"/>
    <tableColumn id="9116" xr3:uid="{FE773BEC-A3E5-4A04-BC35-6A54D25FC346}" name="Spalte9099"/>
    <tableColumn id="9117" xr3:uid="{1FD6ACED-2B92-449D-AE3B-766F32CE4ACB}" name="Spalte9100"/>
    <tableColumn id="9118" xr3:uid="{97318E69-4E91-4795-97CC-71DC8B36739C}" name="Spalte9101"/>
    <tableColumn id="9119" xr3:uid="{1080F057-493F-442C-AEB6-385D15F95040}" name="Spalte9102"/>
    <tableColumn id="9120" xr3:uid="{42C6D8E5-E662-4444-887B-EB2A7CB33EAF}" name="Spalte9103"/>
    <tableColumn id="9121" xr3:uid="{BC056772-F682-40E7-BC89-A083CF77A483}" name="Spalte9104"/>
    <tableColumn id="9122" xr3:uid="{B86F9EA9-43DD-439B-9DAB-A1D4F8538722}" name="Spalte9105"/>
    <tableColumn id="9123" xr3:uid="{F535EE61-3344-4BA4-9186-2200B8D8689D}" name="Spalte9106"/>
    <tableColumn id="9124" xr3:uid="{9B491F55-B757-4F9E-AE10-5AA85B1EBA5D}" name="Spalte9107"/>
    <tableColumn id="9125" xr3:uid="{EBEEAF6D-CBFC-46DD-9357-AA90EA117D86}" name="Spalte9108"/>
    <tableColumn id="9126" xr3:uid="{2B30CD00-7EAA-426D-89B6-93AD7CA2CBDE}" name="Spalte9109"/>
    <tableColumn id="9127" xr3:uid="{CB413811-FB97-4652-A154-765AC6BC2F7C}" name="Spalte9110"/>
    <tableColumn id="9128" xr3:uid="{DAD85B40-7575-4A39-8A24-07D07E8AF3B1}" name="Spalte9111"/>
    <tableColumn id="9129" xr3:uid="{C0CCFCAF-EEA0-486D-B3E2-307C74BBC3E7}" name="Spalte9112"/>
    <tableColumn id="9130" xr3:uid="{6C36B9F6-BC81-4ACD-A1EB-395918BF193A}" name="Spalte9113"/>
    <tableColumn id="9131" xr3:uid="{7411E4E2-545B-4FAA-B065-9ED677C0D9F2}" name="Spalte9114"/>
    <tableColumn id="9132" xr3:uid="{EDD2E357-2C34-4F8D-880A-63CD55AA8D41}" name="Spalte9115"/>
    <tableColumn id="9133" xr3:uid="{A8BEBB9B-9958-4F14-8A44-2BE2C653985D}" name="Spalte9116"/>
    <tableColumn id="9134" xr3:uid="{75003C84-9D09-486A-AF68-698FDDFD4A05}" name="Spalte9117"/>
    <tableColumn id="9135" xr3:uid="{AAAF30A4-750B-4506-B65C-4611D25AD5A9}" name="Spalte9118"/>
    <tableColumn id="9136" xr3:uid="{BA93A60E-232B-41B7-8924-32AE16DDF3E1}" name="Spalte9119"/>
    <tableColumn id="9137" xr3:uid="{9B13DD6F-6198-43C6-BBBB-264EA84056AC}" name="Spalte9120"/>
    <tableColumn id="9138" xr3:uid="{CF5B9259-6DD4-4237-98DC-AF7209228DCB}" name="Spalte9121"/>
    <tableColumn id="9139" xr3:uid="{87F7D01A-570A-47D0-9BEA-1FFA9112249B}" name="Spalte9122"/>
    <tableColumn id="9140" xr3:uid="{6C8E3C6B-4401-4A34-9ED7-1B49A7ED0FB3}" name="Spalte9123"/>
    <tableColumn id="9141" xr3:uid="{2A48C9E9-25D4-4A51-8483-75E2B911BBA4}" name="Spalte9124"/>
    <tableColumn id="9142" xr3:uid="{33367C6C-B3D4-4EAA-8F5F-E57493DCA4AD}" name="Spalte9125"/>
    <tableColumn id="9143" xr3:uid="{9B4A7F99-BD73-4701-99BA-70B5F6C6BBA1}" name="Spalte9126"/>
    <tableColumn id="9144" xr3:uid="{04006E41-4A5E-4039-AFF6-5C2C432341DA}" name="Spalte9127"/>
    <tableColumn id="9145" xr3:uid="{99003F1E-F7C7-4F07-A10E-14FC7F99CDBF}" name="Spalte9128"/>
    <tableColumn id="9146" xr3:uid="{4619B5CF-D8C5-4C16-BADE-2F7D4623AE4A}" name="Spalte9129"/>
    <tableColumn id="9147" xr3:uid="{84C29557-FEC1-47B4-83FD-8366355C91BC}" name="Spalte9130"/>
    <tableColumn id="9148" xr3:uid="{74BE814F-8D08-46D4-8D10-3BADF5050E5F}" name="Spalte9131"/>
    <tableColumn id="9149" xr3:uid="{9D6734D4-AB31-49F1-BB09-8C026F69436F}" name="Spalte9132"/>
    <tableColumn id="9150" xr3:uid="{E78E9938-C280-4CA7-B2E0-9EF96BB5895A}" name="Spalte9133"/>
    <tableColumn id="9151" xr3:uid="{7C8B4814-BC6E-4987-B20A-55C1820E7DD5}" name="Spalte9134"/>
    <tableColumn id="9152" xr3:uid="{BBFC5BC5-6F62-4EF8-A50F-217C46F01216}" name="Spalte9135"/>
    <tableColumn id="9153" xr3:uid="{D0E9CF8A-74D0-4B20-A7EB-FCBDA46E27A5}" name="Spalte9136"/>
    <tableColumn id="9154" xr3:uid="{B7918A5A-44C8-4DE6-834B-C46856086E72}" name="Spalte9137"/>
    <tableColumn id="9155" xr3:uid="{F1220904-AA78-488B-8996-6C49B9461972}" name="Spalte9138"/>
    <tableColumn id="9156" xr3:uid="{588ECBA3-134D-4E71-A441-DBFF421BF58C}" name="Spalte9139"/>
    <tableColumn id="9157" xr3:uid="{777C95D3-189F-4147-B007-D77DD7B2E56B}" name="Spalte9140"/>
    <tableColumn id="9158" xr3:uid="{6215AE82-22BB-4621-A1DE-8C8A375775E9}" name="Spalte9141"/>
    <tableColumn id="9159" xr3:uid="{7BC9912E-2588-4B74-AABB-911199879740}" name="Spalte9142"/>
    <tableColumn id="9160" xr3:uid="{6B0CFA11-E439-44B2-BF4C-A903D99FFB5D}" name="Spalte9143"/>
    <tableColumn id="9161" xr3:uid="{FDEFD65B-73D4-4585-8695-4D8C7A142A13}" name="Spalte9144"/>
    <tableColumn id="9162" xr3:uid="{248249C8-F90C-4D6F-9B9F-E642B08B342C}" name="Spalte9145"/>
    <tableColumn id="9163" xr3:uid="{57127916-5034-4E3A-A8B3-0BE96B108497}" name="Spalte9146"/>
    <tableColumn id="9164" xr3:uid="{B74C3ECE-17AB-4D1B-A41C-9D05090BD92D}" name="Spalte9147"/>
    <tableColumn id="9165" xr3:uid="{4C4A9CB7-EDA1-4ECE-BBCF-9005594C496A}" name="Spalte9148"/>
    <tableColumn id="9166" xr3:uid="{C40DD093-E32A-4D27-8F2D-A21D164B54DD}" name="Spalte9149"/>
    <tableColumn id="9167" xr3:uid="{F59BD7B7-28CF-43DE-86DF-924F6311D6A5}" name="Spalte9150"/>
    <tableColumn id="9168" xr3:uid="{3E5B750D-3253-4FDD-968A-5A3D2A2873EB}" name="Spalte9151"/>
    <tableColumn id="9169" xr3:uid="{D1A1E17D-1418-4978-BFE4-FB73FFF93DD4}" name="Spalte9152"/>
    <tableColumn id="9170" xr3:uid="{68B89865-56C0-424F-B822-E07A1F653722}" name="Spalte9153"/>
    <tableColumn id="9171" xr3:uid="{3B38535B-05FC-4430-ADD2-695400D89982}" name="Spalte9154"/>
    <tableColumn id="9172" xr3:uid="{4A639D05-C6A5-496E-8AEF-1F015DAFF892}" name="Spalte9155"/>
    <tableColumn id="9173" xr3:uid="{C53BDFED-D521-4614-AD3C-291218B82E87}" name="Spalte9156"/>
    <tableColumn id="9174" xr3:uid="{336D6E55-C6D6-472E-A778-81FC05BE9B23}" name="Spalte9157"/>
    <tableColumn id="9175" xr3:uid="{D7E44596-E7B4-4502-AA94-5C7C14A0EF0C}" name="Spalte9158"/>
    <tableColumn id="9176" xr3:uid="{A84C571A-7B59-47CC-9F9C-526AF6F53A18}" name="Spalte9159"/>
    <tableColumn id="9177" xr3:uid="{1EAB03D2-C461-4763-AF39-2DC7DF85630A}" name="Spalte9160"/>
    <tableColumn id="9178" xr3:uid="{F134029F-1E75-404F-A5A2-357B303C898B}" name="Spalte9161"/>
    <tableColumn id="9179" xr3:uid="{310A28B2-477F-4610-9521-E5AC3890BA91}" name="Spalte9162"/>
    <tableColumn id="9180" xr3:uid="{4058EE09-14DB-4929-A93C-AC525842133F}" name="Spalte9163"/>
    <tableColumn id="9181" xr3:uid="{481D3B77-DB1D-4CF1-BCE9-753B3C76D2BF}" name="Spalte9164"/>
    <tableColumn id="9182" xr3:uid="{D8E2FEFE-03DA-4DFE-85BF-B32529A2CFB4}" name="Spalte9165"/>
    <tableColumn id="9183" xr3:uid="{95CB85FA-F702-4A2A-BA23-90357B89D3B4}" name="Spalte9166"/>
    <tableColumn id="9184" xr3:uid="{E0646F22-7EF0-4091-A32E-015EE8E158F3}" name="Spalte9167"/>
    <tableColumn id="9185" xr3:uid="{6B457FB9-F507-4D8E-BAFF-BCE158CED729}" name="Spalte9168"/>
    <tableColumn id="9186" xr3:uid="{48A26CE6-B919-4C99-846A-BB9BA8D98F99}" name="Spalte9169"/>
    <tableColumn id="9187" xr3:uid="{4DAB0C31-DD89-4928-86D6-87639BBAB1DF}" name="Spalte9170"/>
    <tableColumn id="9188" xr3:uid="{DA4289A4-CD3B-4F66-B583-68D5C32F0010}" name="Spalte9171"/>
    <tableColumn id="9189" xr3:uid="{22A1C72A-A8BE-4837-925F-871BCF885FDA}" name="Spalte9172"/>
    <tableColumn id="9190" xr3:uid="{71F2B27A-59E5-44AF-8633-1523241D8816}" name="Spalte9173"/>
    <tableColumn id="9191" xr3:uid="{1D914B6A-8951-404B-B0F4-B9D805FB6C71}" name="Spalte9174"/>
    <tableColumn id="9192" xr3:uid="{EA482EC7-6442-453E-84F8-46A3E943EBB3}" name="Spalte9175"/>
    <tableColumn id="9193" xr3:uid="{CB494BC1-4E3F-43C0-8587-6A5BB44A0F4C}" name="Spalte9176"/>
    <tableColumn id="9194" xr3:uid="{0291B247-729D-4BA8-8F27-2C11C60233E6}" name="Spalte9177"/>
    <tableColumn id="9195" xr3:uid="{94E8F0C2-D7E7-4DEC-917D-01994C7AA853}" name="Spalte9178"/>
    <tableColumn id="9196" xr3:uid="{B0E31BFB-63F1-4AB7-A59A-226FE96E33A6}" name="Spalte9179"/>
    <tableColumn id="9197" xr3:uid="{8866514D-4662-4912-A600-CCBF65C02A9E}" name="Spalte9180"/>
    <tableColumn id="9198" xr3:uid="{019BA8A6-79C8-437E-9EA2-0B83A7FC4CA3}" name="Spalte9181"/>
    <tableColumn id="9199" xr3:uid="{117CC61D-4351-4C52-AA35-C7A6AB021692}" name="Spalte9182"/>
    <tableColumn id="9200" xr3:uid="{C94DE883-7AAA-4FB9-BE62-2A463EBE5973}" name="Spalte9183"/>
    <tableColumn id="9201" xr3:uid="{C4D9F953-7619-430C-BE5A-29F5092E2A14}" name="Spalte9184"/>
    <tableColumn id="9202" xr3:uid="{0D86DF25-86F2-4D65-9CF9-B0EEE881F544}" name="Spalte9185"/>
    <tableColumn id="9203" xr3:uid="{000692A4-DACF-4490-B7FB-E96BB70A6EF6}" name="Spalte9186"/>
    <tableColumn id="9204" xr3:uid="{169A765A-B6BD-4924-9F38-05F59E127328}" name="Spalte9187"/>
    <tableColumn id="9205" xr3:uid="{40526F18-BFB1-47C1-BFA2-826C938E3346}" name="Spalte9188"/>
    <tableColumn id="9206" xr3:uid="{4AE8F214-A288-40F6-A44F-F2521D28AC59}" name="Spalte9189"/>
    <tableColumn id="9207" xr3:uid="{9DF7FA63-B09C-47B3-8DC2-69F11EACE0DC}" name="Spalte9190"/>
    <tableColumn id="9208" xr3:uid="{BDD62031-81E5-4929-88A0-C40DA2DBE6ED}" name="Spalte9191"/>
    <tableColumn id="9209" xr3:uid="{730EBF2E-341A-4364-8F60-A075E957B822}" name="Spalte9192"/>
    <tableColumn id="9210" xr3:uid="{00808245-47C5-4C85-937A-AA96BAA79288}" name="Spalte9193"/>
    <tableColumn id="9211" xr3:uid="{05CB105D-D4DE-4B42-A45D-D91B8796227F}" name="Spalte9194"/>
    <tableColumn id="9212" xr3:uid="{4768456B-A72D-445E-8573-12107DC155FF}" name="Spalte9195"/>
    <tableColumn id="9213" xr3:uid="{92957422-D948-4987-95C0-5414308BCFA7}" name="Spalte9196"/>
    <tableColumn id="9214" xr3:uid="{01F5617F-B07F-4C8F-85CF-8241388DE84B}" name="Spalte9197"/>
    <tableColumn id="9215" xr3:uid="{832D7671-0B35-4BF3-9F14-980D682025DF}" name="Spalte9198"/>
    <tableColumn id="9216" xr3:uid="{4FB9DB61-8E39-4E45-B856-E0AAF8060E44}" name="Spalte9199"/>
    <tableColumn id="9217" xr3:uid="{2B11739D-7FEC-44EE-A895-F7D4D23CAD99}" name="Spalte9200"/>
    <tableColumn id="9218" xr3:uid="{3FAFA5B7-E4BE-4315-AA88-3F6864F38FD2}" name="Spalte9201"/>
    <tableColumn id="9219" xr3:uid="{A89FAFAE-95FE-43E7-9A31-A9F977B8F8FF}" name="Spalte9202"/>
    <tableColumn id="9220" xr3:uid="{2B4DE028-6015-400E-8084-09E456DF145F}" name="Spalte9203"/>
    <tableColumn id="9221" xr3:uid="{20FD1D10-4C33-4E57-A57F-3D6F70531C8E}" name="Spalte9204"/>
    <tableColumn id="9222" xr3:uid="{AE554E22-60DB-4A44-BF90-312CE0592649}" name="Spalte9205"/>
    <tableColumn id="9223" xr3:uid="{C6396367-5B21-4B7E-A940-3545BF8494CC}" name="Spalte9206"/>
    <tableColumn id="9224" xr3:uid="{36E72795-0644-4749-82C3-EF3624176287}" name="Spalte9207"/>
    <tableColumn id="9225" xr3:uid="{9E50F0C9-73E7-4C44-99CB-9552898DBB9E}" name="Spalte9208"/>
    <tableColumn id="9226" xr3:uid="{A1DE8A4B-3C64-4B03-A476-416AF8FEEA91}" name="Spalte9209"/>
    <tableColumn id="9227" xr3:uid="{7FACAC9B-1697-48F0-BE0B-1296BA4EFFFF}" name="Spalte9210"/>
    <tableColumn id="9228" xr3:uid="{04F0394A-1697-4605-B5B8-D60883571B51}" name="Spalte9211"/>
    <tableColumn id="9229" xr3:uid="{D1335C54-C18A-490D-9002-905C117CC929}" name="Spalte9212"/>
    <tableColumn id="9230" xr3:uid="{F82E429B-32CE-42CB-AA5D-CCE04FF10672}" name="Spalte9213"/>
    <tableColumn id="9231" xr3:uid="{12755923-4D59-4486-A175-B80F9E8722A0}" name="Spalte9214"/>
    <tableColumn id="9232" xr3:uid="{B7A35F8B-E93B-4251-BA55-D20DC9A01A2B}" name="Spalte9215"/>
    <tableColumn id="9233" xr3:uid="{9686D3B7-5A2A-4BDB-9B65-CCDFB075C9F9}" name="Spalte9216"/>
    <tableColumn id="9234" xr3:uid="{C85EF830-5F3F-4576-9732-47DB9D8F8332}" name="Spalte9217"/>
    <tableColumn id="9235" xr3:uid="{0C1E14FD-1446-498B-8E8E-01F60E20B2E4}" name="Spalte9218"/>
    <tableColumn id="9236" xr3:uid="{6B741A42-7A97-4D05-B5D1-6F49DC572502}" name="Spalte9219"/>
    <tableColumn id="9237" xr3:uid="{2117EA18-B52F-433C-A6CD-6DE24C64DD05}" name="Spalte9220"/>
    <tableColumn id="9238" xr3:uid="{263A452B-7313-44F6-BF96-5D4EBAD06D38}" name="Spalte9221"/>
    <tableColumn id="9239" xr3:uid="{B32A1086-CBBE-4BA7-BBA1-7980FC5DD9B8}" name="Spalte9222"/>
    <tableColumn id="9240" xr3:uid="{3278B4FD-0BD2-4E54-ACEA-03486A943CDD}" name="Spalte9223"/>
    <tableColumn id="9241" xr3:uid="{9529A179-B13E-4F62-AC1C-EE15B3BA5524}" name="Spalte9224"/>
    <tableColumn id="9242" xr3:uid="{F81524FB-D05A-4AA0-8454-B6198AAD4640}" name="Spalte9225"/>
    <tableColumn id="9243" xr3:uid="{4E9F8711-286F-423D-A74B-DAD1BE897E41}" name="Spalte9226"/>
    <tableColumn id="9244" xr3:uid="{04D0F72A-98C2-4AC5-B0B2-098534AD980F}" name="Spalte9227"/>
    <tableColumn id="9245" xr3:uid="{9F1435C8-F3B1-44AB-8D1C-1E2CFDF1DBE8}" name="Spalte9228"/>
    <tableColumn id="9246" xr3:uid="{4ADBAB3B-F8BC-4412-A278-8B17D1AD3AC3}" name="Spalte9229"/>
    <tableColumn id="9247" xr3:uid="{5771FBC9-5295-436B-8F60-9FE94A23BDC4}" name="Spalte9230"/>
    <tableColumn id="9248" xr3:uid="{25823F74-E550-4604-8ECE-7753B06A5580}" name="Spalte9231"/>
    <tableColumn id="9249" xr3:uid="{800B1D40-5FA8-4BDB-929A-E57C021C9716}" name="Spalte9232"/>
    <tableColumn id="9250" xr3:uid="{62D3A650-7809-4607-B621-3CE16AB034D3}" name="Spalte9233"/>
    <tableColumn id="9251" xr3:uid="{19651C04-32B4-4AEE-85CF-92707DBEA945}" name="Spalte9234"/>
    <tableColumn id="9252" xr3:uid="{9A33C63B-DC12-43E4-920E-932AEFFF89EA}" name="Spalte9235"/>
    <tableColumn id="9253" xr3:uid="{E0DD84ED-B5AD-4630-9930-018A0CAA05E5}" name="Spalte9236"/>
    <tableColumn id="9254" xr3:uid="{471BF8FC-6071-4CA3-847C-A04123AEE16F}" name="Spalte9237"/>
    <tableColumn id="9255" xr3:uid="{ECDA72C4-4003-46CE-A262-73A2349055A7}" name="Spalte9238"/>
    <tableColumn id="9256" xr3:uid="{EDB58B90-088C-4AFE-992E-F710F43D4697}" name="Spalte9239"/>
    <tableColumn id="9257" xr3:uid="{60F9597C-8F2E-4E52-856D-941EC292D073}" name="Spalte9240"/>
    <tableColumn id="9258" xr3:uid="{95E93C1F-B46F-457F-B437-0124FEB5854F}" name="Spalte9241"/>
    <tableColumn id="9259" xr3:uid="{36CFE244-180E-4A34-B340-53E0D0CB4B48}" name="Spalte9242"/>
    <tableColumn id="9260" xr3:uid="{7778901A-9982-489E-BC2E-47C5D65CF3FD}" name="Spalte9243"/>
    <tableColumn id="9261" xr3:uid="{FBBFFF46-6179-4B18-99C9-8A805647AA53}" name="Spalte9244"/>
    <tableColumn id="9262" xr3:uid="{0735C93A-789D-402D-93C1-CD58C0A259E4}" name="Spalte9245"/>
    <tableColumn id="9263" xr3:uid="{C681B3FF-4DFF-4213-BB9D-F1CBFD280DC4}" name="Spalte9246"/>
    <tableColumn id="9264" xr3:uid="{0232E04B-324C-4D6B-8C22-063F5409C178}" name="Spalte9247"/>
    <tableColumn id="9265" xr3:uid="{DB6299BF-3F9E-4978-BFB7-5CEEB23BD72F}" name="Spalte9248"/>
    <tableColumn id="9266" xr3:uid="{854D0D70-7D9F-472A-8D1D-27918D1DD951}" name="Spalte9249"/>
    <tableColumn id="9267" xr3:uid="{348187F9-FD7C-4CB0-B2AF-C2D1EB1CF435}" name="Spalte9250"/>
    <tableColumn id="9268" xr3:uid="{1492B245-DAC7-4C0A-BBA6-998E4AF6FFF3}" name="Spalte9251"/>
    <tableColumn id="9269" xr3:uid="{99E6A83E-2F84-43E9-B1FB-5EB650B0A06A}" name="Spalte9252"/>
    <tableColumn id="9270" xr3:uid="{C344D901-9716-42EC-B0BF-CF7C53F439CE}" name="Spalte9253"/>
    <tableColumn id="9271" xr3:uid="{883E8B19-64E8-49C8-8B17-05C3B68E8E24}" name="Spalte9254"/>
    <tableColumn id="9272" xr3:uid="{BC969426-20F5-4324-936B-929861B6CF22}" name="Spalte9255"/>
    <tableColumn id="9273" xr3:uid="{D8B8B462-2740-4650-B0ED-F338E4A4894E}" name="Spalte9256"/>
    <tableColumn id="9274" xr3:uid="{29C9928C-01B0-45C5-92AC-0CF6DEF00279}" name="Spalte9257"/>
    <tableColumn id="9275" xr3:uid="{ACB7F36A-5AEA-492E-BCD1-76B732D9DD13}" name="Spalte9258"/>
    <tableColumn id="9276" xr3:uid="{09C609B4-6825-41A5-97C0-C30ABBB5E827}" name="Spalte9259"/>
    <tableColumn id="9277" xr3:uid="{8FE2F8FD-28A8-4480-BE08-71EE81E32323}" name="Spalte9260"/>
    <tableColumn id="9278" xr3:uid="{1773C083-A823-40C6-9CFD-6B99DD2E911A}" name="Spalte9261"/>
    <tableColumn id="9279" xr3:uid="{4D626B58-E925-4C4E-BE82-9D4D50B0CAE7}" name="Spalte9262"/>
    <tableColumn id="9280" xr3:uid="{73830ACE-6D2A-4F84-8BED-DF50898DB954}" name="Spalte9263"/>
    <tableColumn id="9281" xr3:uid="{15B91F5E-CA48-4D39-83C5-F492E37EA0E6}" name="Spalte9264"/>
    <tableColumn id="9282" xr3:uid="{6EC25D99-7A9B-4F17-A844-D2C3F9D5D1D7}" name="Spalte9265"/>
    <tableColumn id="9283" xr3:uid="{9CEB2B03-8227-44B3-B845-021BC298D5C6}" name="Spalte9266"/>
    <tableColumn id="9284" xr3:uid="{97EA1488-7EA6-4FC7-9F0A-81BF87F5827F}" name="Spalte9267"/>
    <tableColumn id="9285" xr3:uid="{9F3D6498-918B-4C5F-842C-BF0E30F5000B}" name="Spalte9268"/>
    <tableColumn id="9286" xr3:uid="{CBE6DA82-6796-4A6D-A8E8-5F47D04929C4}" name="Spalte9269"/>
    <tableColumn id="9287" xr3:uid="{529D7D5F-52B9-4C28-8B5B-4E1EFBE32652}" name="Spalte9270"/>
    <tableColumn id="9288" xr3:uid="{5307AC1F-DA5C-4107-8761-3F9B33455E16}" name="Spalte9271"/>
    <tableColumn id="9289" xr3:uid="{0A52BE2A-69D8-4BE0-80AD-30600FB0C45B}" name="Spalte9272"/>
    <tableColumn id="9290" xr3:uid="{C9951C4B-5EBA-43FD-82FA-97CBB58B5C2F}" name="Spalte9273"/>
    <tableColumn id="9291" xr3:uid="{B1EFA89B-D8BD-4A1A-B5E2-E8A11D6423F2}" name="Spalte9274"/>
    <tableColumn id="9292" xr3:uid="{6FFC6559-2D62-482E-A413-5B7E88E126B7}" name="Spalte9275"/>
    <tableColumn id="9293" xr3:uid="{D07C32E1-72D9-4531-92CA-FF61B0809160}" name="Spalte9276"/>
    <tableColumn id="9294" xr3:uid="{7BFC957F-AA32-4515-8BE3-8289D59D4D54}" name="Spalte9277"/>
    <tableColumn id="9295" xr3:uid="{C0EC69A6-63A1-4D92-845E-800F16706E7A}" name="Spalte9278"/>
    <tableColumn id="9296" xr3:uid="{DBFE78BD-EBA0-465F-9235-1AF9885E729C}" name="Spalte9279"/>
    <tableColumn id="9297" xr3:uid="{1312702D-C5FE-4A96-A4AD-73C253B58422}" name="Spalte9280"/>
    <tableColumn id="9298" xr3:uid="{188598D4-C0B0-4712-B890-E4AF2F12BE12}" name="Spalte9281"/>
    <tableColumn id="9299" xr3:uid="{75DB8A90-E49A-4A74-AD48-F1BA0CB1DE84}" name="Spalte9282"/>
    <tableColumn id="9300" xr3:uid="{A0819654-E6A1-428F-BBE9-EA283CD94B5B}" name="Spalte9283"/>
    <tableColumn id="9301" xr3:uid="{63F51555-888F-4FF4-AA42-289599275D7A}" name="Spalte9284"/>
    <tableColumn id="9302" xr3:uid="{F0EB9CD8-4C07-4AA7-B23B-CD6A47C46B3B}" name="Spalte9285"/>
    <tableColumn id="9303" xr3:uid="{9ECFDC0B-F1F1-445D-974A-C8543985D538}" name="Spalte9286"/>
    <tableColumn id="9304" xr3:uid="{B71B7845-CE52-44BD-A1F7-AE64F93E9EB1}" name="Spalte9287"/>
    <tableColumn id="9305" xr3:uid="{290D790C-46D9-4E23-88D4-1D026EF7B304}" name="Spalte9288"/>
    <tableColumn id="9306" xr3:uid="{1BE091D5-C5ED-4CAA-A64C-5AD03427173B}" name="Spalte9289"/>
    <tableColumn id="9307" xr3:uid="{CEBD565B-6E85-40A6-9637-EA8DF7CBC381}" name="Spalte9290"/>
    <tableColumn id="9308" xr3:uid="{F9CCACD0-1268-4EFC-83C0-F9FC62EC6C54}" name="Spalte9291"/>
    <tableColumn id="9309" xr3:uid="{9355029A-35AC-4F7C-9D32-DCCBD3D2558F}" name="Spalte9292"/>
    <tableColumn id="9310" xr3:uid="{5BE580AD-EDD0-466D-AA56-10655097A562}" name="Spalte9293"/>
    <tableColumn id="9311" xr3:uid="{B2A61BF7-B64F-430C-BA32-A9F1F63AC1B2}" name="Spalte9294"/>
    <tableColumn id="9312" xr3:uid="{425B58B0-8FC7-4C06-9C53-E595CB9DDAD1}" name="Spalte9295"/>
    <tableColumn id="9313" xr3:uid="{3C51268B-26CB-463F-B213-BCBA6FFA955E}" name="Spalte9296"/>
    <tableColumn id="9314" xr3:uid="{3115DD29-F58B-4FDA-B0FC-D34EF7C188C7}" name="Spalte9297"/>
    <tableColumn id="9315" xr3:uid="{8C0C0DE3-8866-49DD-B66A-CB644B53CD2B}" name="Spalte9298"/>
    <tableColumn id="9316" xr3:uid="{2A003CC5-3E56-4FBF-B766-A1FBFE9865C4}" name="Spalte9299"/>
    <tableColumn id="9317" xr3:uid="{51B6A8DE-5CC9-4742-9E19-EC42595BAE39}" name="Spalte9300"/>
    <tableColumn id="9318" xr3:uid="{DF7A7885-2814-458F-B6E2-CD0A11F057E8}" name="Spalte9301"/>
    <tableColumn id="9319" xr3:uid="{E38E5985-0E64-43CC-8581-1BEAA1B792E1}" name="Spalte9302"/>
    <tableColumn id="9320" xr3:uid="{47BE16DD-45E7-4F34-9744-CDBDDA2E65AB}" name="Spalte9303"/>
    <tableColumn id="9321" xr3:uid="{C8C2B738-D3AD-49FD-BA4C-9C8EA1E3A602}" name="Spalte9304"/>
    <tableColumn id="9322" xr3:uid="{1F89EEEB-7D73-4126-B57B-64E47566648B}" name="Spalte9305"/>
    <tableColumn id="9323" xr3:uid="{49EE0D24-4F5F-45A0-993E-FD332FCCFA26}" name="Spalte9306"/>
    <tableColumn id="9324" xr3:uid="{CE57F239-E775-40DE-8F8D-9F71D9BB32E5}" name="Spalte9307"/>
    <tableColumn id="9325" xr3:uid="{5C5F533A-3133-431B-9D9F-C9C3CD57689A}" name="Spalte9308"/>
    <tableColumn id="9326" xr3:uid="{A0405AF3-FE31-43BE-839E-F81C6AF36A37}" name="Spalte9309"/>
    <tableColumn id="9327" xr3:uid="{8547B302-E51B-4CDC-B6A0-FA88B0B55519}" name="Spalte9310"/>
    <tableColumn id="9328" xr3:uid="{9F509C28-0EC6-477A-A6FA-534319540A38}" name="Spalte9311"/>
    <tableColumn id="9329" xr3:uid="{6D37B092-001C-46B4-A3CB-3593A6039898}" name="Spalte9312"/>
    <tableColumn id="9330" xr3:uid="{E29999D2-7AB9-4C8A-BCC3-74CE4897E047}" name="Spalte9313"/>
    <tableColumn id="9331" xr3:uid="{C555608A-5966-4A64-AC56-46DDE5184415}" name="Spalte9314"/>
    <tableColumn id="9332" xr3:uid="{517ECDAD-73AD-4F78-B4A7-287AFC496993}" name="Spalte9315"/>
    <tableColumn id="9333" xr3:uid="{82974161-F007-4089-BDA1-7BB1113FFA37}" name="Spalte9316"/>
    <tableColumn id="9334" xr3:uid="{9B97C9C8-0FB4-4DCA-A83F-4F7CB2F7BFD8}" name="Spalte9317"/>
    <tableColumn id="9335" xr3:uid="{53BEDC58-EFFC-45D4-AEA3-C5C0F0BA00D1}" name="Spalte9318"/>
    <tableColumn id="9336" xr3:uid="{596A2925-28D4-41BA-8F8B-DB948DDEBE31}" name="Spalte9319"/>
    <tableColumn id="9337" xr3:uid="{507AD293-127C-48D5-9FCD-477A7543DE27}" name="Spalte9320"/>
    <tableColumn id="9338" xr3:uid="{7A7EF28B-0773-46A2-8A3C-1550F1A442F8}" name="Spalte9321"/>
    <tableColumn id="9339" xr3:uid="{889E5AA7-3275-451C-B2DF-DF9B43A1EA4F}" name="Spalte9322"/>
    <tableColumn id="9340" xr3:uid="{9750E7A1-F624-48D8-BB38-195D4845C285}" name="Spalte9323"/>
    <tableColumn id="9341" xr3:uid="{BB704C53-2F85-4638-ABA8-A4441665E606}" name="Spalte9324"/>
    <tableColumn id="9342" xr3:uid="{9A7BE1DE-FD18-4F4A-A0B4-0595A9A52638}" name="Spalte9325"/>
    <tableColumn id="9343" xr3:uid="{1092EFA6-F51E-4A80-A371-F8BF1AC0991C}" name="Spalte9326"/>
    <tableColumn id="9344" xr3:uid="{86293321-0FD7-4C1A-853E-25FDE0017A8F}" name="Spalte9327"/>
    <tableColumn id="9345" xr3:uid="{DA616DC4-FADE-4513-90F5-944810447355}" name="Spalte9328"/>
    <tableColumn id="9346" xr3:uid="{BF113C70-3576-4ED2-930C-3C1F9BA9BBDA}" name="Spalte9329"/>
    <tableColumn id="9347" xr3:uid="{C8DA0ACC-1FC7-41BA-B0E5-C66AE2CA53A1}" name="Spalte9330"/>
    <tableColumn id="9348" xr3:uid="{71DF17A4-E4C1-48B4-82AA-557850D393F1}" name="Spalte9331"/>
    <tableColumn id="9349" xr3:uid="{135C7BB0-8040-4071-A7BD-185DE4A1ADCB}" name="Spalte9332"/>
    <tableColumn id="9350" xr3:uid="{DE55E5B9-9914-4FA6-AB3A-83771FD68CD8}" name="Spalte9333"/>
    <tableColumn id="9351" xr3:uid="{190511EA-F834-4485-BBB3-2E1BC2A5F504}" name="Spalte9334"/>
    <tableColumn id="9352" xr3:uid="{AF08A8B3-6318-4266-9AAB-5BB631827EA7}" name="Spalte9335"/>
    <tableColumn id="9353" xr3:uid="{02F3902B-0FEE-453E-9D59-FC6636F11721}" name="Spalte9336"/>
    <tableColumn id="9354" xr3:uid="{95858472-7A3E-4382-B122-7B9F2E82F8C6}" name="Spalte9337"/>
    <tableColumn id="9355" xr3:uid="{3FA2EBB5-8023-4A22-B7CB-2EF7BD884893}" name="Spalte9338"/>
    <tableColumn id="9356" xr3:uid="{D0F942DA-FDF7-45D0-9A45-E43C34279DDB}" name="Spalte9339"/>
    <tableColumn id="9357" xr3:uid="{F88AB9EE-7DC3-46A5-B74F-C1D7288CEBE9}" name="Spalte9340"/>
    <tableColumn id="9358" xr3:uid="{2DF6E9AC-59C5-48F6-A837-8D89BDDD8026}" name="Spalte9341"/>
    <tableColumn id="9359" xr3:uid="{632E5625-18D6-42B5-8C35-48FBBFFAA523}" name="Spalte9342"/>
    <tableColumn id="9360" xr3:uid="{F0EE57A0-8DDB-4449-A61D-E031164D7257}" name="Spalte9343"/>
    <tableColumn id="9361" xr3:uid="{0DE98BA7-A17C-4447-A343-7BDF2D9CF6AC}" name="Spalte9344"/>
    <tableColumn id="9362" xr3:uid="{AECE0D99-C9E9-456C-B44A-6653F5630805}" name="Spalte9345"/>
    <tableColumn id="9363" xr3:uid="{3A8D17CA-336B-45A4-97D5-95B2E3A2AA7A}" name="Spalte9346"/>
    <tableColumn id="9364" xr3:uid="{E569E97D-5FA4-4625-A09F-FA71854A52C8}" name="Spalte9347"/>
    <tableColumn id="9365" xr3:uid="{3E388ABC-A827-4141-A71E-CB7CBE12E8EF}" name="Spalte9348"/>
    <tableColumn id="9366" xr3:uid="{4B5EE313-B656-4E1B-96BC-7ED1402072BE}" name="Spalte9349"/>
    <tableColumn id="9367" xr3:uid="{CFC7932C-1D40-483A-AFAA-EC1BC8C93FEE}" name="Spalte9350"/>
    <tableColumn id="9368" xr3:uid="{73A5C2F0-256B-4C22-9948-1C5D1BBB980A}" name="Spalte9351"/>
    <tableColumn id="9369" xr3:uid="{187A434F-8177-4D86-AAEE-E6A7235B974F}" name="Spalte9352"/>
    <tableColumn id="9370" xr3:uid="{D3FA803E-4CB8-43B1-ABC1-94DDE97AD166}" name="Spalte9353"/>
    <tableColumn id="9371" xr3:uid="{FC574262-D3F4-4568-A125-16DCDC429A54}" name="Spalte9354"/>
    <tableColumn id="9372" xr3:uid="{EBB0B63B-07D2-475A-9FB0-6A00C974F22F}" name="Spalte9355"/>
    <tableColumn id="9373" xr3:uid="{E300650D-9695-42BB-9C35-2938099EAF45}" name="Spalte9356"/>
    <tableColumn id="9374" xr3:uid="{3E613183-1A27-4C33-8326-9AC9882EFDC6}" name="Spalte9357"/>
    <tableColumn id="9375" xr3:uid="{C4CF9C82-C1F2-4722-BABC-1352F50B0D4A}" name="Spalte9358"/>
    <tableColumn id="9376" xr3:uid="{733F7AFF-9A80-48CD-ACDC-7B7CD378854E}" name="Spalte9359"/>
    <tableColumn id="9377" xr3:uid="{14B8787E-1FBD-40AE-9CA6-0AB9E9F3217D}" name="Spalte9360"/>
    <tableColumn id="9378" xr3:uid="{F1692E08-B19F-4FC7-B0F3-26B52E5BC124}" name="Spalte9361"/>
    <tableColumn id="9379" xr3:uid="{0481787F-D1E4-49BE-9E23-2E45352BFA56}" name="Spalte9362"/>
    <tableColumn id="9380" xr3:uid="{8E5D6392-963F-4B72-A74D-02FD96CDB537}" name="Spalte9363"/>
    <tableColumn id="9381" xr3:uid="{872D6D3A-84CB-40BC-92A2-A30513D7ACB2}" name="Spalte9364"/>
    <tableColumn id="9382" xr3:uid="{B4639B5D-CAB4-4407-8727-881E20ECF24B}" name="Spalte9365"/>
    <tableColumn id="9383" xr3:uid="{DC115A10-D750-47D7-8B84-1CAFBD111C87}" name="Spalte9366"/>
    <tableColumn id="9384" xr3:uid="{F652DD01-CEF4-48E9-875B-7A03EC77058A}" name="Spalte9367"/>
    <tableColumn id="9385" xr3:uid="{48CFADFA-70DB-4719-9D6D-529B623842AD}" name="Spalte9368"/>
    <tableColumn id="9386" xr3:uid="{88A43DE9-FCAF-44A2-9BA8-8BBB0A40FEAA}" name="Spalte9369"/>
    <tableColumn id="9387" xr3:uid="{6AEEA3A2-2922-452D-9229-46A6324E780B}" name="Spalte9370"/>
    <tableColumn id="9388" xr3:uid="{4E472CA1-999E-4C2C-A26D-AE0E542865FD}" name="Spalte9371"/>
    <tableColumn id="9389" xr3:uid="{CE988958-4E0E-4805-9A72-5D5B21C4580A}" name="Spalte9372"/>
    <tableColumn id="9390" xr3:uid="{FB9F55D5-5416-4E03-820E-A256ABCC7DF4}" name="Spalte9373"/>
    <tableColumn id="9391" xr3:uid="{845C3815-AFD8-4D26-9D0E-66EC08222BD6}" name="Spalte9374"/>
    <tableColumn id="9392" xr3:uid="{9FA41FE8-C192-4F1A-A49A-CCDB0FA711AA}" name="Spalte9375"/>
    <tableColumn id="9393" xr3:uid="{868BE821-0352-468E-8D44-FB59771A6409}" name="Spalte9376"/>
    <tableColumn id="9394" xr3:uid="{F8F64479-D5B7-418F-8874-C687634B639F}" name="Spalte9377"/>
    <tableColumn id="9395" xr3:uid="{15CB3844-332F-44B8-AC82-12F768985849}" name="Spalte9378"/>
    <tableColumn id="9396" xr3:uid="{F15E801E-2909-4EC4-AE27-C322A9BAA6C3}" name="Spalte9379"/>
    <tableColumn id="9397" xr3:uid="{C6B4AF4B-1E26-4725-A526-A4003601DEB2}" name="Spalte9380"/>
    <tableColumn id="9398" xr3:uid="{7F209E45-F2D0-45B1-A581-C9D705336ABB}" name="Spalte9381"/>
    <tableColumn id="9399" xr3:uid="{D94E8992-1550-442D-9F60-FBC0924560B2}" name="Spalte9382"/>
    <tableColumn id="9400" xr3:uid="{E9FB5EEC-BD82-4BAF-A58F-A0605CDE0E46}" name="Spalte9383"/>
    <tableColumn id="9401" xr3:uid="{8EAE8D29-F3FE-4E02-BD58-0214B8D99BD4}" name="Spalte9384"/>
    <tableColumn id="9402" xr3:uid="{996E064F-904A-435D-A537-87C464A5D2FC}" name="Spalte9385"/>
    <tableColumn id="9403" xr3:uid="{54618767-904A-4F50-A1EB-E02E5569E2FF}" name="Spalte9386"/>
    <tableColumn id="9404" xr3:uid="{FD45C89C-56FE-425B-AB19-0BF6DF4E1392}" name="Spalte9387"/>
    <tableColumn id="9405" xr3:uid="{C0C43C1E-F3CB-46AD-B893-5DF3C2A72A36}" name="Spalte9388"/>
    <tableColumn id="9406" xr3:uid="{0718CCB7-1C40-4ADA-91DB-954BA7D2FEF4}" name="Spalte9389"/>
    <tableColumn id="9407" xr3:uid="{F508FA6B-2C4B-4322-A0C1-63E3741B3A6E}" name="Spalte9390"/>
    <tableColumn id="9408" xr3:uid="{B1FD3160-2497-4DF8-BB7A-BA34210A05E4}" name="Spalte9391"/>
    <tableColumn id="9409" xr3:uid="{64730CB4-91ED-4C08-8B93-2DC52DF45948}" name="Spalte9392"/>
    <tableColumn id="9410" xr3:uid="{0995925F-05BB-4B56-B586-7CB5223BF46E}" name="Spalte9393"/>
    <tableColumn id="9411" xr3:uid="{CBCD4A84-FDFD-423A-A118-30D61CBC3F1E}" name="Spalte9394"/>
    <tableColumn id="9412" xr3:uid="{3383F3A1-A9BF-4527-BD9F-F96F6B28E4F0}" name="Spalte9395"/>
    <tableColumn id="9413" xr3:uid="{2C965843-28E2-45B4-9975-57C19A29201A}" name="Spalte9396"/>
    <tableColumn id="9414" xr3:uid="{B97E3DC0-E42A-4C02-8110-5DD047A5EA13}" name="Spalte9397"/>
    <tableColumn id="9415" xr3:uid="{49DA0B5E-6EDC-4C46-945B-2BDCC71B073F}" name="Spalte9398"/>
    <tableColumn id="9416" xr3:uid="{49232550-27E1-4C7D-8F75-825155D6084A}" name="Spalte9399"/>
    <tableColumn id="9417" xr3:uid="{DECE5E51-CF44-438B-8290-968A911E0405}" name="Spalte9400"/>
    <tableColumn id="9418" xr3:uid="{D825A025-56F9-41D7-ACF6-719A1732DA52}" name="Spalte9401"/>
    <tableColumn id="9419" xr3:uid="{C2C06413-F22E-40B0-B33D-C43283ABFD20}" name="Spalte9402"/>
    <tableColumn id="9420" xr3:uid="{F5CCF197-0447-41A0-8B1E-BC625603C0DE}" name="Spalte9403"/>
    <tableColumn id="9421" xr3:uid="{AB7FC109-067F-4B62-B692-79F9F37B6FE0}" name="Spalte9404"/>
    <tableColumn id="9422" xr3:uid="{B91568FF-467C-4661-80AD-FA15A5EF2687}" name="Spalte9405"/>
    <tableColumn id="9423" xr3:uid="{1C715B47-9A92-49E0-AC67-25DDFCC434AA}" name="Spalte9406"/>
    <tableColumn id="9424" xr3:uid="{5C301D86-1F3B-4B3D-836B-103E22BEFE99}" name="Spalte9407"/>
    <tableColumn id="9425" xr3:uid="{F7A15DD7-A827-4E4F-ABCB-5E57823DF925}" name="Spalte9408"/>
    <tableColumn id="9426" xr3:uid="{5D23CDFA-4F68-40D9-A127-4E53758C4A87}" name="Spalte9409"/>
    <tableColumn id="9427" xr3:uid="{E95C05DE-8F67-482C-9F41-F07F18CABAAB}" name="Spalte9410"/>
    <tableColumn id="9428" xr3:uid="{5B968DA3-77C2-487E-B9A6-76EAA513ED07}" name="Spalte9411"/>
    <tableColumn id="9429" xr3:uid="{62FC43A9-3D6E-4ED1-80F3-6389A1FF9E2C}" name="Spalte9412"/>
    <tableColumn id="9430" xr3:uid="{D6A29864-2151-4036-8B24-2CA31885A5C2}" name="Spalte9413"/>
    <tableColumn id="9431" xr3:uid="{3FABA169-EA95-462B-BE27-3CC72CEA81FE}" name="Spalte9414"/>
    <tableColumn id="9432" xr3:uid="{CECE9F08-2F7F-45A6-8601-01707D4757DE}" name="Spalte9415"/>
    <tableColumn id="9433" xr3:uid="{E4CA991F-174B-4E97-A6F8-6854C138E840}" name="Spalte9416"/>
    <tableColumn id="9434" xr3:uid="{F1B9E9C5-F768-4E22-8378-75967F5F62BE}" name="Spalte9417"/>
    <tableColumn id="9435" xr3:uid="{21B3A056-F9B3-4B48-8B2C-A813718F6AEA}" name="Spalte9418"/>
    <tableColumn id="9436" xr3:uid="{E4D2004C-252F-4DBC-842D-4F687A5A693A}" name="Spalte9419"/>
    <tableColumn id="9437" xr3:uid="{25C0252E-AB96-47D6-AF4E-E428772D26BF}" name="Spalte9420"/>
    <tableColumn id="9438" xr3:uid="{D854A149-A469-45E5-AEAE-3E2BB57EF378}" name="Spalte9421"/>
    <tableColumn id="9439" xr3:uid="{4A0C3225-9BC8-4D3C-AD72-C2AE3EE2B13A}" name="Spalte9422"/>
    <tableColumn id="9440" xr3:uid="{691B831D-F72D-4ABA-A940-7C73F20AE5B7}" name="Spalte9423"/>
    <tableColumn id="9441" xr3:uid="{42CE917F-57A7-4997-81F9-4FC6CE2C8991}" name="Spalte9424"/>
    <tableColumn id="9442" xr3:uid="{49450378-6636-4852-A5AA-989F8AE99613}" name="Spalte9425"/>
    <tableColumn id="9443" xr3:uid="{2644B8A5-64FD-4D37-BB57-F634B8F5181B}" name="Spalte9426"/>
    <tableColumn id="9444" xr3:uid="{7EA1ADE7-F069-4F60-8BD9-635EC5228DBD}" name="Spalte9427"/>
    <tableColumn id="9445" xr3:uid="{768197C4-F5CB-42D5-A24E-632AA3053677}" name="Spalte9428"/>
    <tableColumn id="9446" xr3:uid="{9F5C65F2-91E8-42ED-A239-E5DDD6564874}" name="Spalte9429"/>
    <tableColumn id="9447" xr3:uid="{DD0EF338-616C-4C2D-A827-629749D0AD75}" name="Spalte9430"/>
    <tableColumn id="9448" xr3:uid="{CC370333-BCF1-45F3-BA6B-16A2CC2B3BE2}" name="Spalte9431"/>
    <tableColumn id="9449" xr3:uid="{2ACB6E33-9BC9-48D0-85B5-366CBA2FB434}" name="Spalte9432"/>
    <tableColumn id="9450" xr3:uid="{8F9E899E-F03E-4747-990D-C444C1628D38}" name="Spalte9433"/>
    <tableColumn id="9451" xr3:uid="{D16F9435-788F-4DCE-AC5C-CE367B67AD8E}" name="Spalte9434"/>
    <tableColumn id="9452" xr3:uid="{5D876DD5-6FAB-4665-8F15-9A4E3926C1E7}" name="Spalte9435"/>
    <tableColumn id="9453" xr3:uid="{312E720C-1AF7-48BE-B58D-D55004ABF68D}" name="Spalte9436"/>
    <tableColumn id="9454" xr3:uid="{2395BFDC-69A2-4795-8C4E-E817E459E003}" name="Spalte9437"/>
    <tableColumn id="9455" xr3:uid="{9FC3FE97-F8EE-4BAA-B41A-586217471CB3}" name="Spalte9438"/>
    <tableColumn id="9456" xr3:uid="{782368BE-EC72-4FFD-B0F1-12AE8CF1440E}" name="Spalte9439"/>
    <tableColumn id="9457" xr3:uid="{965ECC0C-70BA-410E-9E50-FB8450C0B02E}" name="Spalte9440"/>
    <tableColumn id="9458" xr3:uid="{FB096A57-9EFE-409E-AAF0-73C5CACAA539}" name="Spalte9441"/>
    <tableColumn id="9459" xr3:uid="{59CB420A-606A-42B1-A147-30EE5B557E91}" name="Spalte9442"/>
    <tableColumn id="9460" xr3:uid="{A291F879-016D-4270-B445-37A4C95A04BF}" name="Spalte9443"/>
    <tableColumn id="9461" xr3:uid="{1E7A0878-60E2-4F9F-B7FA-A15398C110B2}" name="Spalte9444"/>
    <tableColumn id="9462" xr3:uid="{2F3D7690-8ABA-457E-91AF-B2EF847C1687}" name="Spalte9445"/>
    <tableColumn id="9463" xr3:uid="{CC87D99D-1717-4201-B092-EAAC06B67E01}" name="Spalte9446"/>
    <tableColumn id="9464" xr3:uid="{943D3766-87DE-4BEF-8469-BFD24B8ADFE9}" name="Spalte9447"/>
    <tableColumn id="9465" xr3:uid="{D0C5D076-42E2-4CE5-AA99-32B5057D44BC}" name="Spalte9448"/>
    <tableColumn id="9466" xr3:uid="{69D2D77F-440A-475E-888C-C4B635CA4831}" name="Spalte9449"/>
    <tableColumn id="9467" xr3:uid="{90789677-C12E-4BD9-AEED-F00ED46EA1CA}" name="Spalte9450"/>
    <tableColumn id="9468" xr3:uid="{9581E9D9-D3E2-44F8-83C6-1EA66553FEDF}" name="Spalte9451"/>
    <tableColumn id="9469" xr3:uid="{388FF159-84B0-480B-9530-3A8BD6E94DCE}" name="Spalte9452"/>
    <tableColumn id="9470" xr3:uid="{B652BE88-CBBD-4737-8B35-3EB1DC46745C}" name="Spalte9453"/>
    <tableColumn id="9471" xr3:uid="{439AA200-8887-4070-A3F4-77F77C41D4E7}" name="Spalte9454"/>
    <tableColumn id="9472" xr3:uid="{4FC4A2C3-0D69-4DA2-A899-2E9BF4614074}" name="Spalte9455"/>
    <tableColumn id="9473" xr3:uid="{66B0D227-46E4-400A-940E-F1100DC22CFA}" name="Spalte9456"/>
    <tableColumn id="9474" xr3:uid="{6906BDFB-6025-4CF8-88C7-1513C64D952A}" name="Spalte9457"/>
    <tableColumn id="9475" xr3:uid="{838FC5EC-6637-4D9C-BD45-914DCE0B93B8}" name="Spalte9458"/>
    <tableColumn id="9476" xr3:uid="{B29CC72B-25D0-418B-AD68-74658AD514E7}" name="Spalte9459"/>
    <tableColumn id="9477" xr3:uid="{4148D5B8-EF59-48D7-BE91-92100A2A7F47}" name="Spalte9460"/>
    <tableColumn id="9478" xr3:uid="{87FF41EC-693F-49EC-A662-1648E9442AA5}" name="Spalte9461"/>
    <tableColumn id="9479" xr3:uid="{F1328AD8-CEB6-44CC-A57E-A4C9D15839B8}" name="Spalte9462"/>
    <tableColumn id="9480" xr3:uid="{6ABF98D3-6BAE-40EA-B674-1C826C452A24}" name="Spalte9463"/>
    <tableColumn id="9481" xr3:uid="{C8FF21D9-DF72-4C62-9270-F80404078EE3}" name="Spalte9464"/>
    <tableColumn id="9482" xr3:uid="{3AA3B0E3-2710-45ED-9E52-DD32CE07009C}" name="Spalte9465"/>
    <tableColumn id="9483" xr3:uid="{96229191-70A2-483F-863C-25F424B6C991}" name="Spalte9466"/>
    <tableColumn id="9484" xr3:uid="{EA41945B-8408-4604-855A-DFAEE370F105}" name="Spalte9467"/>
    <tableColumn id="9485" xr3:uid="{D935A5B1-A196-475D-9D29-8BC95A250E51}" name="Spalte9468"/>
    <tableColumn id="9486" xr3:uid="{FF5AC398-DD50-4545-934A-52D90B84FD95}" name="Spalte9469"/>
    <tableColumn id="9487" xr3:uid="{55F7FA1E-9B84-4528-8CB8-353C9BCA202F}" name="Spalte9470"/>
    <tableColumn id="9488" xr3:uid="{C7196208-F759-417D-9238-C9A9F7104282}" name="Spalte9471"/>
    <tableColumn id="9489" xr3:uid="{45E93821-85D2-4718-B1E7-ADF6EDADA45C}" name="Spalte9472"/>
    <tableColumn id="9490" xr3:uid="{FD9B9E2D-7882-4089-B24E-4F99F112FEC6}" name="Spalte9473"/>
    <tableColumn id="9491" xr3:uid="{A9BC1231-491E-4A17-B7F5-B1422C5A685A}" name="Spalte9474"/>
    <tableColumn id="9492" xr3:uid="{57C3BFBA-671B-4619-B4CF-C7BB1B94112C}" name="Spalte9475"/>
    <tableColumn id="9493" xr3:uid="{37D0227E-05DE-47A2-AF5B-59C49C0344B4}" name="Spalte9476"/>
    <tableColumn id="9494" xr3:uid="{22424355-FFC8-4C07-B50C-E00F33770F36}" name="Spalte9477"/>
    <tableColumn id="9495" xr3:uid="{63276D22-7515-4A09-8C1D-E529E634802B}" name="Spalte9478"/>
    <tableColumn id="9496" xr3:uid="{C343D6F4-070B-44FE-86FB-6F55D44B6F28}" name="Spalte9479"/>
    <tableColumn id="9497" xr3:uid="{7B749CCD-9DAF-421D-871C-30B906C958C8}" name="Spalte9480"/>
    <tableColumn id="9498" xr3:uid="{83862E28-2120-457C-8500-1D42A7A6E4D4}" name="Spalte9481"/>
    <tableColumn id="9499" xr3:uid="{FAC4794E-36DB-4E5A-9793-137227DB9A5D}" name="Spalte9482"/>
    <tableColumn id="9500" xr3:uid="{86715A97-767F-47B1-892F-C6DE3D6DBA8D}" name="Spalte9483"/>
    <tableColumn id="9501" xr3:uid="{31DC338F-0FE3-453B-90AD-A64F666BD468}" name="Spalte9484"/>
    <tableColumn id="9502" xr3:uid="{3E222DB8-30E0-438D-9661-464ABE64B7D0}" name="Spalte9485"/>
    <tableColumn id="9503" xr3:uid="{0C520B37-95E7-4914-BE5D-FF41F4D956F5}" name="Spalte9486"/>
    <tableColumn id="9504" xr3:uid="{CCF5DB93-1A1D-4498-8EB4-F55C3B09508F}" name="Spalte9487"/>
    <tableColumn id="9505" xr3:uid="{EBEEE03B-8363-48AB-A0B3-DCBE8B868976}" name="Spalte9488"/>
    <tableColumn id="9506" xr3:uid="{6B6BB41C-7720-4257-805D-84BB9ECE14CD}" name="Spalte9489"/>
    <tableColumn id="9507" xr3:uid="{21BDEBC7-2F33-4085-AD47-CC3F3831DC9C}" name="Spalte9490"/>
    <tableColumn id="9508" xr3:uid="{5F17652B-7B83-4F8C-9703-56653968815A}" name="Spalte9491"/>
    <tableColumn id="9509" xr3:uid="{1CD732B6-FCDA-44E5-A5A3-E139289981C9}" name="Spalte9492"/>
    <tableColumn id="9510" xr3:uid="{2582AB46-7816-40E0-9376-3E455518ADF9}" name="Spalte9493"/>
    <tableColumn id="9511" xr3:uid="{F0808CB8-F49E-49E9-A9D0-5072AEF03D2D}" name="Spalte9494"/>
    <tableColumn id="9512" xr3:uid="{31E1DA6F-235C-498F-BAA3-36819DB94A15}" name="Spalte9495"/>
    <tableColumn id="9513" xr3:uid="{74B0D17D-24D6-4E1E-95B6-C1997B8187F7}" name="Spalte9496"/>
    <tableColumn id="9514" xr3:uid="{5FFB46DD-9BDA-4D0C-B43A-8F3EA1825D1D}" name="Spalte9497"/>
    <tableColumn id="9515" xr3:uid="{366D5865-699B-43A4-B688-930C205884BF}" name="Spalte9498"/>
    <tableColumn id="9516" xr3:uid="{2728A916-C484-4FA2-B91A-0E3AD265B0B0}" name="Spalte9499"/>
    <tableColumn id="9517" xr3:uid="{F35C5BD5-9348-4D79-8C6C-1FE822C0FF55}" name="Spalte9500"/>
    <tableColumn id="9518" xr3:uid="{39240D2D-C2E4-4150-BE43-E13C1CF3198E}" name="Spalte9501"/>
    <tableColumn id="9519" xr3:uid="{EA0C3357-8FA6-483C-A6D8-F696F2B29730}" name="Spalte9502"/>
    <tableColumn id="9520" xr3:uid="{EFBAC6C1-D3EF-4A4E-977B-1F4D39A05F0B}" name="Spalte9503"/>
    <tableColumn id="9521" xr3:uid="{2E896A58-1810-4FF7-871D-E717CEBC67CE}" name="Spalte9504"/>
    <tableColumn id="9522" xr3:uid="{25E98944-625F-4D4E-95CC-45CE6C1E0F18}" name="Spalte9505"/>
    <tableColumn id="9523" xr3:uid="{ED3B71BB-DF57-4B44-BE49-9442EE5501CB}" name="Spalte9506"/>
    <tableColumn id="9524" xr3:uid="{56923D29-4B66-4AB1-9168-F86E1F7086CF}" name="Spalte9507"/>
    <tableColumn id="9525" xr3:uid="{5DAFF6F5-D5C8-402C-BDD3-F954F3874297}" name="Spalte9508"/>
    <tableColumn id="9526" xr3:uid="{3E65D84D-D1C1-400B-8477-C4AF95F21A0B}" name="Spalte9509"/>
    <tableColumn id="9527" xr3:uid="{4895B442-0171-451A-8F22-D083BDE54E00}" name="Spalte9510"/>
    <tableColumn id="9528" xr3:uid="{C6068B8B-3900-4032-ACC2-91964A4F3D78}" name="Spalte9511"/>
    <tableColumn id="9529" xr3:uid="{72F8FE51-9588-48AA-B24F-29295BDF7AB6}" name="Spalte9512"/>
    <tableColumn id="9530" xr3:uid="{FA5DDB2B-5C55-43BD-9CF9-FE4CEEE165B3}" name="Spalte9513"/>
    <tableColumn id="9531" xr3:uid="{44B64D2F-F329-45B5-8CE8-68D82EB0EF71}" name="Spalte9514"/>
    <tableColumn id="9532" xr3:uid="{F3937BC8-C77C-4D5D-9286-D28612CA3E26}" name="Spalte9515"/>
    <tableColumn id="9533" xr3:uid="{3855BCF5-8AF7-4E13-BE2B-6DD82AFAD3D5}" name="Spalte9516"/>
    <tableColumn id="9534" xr3:uid="{1AEF2AA3-1BD4-4EF8-B46E-84C665B077A3}" name="Spalte9517"/>
    <tableColumn id="9535" xr3:uid="{070AE8A8-4F7D-4AA9-A35A-45FED8744990}" name="Spalte9518"/>
    <tableColumn id="9536" xr3:uid="{B8A008A5-4B4A-458D-9548-F87DDE6D188E}" name="Spalte9519"/>
    <tableColumn id="9537" xr3:uid="{669D3BEC-6C2C-451A-86E3-B4FA551A4573}" name="Spalte9520"/>
    <tableColumn id="9538" xr3:uid="{9D039B96-19F4-4AB9-AFB6-C0696F301D56}" name="Spalte9521"/>
    <tableColumn id="9539" xr3:uid="{FE1C361C-C814-4D95-BD34-035367D924ED}" name="Spalte9522"/>
    <tableColumn id="9540" xr3:uid="{693A2C64-C097-4F22-95C0-3C518A12807A}" name="Spalte9523"/>
    <tableColumn id="9541" xr3:uid="{A5B1B1CC-1E28-4F33-B519-8CB23AA6DFAE}" name="Spalte9524"/>
    <tableColumn id="9542" xr3:uid="{187F31C8-FDBD-485C-B8BF-343F8844632F}" name="Spalte9525"/>
    <tableColumn id="9543" xr3:uid="{215376D8-4F4A-44F9-8A2C-B21E1DB4B743}" name="Spalte9526"/>
    <tableColumn id="9544" xr3:uid="{2ADE46FD-BA44-4E8A-8670-19D272C00098}" name="Spalte9527"/>
    <tableColumn id="9545" xr3:uid="{6EEF7B08-86F9-45BC-9C24-4B95886785C0}" name="Spalte9528"/>
    <tableColumn id="9546" xr3:uid="{11998FA9-87C3-4E00-A07A-58C1D3E4C1B2}" name="Spalte9529"/>
    <tableColumn id="9547" xr3:uid="{D6CB6771-E623-4DF8-8519-8F3059E96C79}" name="Spalte9530"/>
    <tableColumn id="9548" xr3:uid="{A3BA49B1-8710-4501-95A3-C825EF87BEC7}" name="Spalte9531"/>
    <tableColumn id="9549" xr3:uid="{4D8D7F62-D283-456A-BE37-5D7C84D99F22}" name="Spalte9532"/>
    <tableColumn id="9550" xr3:uid="{19032784-6EB4-49F5-A80A-D48C1564A346}" name="Spalte9533"/>
    <tableColumn id="9551" xr3:uid="{8A19E033-9E95-47D8-AEB0-89396E2C82D5}" name="Spalte9534"/>
    <tableColumn id="9552" xr3:uid="{3B884DDE-C402-4D78-A033-A689AA4FA6D2}" name="Spalte9535"/>
    <tableColumn id="9553" xr3:uid="{6D9A140B-F931-4DCE-8FC8-3D3AFD881761}" name="Spalte9536"/>
    <tableColumn id="9554" xr3:uid="{FCBE8C5E-ABDA-49CC-9277-1561ECE20DBF}" name="Spalte9537"/>
    <tableColumn id="9555" xr3:uid="{85A87C9D-2E50-48A9-89FD-144937376AF6}" name="Spalte9538"/>
    <tableColumn id="9556" xr3:uid="{A2B15DA1-B658-4629-BC7F-F1B18723D0F8}" name="Spalte9539"/>
    <tableColumn id="9557" xr3:uid="{BB887932-D887-4189-9597-EE1F3A2006C9}" name="Spalte9540"/>
    <tableColumn id="9558" xr3:uid="{D5077850-DBE3-4911-B2DE-452CD2D1DCB8}" name="Spalte9541"/>
    <tableColumn id="9559" xr3:uid="{DAD2E4A2-C071-4749-8AE5-B01344344910}" name="Spalte9542"/>
    <tableColumn id="9560" xr3:uid="{D0BA7CBC-389F-473A-9681-A69AAA86362D}" name="Spalte9543"/>
    <tableColumn id="9561" xr3:uid="{5D0CE47F-8272-4FB6-A626-4E0EADAC7435}" name="Spalte9544"/>
    <tableColumn id="9562" xr3:uid="{3A28CD34-DB1A-4D9E-9F9E-6C3D6F8ECF9E}" name="Spalte9545"/>
    <tableColumn id="9563" xr3:uid="{87925CFB-7C47-4B96-A5F3-92E6D1CE6B38}" name="Spalte9546"/>
    <tableColumn id="9564" xr3:uid="{C91320B0-51F0-4BB9-AC4B-3C54CAEE128D}" name="Spalte9547"/>
    <tableColumn id="9565" xr3:uid="{1E41802E-C490-4850-89F9-1D4482AC446F}" name="Spalte9548"/>
    <tableColumn id="9566" xr3:uid="{80E26C54-FC59-4CB4-A659-FF3A3CED3EAF}" name="Spalte9549"/>
    <tableColumn id="9567" xr3:uid="{FB18ADB4-764C-4DFD-98D3-EEE8060FE95F}" name="Spalte9550"/>
    <tableColumn id="9568" xr3:uid="{E8A19283-58DA-474B-84C5-3E4F306E4645}" name="Spalte9551"/>
    <tableColumn id="9569" xr3:uid="{0238ECF9-06DF-43EC-A1B0-8FC351AF4055}" name="Spalte9552"/>
    <tableColumn id="9570" xr3:uid="{3469EB17-62DF-4FC6-9E8E-8CC6F5CE5D5A}" name="Spalte9553"/>
    <tableColumn id="9571" xr3:uid="{F7275460-1DC3-4049-9961-FBD16A50A392}" name="Spalte9554"/>
    <tableColumn id="9572" xr3:uid="{1BCED3F0-EA03-4495-A908-5BD1C88BF704}" name="Spalte9555"/>
    <tableColumn id="9573" xr3:uid="{44C8E398-AB86-4FAB-BA28-384C8015FF96}" name="Spalte9556"/>
    <tableColumn id="9574" xr3:uid="{7275C4F4-C4AB-47E1-A30B-B2D6FD70F9CD}" name="Spalte9557"/>
    <tableColumn id="9575" xr3:uid="{A809E462-2850-490C-B79B-62D7C6CCE846}" name="Spalte9558"/>
    <tableColumn id="9576" xr3:uid="{909B3198-00CF-47B3-8EE1-BA03E6F08036}" name="Spalte9559"/>
    <tableColumn id="9577" xr3:uid="{91AC9310-F248-4DDF-AF66-7CAAF8C42499}" name="Spalte9560"/>
    <tableColumn id="9578" xr3:uid="{02E30799-1734-495D-B6B7-371F88CB5ADC}" name="Spalte9561"/>
    <tableColumn id="9579" xr3:uid="{4B4D856D-BEAD-42CA-9F7A-E8CB223B83F0}" name="Spalte9562"/>
    <tableColumn id="9580" xr3:uid="{48F5206D-8AE7-4DB1-B00E-0E4D7F0EC33D}" name="Spalte9563"/>
    <tableColumn id="9581" xr3:uid="{E9D9F172-3149-4818-BF0D-F79603A5F1BC}" name="Spalte9564"/>
    <tableColumn id="9582" xr3:uid="{AB51710E-D67E-42D1-A646-2632C1411119}" name="Spalte9565"/>
    <tableColumn id="9583" xr3:uid="{0FD936E6-FFEE-4BC8-8D8B-6AF41DADCB7B}" name="Spalte9566"/>
    <tableColumn id="9584" xr3:uid="{CFFD586B-A493-415E-9741-230685A347D6}" name="Spalte9567"/>
    <tableColumn id="9585" xr3:uid="{077DD98B-6E6B-4179-868E-FD13BF443EEA}" name="Spalte9568"/>
    <tableColumn id="9586" xr3:uid="{998340BA-78D9-4419-A97B-525F9B88EE31}" name="Spalte9569"/>
    <tableColumn id="9587" xr3:uid="{0EE5D825-5BA7-4996-83D0-DE055F27A234}" name="Spalte9570"/>
    <tableColumn id="9588" xr3:uid="{C68B30D2-CCAF-47D1-A1DA-66638F859B01}" name="Spalte9571"/>
    <tableColumn id="9589" xr3:uid="{1E07BA1D-ED50-48D4-8ECE-1645A2A55138}" name="Spalte9572"/>
    <tableColumn id="9590" xr3:uid="{2133B34E-2A63-4196-B0BE-7D3DDC846FC7}" name="Spalte9573"/>
    <tableColumn id="9591" xr3:uid="{2ACBB22A-16DD-41DB-BAA1-DA9CD650A12A}" name="Spalte9574"/>
    <tableColumn id="9592" xr3:uid="{ACDAE2BA-76F4-4805-B5CC-7EAABB6BB55D}" name="Spalte9575"/>
    <tableColumn id="9593" xr3:uid="{84503E7E-5AD1-4274-A30D-D848F90A2558}" name="Spalte9576"/>
    <tableColumn id="9594" xr3:uid="{048797D6-A4E9-4518-9442-784AF7C5C05A}" name="Spalte9577"/>
    <tableColumn id="9595" xr3:uid="{0CBE9C57-4F22-4BF6-8619-B907B19F9442}" name="Spalte9578"/>
    <tableColumn id="9596" xr3:uid="{9BD21653-EC69-4273-A488-DC978DB3890B}" name="Spalte9579"/>
    <tableColumn id="9597" xr3:uid="{E15D23E7-BE03-4311-819C-458CBE898056}" name="Spalte9580"/>
    <tableColumn id="9598" xr3:uid="{F64E1C21-2278-44EC-AD2A-4297E56E203E}" name="Spalte9581"/>
    <tableColumn id="9599" xr3:uid="{F8F3DB55-B9C6-46DA-A799-1A423C3AFF2A}" name="Spalte9582"/>
    <tableColumn id="9600" xr3:uid="{779304B2-32D9-49C4-ABCC-77B02D1F0112}" name="Spalte9583"/>
    <tableColumn id="9601" xr3:uid="{6DDCAE15-91C7-47FB-ACDA-E9C531603CB0}" name="Spalte9584"/>
    <tableColumn id="9602" xr3:uid="{8B40A27E-87B1-4857-BEAF-A6281DB45D83}" name="Spalte9585"/>
    <tableColumn id="9603" xr3:uid="{9F6BD55E-5525-4EA6-AAD1-C0BD9E1E321D}" name="Spalte9586"/>
    <tableColumn id="9604" xr3:uid="{3C1AE13B-2403-46B5-93ED-69614CA9EF13}" name="Spalte9587"/>
    <tableColumn id="9605" xr3:uid="{870AFE49-DD50-446D-81EC-8D897A419CAA}" name="Spalte9588"/>
    <tableColumn id="9606" xr3:uid="{ECD7BDAA-4785-4A01-9311-8102210D2EE5}" name="Spalte9589"/>
    <tableColumn id="9607" xr3:uid="{863E4D19-FAFF-409D-98C3-AD2F58D21232}" name="Spalte9590"/>
    <tableColumn id="9608" xr3:uid="{3D6F0547-E619-49EE-8B7A-F27CC20BDCDA}" name="Spalte9591"/>
    <tableColumn id="9609" xr3:uid="{48604EB6-4DC8-4572-9878-D109DEC88690}" name="Spalte9592"/>
    <tableColumn id="9610" xr3:uid="{D6C64B82-1532-45C8-9E80-BC353C965A52}" name="Spalte9593"/>
    <tableColumn id="9611" xr3:uid="{FA747424-10F9-4D23-AC69-B57545ACD7F7}" name="Spalte9594"/>
    <tableColumn id="9612" xr3:uid="{3D0E5F56-6A4F-4ADF-8AED-7A9CBB62E866}" name="Spalte9595"/>
    <tableColumn id="9613" xr3:uid="{63809E7B-48F0-4299-8780-99E4DABF4CE0}" name="Spalte9596"/>
    <tableColumn id="9614" xr3:uid="{956A4B79-DE97-4DCE-9958-31A233E1EF6C}" name="Spalte9597"/>
    <tableColumn id="9615" xr3:uid="{12E79F07-FCF1-4C5A-862A-D4C60398355D}" name="Spalte9598"/>
    <tableColumn id="9616" xr3:uid="{BA282FDA-3D08-42EB-8D3A-E218DBB75806}" name="Spalte9599"/>
    <tableColumn id="9617" xr3:uid="{8AA19139-E85D-4BCD-9695-4A3041D9DD2E}" name="Spalte9600"/>
    <tableColumn id="9618" xr3:uid="{7A7B9314-B49F-4799-8EE9-9FDCE63DBFB9}" name="Spalte9601"/>
    <tableColumn id="9619" xr3:uid="{18279BB0-7F3C-4EC3-85CC-0BE1A7235DC8}" name="Spalte9602"/>
    <tableColumn id="9620" xr3:uid="{D83DD14B-67BA-423D-BC10-D37D9EA682F2}" name="Spalte9603"/>
    <tableColumn id="9621" xr3:uid="{CD6EB752-EB3E-460C-9975-CAA94F41B8F5}" name="Spalte9604"/>
    <tableColumn id="9622" xr3:uid="{B69529B6-A2FC-4F61-96E8-1E23C87F7FEF}" name="Spalte9605"/>
    <tableColumn id="9623" xr3:uid="{3A9D2644-7E60-4CB5-9892-396673D5ECEB}" name="Spalte9606"/>
    <tableColumn id="9624" xr3:uid="{DA674759-764B-4E3C-B8C4-763EC65D4342}" name="Spalte9607"/>
    <tableColumn id="9625" xr3:uid="{EE923AD2-7B8C-4AA6-A438-FE2136143892}" name="Spalte9608"/>
    <tableColumn id="9626" xr3:uid="{F5753940-D056-45F1-BF60-F122A305CC06}" name="Spalte9609"/>
    <tableColumn id="9627" xr3:uid="{9BF7867F-FD87-4322-974F-DC5831782B2E}" name="Spalte9610"/>
    <tableColumn id="9628" xr3:uid="{84760F6E-6C76-49DD-825D-BD336B9C917F}" name="Spalte9611"/>
    <tableColumn id="9629" xr3:uid="{7CC0EE01-09B2-44D9-BF85-841F97ACB4F6}" name="Spalte9612"/>
    <tableColumn id="9630" xr3:uid="{8FF40CE8-B327-43E5-BF9A-32B247A7F353}" name="Spalte9613"/>
    <tableColumn id="9631" xr3:uid="{28A880B7-A5B9-4DE2-928E-B1A3066130F6}" name="Spalte9614"/>
    <tableColumn id="9632" xr3:uid="{14CBFE50-8007-4533-B174-DFC2544CC580}" name="Spalte9615"/>
    <tableColumn id="9633" xr3:uid="{71726CC3-85ED-436B-93C7-64F4BFDFBA2E}" name="Spalte9616"/>
    <tableColumn id="9634" xr3:uid="{8D637250-E27B-4ADF-BB8C-23A13EE64B89}" name="Spalte9617"/>
    <tableColumn id="9635" xr3:uid="{88F6FE4F-0099-430E-BBEC-99BE309ED44D}" name="Spalte9618"/>
    <tableColumn id="9636" xr3:uid="{A59DF4C7-B88A-4BA0-8B8B-8EDF31740375}" name="Spalte9619"/>
    <tableColumn id="9637" xr3:uid="{8042E852-CB41-4A5C-AEF8-339540D43BF3}" name="Spalte9620"/>
    <tableColumn id="9638" xr3:uid="{A7E57BF7-7038-40E7-8346-DF3AC9085AE3}" name="Spalte9621"/>
    <tableColumn id="9639" xr3:uid="{9BE9FA22-746F-4173-91AD-0A95CC4A3CF8}" name="Spalte9622"/>
    <tableColumn id="9640" xr3:uid="{BB86DEB6-F4BE-4C45-8A42-FDCC52924B38}" name="Spalte9623"/>
    <tableColumn id="9641" xr3:uid="{9D659DBD-A69C-4D49-857F-D98C254F7C76}" name="Spalte9624"/>
    <tableColumn id="9642" xr3:uid="{648BB5E7-2CFA-416D-8C14-B8339868BBF7}" name="Spalte9625"/>
    <tableColumn id="9643" xr3:uid="{FEF295FD-FB50-424F-BFC6-3753396B09E3}" name="Spalte9626"/>
    <tableColumn id="9644" xr3:uid="{A8A89F8C-AF98-4DA5-BA87-B49D8042740E}" name="Spalte9627"/>
    <tableColumn id="9645" xr3:uid="{2D680151-33A3-450C-ACDB-865B4161FA33}" name="Spalte9628"/>
    <tableColumn id="9646" xr3:uid="{A418CB84-94A4-4694-8AFF-FD2AA6020BD3}" name="Spalte9629"/>
    <tableColumn id="9647" xr3:uid="{E190F2B5-97EC-41D7-A057-0140D1DE16EF}" name="Spalte9630"/>
    <tableColumn id="9648" xr3:uid="{1F69E998-7A7C-4D2D-B3AF-1CB182A98BD3}" name="Spalte9631"/>
    <tableColumn id="9649" xr3:uid="{7E82337E-05C1-4B87-AA8E-DA99F739EBCF}" name="Spalte9632"/>
    <tableColumn id="9650" xr3:uid="{A67D7E53-E7AB-4CA4-A270-5E423C1850ED}" name="Spalte9633"/>
    <tableColumn id="9651" xr3:uid="{8197427E-BC34-469D-85FB-4F8F79DCF525}" name="Spalte9634"/>
    <tableColumn id="9652" xr3:uid="{578277AD-1D60-4B0D-B151-784D4C2F1461}" name="Spalte9635"/>
    <tableColumn id="9653" xr3:uid="{484A9FBF-8E01-4D5A-A639-4A86C88E03C3}" name="Spalte9636"/>
    <tableColumn id="9654" xr3:uid="{06C6E50D-A51A-4969-B971-4DFE9E9FB9E3}" name="Spalte9637"/>
    <tableColumn id="9655" xr3:uid="{B1DF1B44-FBB7-45E9-844F-54368A0F9B79}" name="Spalte9638"/>
    <tableColumn id="9656" xr3:uid="{6A316A0C-69B6-4317-B710-074ED369CA52}" name="Spalte9639"/>
    <tableColumn id="9657" xr3:uid="{2E7EB971-14B3-40D6-BECC-9F806038FD87}" name="Spalte9640"/>
    <tableColumn id="9658" xr3:uid="{60588DA8-190E-45CD-9357-BC4F789315A3}" name="Spalte9641"/>
    <tableColumn id="9659" xr3:uid="{6E34E5A3-DCCB-4AF7-9E0A-4A10BE2DAEC8}" name="Spalte9642"/>
    <tableColumn id="9660" xr3:uid="{0F0C909B-C3AA-4FAF-B294-62750FF41913}" name="Spalte9643"/>
    <tableColumn id="9661" xr3:uid="{325664D6-60A1-43D7-922D-901B4E3C0C34}" name="Spalte9644"/>
    <tableColumn id="9662" xr3:uid="{32E79399-798C-48A1-9FB4-A4F7EAC94DF4}" name="Spalte9645"/>
    <tableColumn id="9663" xr3:uid="{2CFCFB6F-802E-429D-9BA2-0D138D9DF5B2}" name="Spalte9646"/>
    <tableColumn id="9664" xr3:uid="{4B311543-0B79-4BE7-80A4-16F9974C963E}" name="Spalte9647"/>
    <tableColumn id="9665" xr3:uid="{7EDC8CCD-D25D-4F26-8E84-9B13C1983771}" name="Spalte9648"/>
    <tableColumn id="9666" xr3:uid="{BD207E2E-BEAC-4597-9009-A12FAD3F9377}" name="Spalte9649"/>
    <tableColumn id="9667" xr3:uid="{7E32F223-A5EB-4AE0-8F57-046771E58457}" name="Spalte9650"/>
    <tableColumn id="9668" xr3:uid="{186B9550-CFB2-49F6-B6AD-94CF38702D7E}" name="Spalte9651"/>
    <tableColumn id="9669" xr3:uid="{E4BEA9DC-6808-4B4F-87E9-E5670CECB23A}" name="Spalte9652"/>
    <tableColumn id="9670" xr3:uid="{EAB2A4B1-F315-4F5F-A8DD-7589329D1514}" name="Spalte9653"/>
    <tableColumn id="9671" xr3:uid="{E824907D-38B1-46F2-88B1-3E4531ECCFD2}" name="Spalte9654"/>
    <tableColumn id="9672" xr3:uid="{CECD052A-DC0A-42A0-850B-114B5658CCBA}" name="Spalte9655"/>
    <tableColumn id="9673" xr3:uid="{76E83E6E-598C-469C-86F9-7C2D07339A54}" name="Spalte9656"/>
    <tableColumn id="9674" xr3:uid="{FA3D6890-204A-4734-B458-C282C6C1559F}" name="Spalte9657"/>
    <tableColumn id="9675" xr3:uid="{82C2CFD1-CDC2-4139-8C4F-AECFFB604172}" name="Spalte9658"/>
    <tableColumn id="9676" xr3:uid="{3FEE20FA-DFA1-4153-99DF-E4204225CAAF}" name="Spalte9659"/>
    <tableColumn id="9677" xr3:uid="{4227BE5E-F7A9-4F9E-A0C0-53078B99BE94}" name="Spalte9660"/>
    <tableColumn id="9678" xr3:uid="{F9CA5785-C46B-43AA-9CA6-836556DB9CBB}" name="Spalte9661"/>
    <tableColumn id="9679" xr3:uid="{76DB0F66-68BB-4852-9164-68F635D0B20C}" name="Spalte9662"/>
    <tableColumn id="9680" xr3:uid="{BED6CB1F-EA56-461D-8EAB-4CA0D2D9E66A}" name="Spalte9663"/>
    <tableColumn id="9681" xr3:uid="{6C713B15-E7A4-467D-8D53-4958D746F03C}" name="Spalte9664"/>
    <tableColumn id="9682" xr3:uid="{D263D1AD-9B5E-4C43-B5A5-B156FC89C27F}" name="Spalte9665"/>
    <tableColumn id="9683" xr3:uid="{562503B3-31E9-44A6-968E-14C3B1B34E2E}" name="Spalte9666"/>
    <tableColumn id="9684" xr3:uid="{2A61AC5A-AC89-4259-B406-A2CDEC4DD77C}" name="Spalte9667"/>
    <tableColumn id="9685" xr3:uid="{314C23BE-D2AC-42F6-8A89-E6A3F68C18C5}" name="Spalte9668"/>
    <tableColumn id="9686" xr3:uid="{79EEC1F6-357B-487A-9257-3D969E604B77}" name="Spalte9669"/>
    <tableColumn id="9687" xr3:uid="{BE92D322-8852-4608-B60F-CEDEE4F83416}" name="Spalte9670"/>
    <tableColumn id="9688" xr3:uid="{E9A6CA17-38DD-44BE-BB23-73F059E4B978}" name="Spalte9671"/>
    <tableColumn id="9689" xr3:uid="{58AA822C-735F-4183-A1BD-04DEAF7E171F}" name="Spalte9672"/>
    <tableColumn id="9690" xr3:uid="{CC794894-F4BF-4223-9804-E69546EE85A9}" name="Spalte9673"/>
    <tableColumn id="9691" xr3:uid="{5156B431-7E77-4EF3-AABA-F970341A33E9}" name="Spalte9674"/>
    <tableColumn id="9692" xr3:uid="{01724ED2-3304-4A05-AB31-4C015F259515}" name="Spalte9675"/>
    <tableColumn id="9693" xr3:uid="{3E59022E-0A86-4E87-9E13-99A5AF04A2F1}" name="Spalte9676"/>
    <tableColumn id="9694" xr3:uid="{3A6F30DC-1D91-4CE1-9FEF-693DD9E10D10}" name="Spalte9677"/>
    <tableColumn id="9695" xr3:uid="{D58E1D46-1C68-4B7E-9004-2A5E9FAF44D5}" name="Spalte9678"/>
    <tableColumn id="9696" xr3:uid="{E96C1F1C-049A-41E2-9D64-A7F93BF3A69D}" name="Spalte9679"/>
    <tableColumn id="9697" xr3:uid="{827C24A0-78B0-40E4-AF2A-7388576C401F}" name="Spalte9680"/>
    <tableColumn id="9698" xr3:uid="{9D973A59-26DA-411A-97C2-8B60B8EEE222}" name="Spalte9681"/>
    <tableColumn id="9699" xr3:uid="{E1F2C0BF-584C-4416-9BA3-BAF55676EAC0}" name="Spalte9682"/>
    <tableColumn id="9700" xr3:uid="{45CDDF31-918F-46A7-9BB7-A98E7BF48889}" name="Spalte9683"/>
    <tableColumn id="9701" xr3:uid="{66643144-E506-41B1-B309-F884991D9C9C}" name="Spalte9684"/>
    <tableColumn id="9702" xr3:uid="{6E35D2F7-68A7-4AC4-A2C7-D75B1FB02D59}" name="Spalte9685"/>
    <tableColumn id="9703" xr3:uid="{B8AC00FD-97B5-4921-A434-4C6E6F4930E8}" name="Spalte9686"/>
    <tableColumn id="9704" xr3:uid="{FA97C8CA-8BC8-41E0-93FE-6819B2D62CD6}" name="Spalte9687"/>
    <tableColumn id="9705" xr3:uid="{97C6F980-C769-4937-95A4-7753A8F525EB}" name="Spalte9688"/>
    <tableColumn id="9706" xr3:uid="{ACB44CBB-4B67-4528-9300-D8B0BDD62329}" name="Spalte9689"/>
    <tableColumn id="9707" xr3:uid="{B7948E51-25C0-441F-9A69-B168A8DA9D43}" name="Spalte9690"/>
    <tableColumn id="9708" xr3:uid="{62ED482E-ABAB-46E3-A5D2-419F5E40B36C}" name="Spalte9691"/>
    <tableColumn id="9709" xr3:uid="{F48DE41E-FBA2-47AB-8F90-3188CE5350A3}" name="Spalte9692"/>
    <tableColumn id="9710" xr3:uid="{24A588A0-1401-4B72-B719-6C0EF7207C22}" name="Spalte9693"/>
    <tableColumn id="9711" xr3:uid="{B1914AD3-320E-4EB9-B8E3-B9DE8E101A63}" name="Spalte9694"/>
    <tableColumn id="9712" xr3:uid="{6BBA6C84-2C45-4E21-BB1A-ABF84DBC7B49}" name="Spalte9695"/>
    <tableColumn id="9713" xr3:uid="{5F71F231-E48A-4F81-9A6F-BC6F59A8B576}" name="Spalte9696"/>
    <tableColumn id="9714" xr3:uid="{490EE049-61B8-4963-92AA-06982A87581F}" name="Spalte9697"/>
    <tableColumn id="9715" xr3:uid="{EED9FCDB-2250-45C7-9ED0-88272265C09A}" name="Spalte9698"/>
    <tableColumn id="9716" xr3:uid="{D13BA711-3E14-4884-B936-0E5CC9288B33}" name="Spalte9699"/>
    <tableColumn id="9717" xr3:uid="{8CDEA94C-87B3-4240-89A0-261760B98817}" name="Spalte9700"/>
    <tableColumn id="9718" xr3:uid="{4EC64BC6-7F2F-4949-ABB3-2ED42162DFA5}" name="Spalte9701"/>
    <tableColumn id="9719" xr3:uid="{A584370B-D427-4083-BAC3-98557E59D7EB}" name="Spalte9702"/>
    <tableColumn id="9720" xr3:uid="{11A224D3-A6E2-43F7-B647-CA719A346D20}" name="Spalte9703"/>
    <tableColumn id="9721" xr3:uid="{11AA0DE5-D3DA-4132-8A1C-AF824802952D}" name="Spalte9704"/>
    <tableColumn id="9722" xr3:uid="{AB28C518-A499-4E6B-8347-9F26AF7F4EF0}" name="Spalte9705"/>
    <tableColumn id="9723" xr3:uid="{D031BB40-4442-4E45-913D-72AFB0F37487}" name="Spalte9706"/>
    <tableColumn id="9724" xr3:uid="{D05720B7-2ED1-49B6-ADDA-81B3791B942D}" name="Spalte9707"/>
    <tableColumn id="9725" xr3:uid="{86ABF03E-94DC-44FC-8FF6-AE1F84B61B2D}" name="Spalte9708"/>
    <tableColumn id="9726" xr3:uid="{6981A06C-3E92-4CB0-9A41-F89CA6F59A10}" name="Spalte9709"/>
    <tableColumn id="9727" xr3:uid="{0353E6BC-12C8-40E2-B701-788041765FE8}" name="Spalte9710"/>
    <tableColumn id="9728" xr3:uid="{D8B122CF-CD1F-4A74-8818-C7450110D887}" name="Spalte9711"/>
    <tableColumn id="9729" xr3:uid="{FD9A98E7-9E9A-4BF9-A4EA-9CB98876CB59}" name="Spalte9712"/>
    <tableColumn id="9730" xr3:uid="{8DFBB4D0-9F16-495B-BE32-2947D04ED59B}" name="Spalte9713"/>
    <tableColumn id="9731" xr3:uid="{D6294EBB-E13A-4D58-9C71-3E029788F5E5}" name="Spalte9714"/>
    <tableColumn id="9732" xr3:uid="{FE9E498D-C979-49A6-A425-CB45C8B120A9}" name="Spalte9715"/>
    <tableColumn id="9733" xr3:uid="{E2F7DAFC-1D1A-4F11-9DF9-88C9E5E61558}" name="Spalte9716"/>
    <tableColumn id="9734" xr3:uid="{599D36C9-E717-4837-8099-361AAAF546F8}" name="Spalte9717"/>
    <tableColumn id="9735" xr3:uid="{3A15A9BC-698E-48FF-90CD-0E87D263CCBD}" name="Spalte9718"/>
    <tableColumn id="9736" xr3:uid="{3E89D218-14B4-4840-B798-12CB83F68878}" name="Spalte9719"/>
    <tableColumn id="9737" xr3:uid="{E5D8E575-2E06-4CB4-99C7-2995D39FA30D}" name="Spalte9720"/>
    <tableColumn id="9738" xr3:uid="{ACAD2801-E606-4C6A-B9AA-9B380844C189}" name="Spalte9721"/>
    <tableColumn id="9739" xr3:uid="{6968560D-69E8-45D2-9DA3-712C4D6B1172}" name="Spalte9722"/>
    <tableColumn id="9740" xr3:uid="{EFE9D43A-E5B4-4920-A654-3D5DFD107528}" name="Spalte9723"/>
    <tableColumn id="9741" xr3:uid="{5AB79CF8-D334-4A0C-8A17-2E1CE94C8BC7}" name="Spalte9724"/>
    <tableColumn id="9742" xr3:uid="{EDEA4442-54F0-4334-9399-1B6F3298D6B8}" name="Spalte9725"/>
    <tableColumn id="9743" xr3:uid="{8CE427E6-2E5C-4D9C-866C-E3B36C977056}" name="Spalte9726"/>
    <tableColumn id="9744" xr3:uid="{5EC82DCA-4751-430F-8B63-1A74F5AA250B}" name="Spalte9727"/>
    <tableColumn id="9745" xr3:uid="{6BCF8EA5-5EF1-47BC-881C-387E3076B3DB}" name="Spalte9728"/>
    <tableColumn id="9746" xr3:uid="{C4F5A74B-63B3-4B1B-B980-C7363678DDA4}" name="Spalte9729"/>
    <tableColumn id="9747" xr3:uid="{B0C63D2F-3299-4159-8B0E-2E5FB10F5378}" name="Spalte9730"/>
    <tableColumn id="9748" xr3:uid="{5B593D94-09D0-4B2C-A8EB-E3BE286A67BD}" name="Spalte9731"/>
    <tableColumn id="9749" xr3:uid="{F1FDBFCD-8DA9-4B51-8417-E3B209A9BC2F}" name="Spalte9732"/>
    <tableColumn id="9750" xr3:uid="{5493620E-0A1C-4037-AA61-BFA286D15FFC}" name="Spalte9733"/>
    <tableColumn id="9751" xr3:uid="{FBC4B6B2-FCC3-4A04-B41C-3B9498D15A7F}" name="Spalte9734"/>
    <tableColumn id="9752" xr3:uid="{50E20C31-36EE-4EB3-B764-092A86B9A2B4}" name="Spalte9735"/>
    <tableColumn id="9753" xr3:uid="{53012F11-4C33-4BFE-9611-0E641F69E945}" name="Spalte9736"/>
    <tableColumn id="9754" xr3:uid="{AD80904C-762D-4B45-A11B-F741E99ACF96}" name="Spalte9737"/>
    <tableColumn id="9755" xr3:uid="{CE07224E-EE5D-47EE-B33C-6465B9A265AB}" name="Spalte9738"/>
    <tableColumn id="9756" xr3:uid="{05C98405-7DDE-4A15-8F36-B6B7135A80EC}" name="Spalte9739"/>
    <tableColumn id="9757" xr3:uid="{3424F97C-EB28-48EF-AFAD-B76CB3E76983}" name="Spalte9740"/>
    <tableColumn id="9758" xr3:uid="{C513E08D-048E-4CE7-8321-2A5D923EA40C}" name="Spalte9741"/>
    <tableColumn id="9759" xr3:uid="{194D8EEF-C20D-4ECF-9A15-B9F0A7D08ADA}" name="Spalte9742"/>
    <tableColumn id="9760" xr3:uid="{D9AFA0A8-C22C-4C9A-AC97-5113206C2F75}" name="Spalte9743"/>
    <tableColumn id="9761" xr3:uid="{A1FCCB12-C8BD-492C-BC41-2AB48514974C}" name="Spalte9744"/>
    <tableColumn id="9762" xr3:uid="{9C764B1D-D8CC-421C-A720-AA9959EB7DDE}" name="Spalte9745"/>
    <tableColumn id="9763" xr3:uid="{CC9E126A-3BAB-4959-8269-C249BCCA86A9}" name="Spalte9746"/>
    <tableColumn id="9764" xr3:uid="{C69A7792-CAF9-4562-84EA-DEB30CDDF823}" name="Spalte9747"/>
    <tableColumn id="9765" xr3:uid="{D9FCCD13-D4E3-457C-9DA1-C9C55C6ED496}" name="Spalte9748"/>
    <tableColumn id="9766" xr3:uid="{9DA3AE2D-7836-4663-8A44-FF458BA6C999}" name="Spalte9749"/>
    <tableColumn id="9767" xr3:uid="{E136172F-9E66-4C1F-BD13-1C5741BCCFE6}" name="Spalte9750"/>
    <tableColumn id="9768" xr3:uid="{72BA5201-839F-4EF7-AB3F-6A8506B9BC7A}" name="Spalte9751"/>
    <tableColumn id="9769" xr3:uid="{03CBABDE-45C0-4573-AC17-6E5F1F7DFE61}" name="Spalte9752"/>
    <tableColumn id="9770" xr3:uid="{31D2EBCB-C45A-4D0B-A971-F13ECB0C9FA1}" name="Spalte9753"/>
    <tableColumn id="9771" xr3:uid="{41352439-1F39-4EC7-AD7B-D9809A739E85}" name="Spalte9754"/>
    <tableColumn id="9772" xr3:uid="{EBC8A897-877E-48A7-8975-66E7B9CE553E}" name="Spalte9755"/>
    <tableColumn id="9773" xr3:uid="{D702B20A-CC93-473F-BA2E-D0E228B789B6}" name="Spalte9756"/>
    <tableColumn id="9774" xr3:uid="{1D3D8B44-85FB-4CEC-9CE8-1FC19EC5CEDD}" name="Spalte9757"/>
    <tableColumn id="9775" xr3:uid="{78BFDE66-0C84-4A4D-816C-0DF065F6C2B6}" name="Spalte9758"/>
    <tableColumn id="9776" xr3:uid="{B17471D2-9B6A-4F2A-AED8-D93744AEA721}" name="Spalte9759"/>
    <tableColumn id="9777" xr3:uid="{D23252F3-FF9E-4FBA-9C60-A6DA9E492FED}" name="Spalte9760"/>
    <tableColumn id="9778" xr3:uid="{D68A8A47-33F9-4560-8DFB-A3314887B720}" name="Spalte9761"/>
    <tableColumn id="9779" xr3:uid="{693540E5-149B-498C-8062-727ADBFEAB39}" name="Spalte9762"/>
    <tableColumn id="9780" xr3:uid="{BD3FEC2B-7192-4CCC-89C6-F2D7D1064947}" name="Spalte9763"/>
    <tableColumn id="9781" xr3:uid="{31F9C1DB-880A-4017-9EF8-FDFC57739ECB}" name="Spalte9764"/>
    <tableColumn id="9782" xr3:uid="{E7C5AA55-DA0A-4EF7-A931-6140AB90FDC7}" name="Spalte9765"/>
    <tableColumn id="9783" xr3:uid="{7712357F-45CF-4DB8-9FA6-484BFE0D7099}" name="Spalte9766"/>
    <tableColumn id="9784" xr3:uid="{0DD89C96-71A1-49E8-B746-3BA5C2DD68C1}" name="Spalte9767"/>
    <tableColumn id="9785" xr3:uid="{EDB5E9EE-37C3-4C4C-AD77-682D305F8B1D}" name="Spalte9768"/>
    <tableColumn id="9786" xr3:uid="{0182FBD6-0833-428E-915B-D066769A57D7}" name="Spalte9769"/>
    <tableColumn id="9787" xr3:uid="{90828407-1221-4A6B-A2A9-B6867696F91A}" name="Spalte9770"/>
    <tableColumn id="9788" xr3:uid="{316D8A6C-7CFC-4D99-89AE-BC82AB5619DB}" name="Spalte9771"/>
    <tableColumn id="9789" xr3:uid="{EB385528-98BE-4386-A9FA-274ACA9D825F}" name="Spalte9772"/>
    <tableColumn id="9790" xr3:uid="{CF9A9C85-0968-44D4-85B0-9655C64FC473}" name="Spalte9773"/>
    <tableColumn id="9791" xr3:uid="{ADB26A7B-A2D8-4AB5-920C-D42769398437}" name="Spalte9774"/>
    <tableColumn id="9792" xr3:uid="{D7DDAC59-7C79-4A55-9B84-DB8E3A6BA61A}" name="Spalte9775"/>
    <tableColumn id="9793" xr3:uid="{439ACFA6-D60F-4A30-8D4C-BAEBB947FEB7}" name="Spalte9776"/>
    <tableColumn id="9794" xr3:uid="{3156060D-00CB-4D3E-A050-65E4044A35EA}" name="Spalte9777"/>
    <tableColumn id="9795" xr3:uid="{CCC60E2F-62B9-4F3C-B535-4E2E0B45A63C}" name="Spalte9778"/>
    <tableColumn id="9796" xr3:uid="{A2BD8EA7-028D-4EB3-BCBF-600E562C5E8B}" name="Spalte9779"/>
    <tableColumn id="9797" xr3:uid="{90A2768E-083E-4749-9157-A82907B9D127}" name="Spalte9780"/>
    <tableColumn id="9798" xr3:uid="{EE42765E-3C56-4CA3-A688-A5EB1191ED2A}" name="Spalte9781"/>
    <tableColumn id="9799" xr3:uid="{E751FCF7-B607-41C0-BF89-118A196B8F0A}" name="Spalte9782"/>
    <tableColumn id="9800" xr3:uid="{C17C6A84-AC39-4F97-A7E7-6888EF620C68}" name="Spalte9783"/>
    <tableColumn id="9801" xr3:uid="{2CFCC820-F117-4E74-9D6D-2468299CDD5B}" name="Spalte9784"/>
    <tableColumn id="9802" xr3:uid="{E4C5FA8D-BCB6-43FD-B84C-D882D8495D9C}" name="Spalte9785"/>
    <tableColumn id="9803" xr3:uid="{CA84AB74-BEF6-4DF8-8847-CE2F3E534656}" name="Spalte9786"/>
    <tableColumn id="9804" xr3:uid="{9A43FFF3-CEBA-4541-A1B2-0DADECA77701}" name="Spalte9787"/>
    <tableColumn id="9805" xr3:uid="{7679D2E7-168B-4397-898F-27CF23AE1E7A}" name="Spalte9788"/>
    <tableColumn id="9806" xr3:uid="{3E3D37BC-9746-4A3E-B366-001074EB3969}" name="Spalte9789"/>
    <tableColumn id="9807" xr3:uid="{3A6E4411-D765-49C4-B03A-B71CF12584B9}" name="Spalte9790"/>
    <tableColumn id="9808" xr3:uid="{1A66199B-EE93-4F9C-AEFD-135406F6E6EC}" name="Spalte9791"/>
    <tableColumn id="9809" xr3:uid="{2D46072C-E0FA-4BA1-AE4A-F18EF2FCB233}" name="Spalte9792"/>
    <tableColumn id="9810" xr3:uid="{14FE9C34-8124-47F3-989E-4B94CB8A5A0D}" name="Spalte9793"/>
    <tableColumn id="9811" xr3:uid="{723E0E1F-5370-4F62-8FE0-50DD6991EC85}" name="Spalte9794"/>
    <tableColumn id="9812" xr3:uid="{6F685B0A-9A1B-45D5-BA6D-EB03E7EFEE8C}" name="Spalte9795"/>
    <tableColumn id="9813" xr3:uid="{9F170B93-0770-4601-AED1-3347D0FCF1FA}" name="Spalte9796"/>
    <tableColumn id="9814" xr3:uid="{A58C972A-049B-4011-8213-50A44D311E35}" name="Spalte9797"/>
    <tableColumn id="9815" xr3:uid="{18C7E121-C268-45EB-B389-BB79EA14913B}" name="Spalte9798"/>
    <tableColumn id="9816" xr3:uid="{8D4D4217-5F6E-4C3D-B4E7-86504A989D6B}" name="Spalte9799"/>
    <tableColumn id="9817" xr3:uid="{63CEAF79-A39F-498F-9B10-6CEAABE3B46E}" name="Spalte9800"/>
    <tableColumn id="9818" xr3:uid="{049EC82E-1BF2-4BDD-A4BE-2902F6B48A8B}" name="Spalte9801"/>
    <tableColumn id="9819" xr3:uid="{60D131FA-B6F3-493D-93D7-1DB947E75953}" name="Spalte9802"/>
    <tableColumn id="9820" xr3:uid="{822886CA-939A-4B85-A7F4-5993C8E1F7C9}" name="Spalte9803"/>
    <tableColumn id="9821" xr3:uid="{091A5B0D-629F-49A2-88C0-109CFCE0607D}" name="Spalte9804"/>
    <tableColumn id="9822" xr3:uid="{DCB1679F-F4FB-4312-9FC9-403A69881B6F}" name="Spalte9805"/>
    <tableColumn id="9823" xr3:uid="{4275857D-8BAC-4AA1-AAE1-B9B5FA373CE1}" name="Spalte9806"/>
    <tableColumn id="9824" xr3:uid="{1849BE5E-C05D-4BD3-A9BA-EBD416D7A745}" name="Spalte9807"/>
    <tableColumn id="9825" xr3:uid="{AD2F766A-357F-45D7-A8FE-57A04857E10F}" name="Spalte9808"/>
    <tableColumn id="9826" xr3:uid="{26DD057A-F67E-4B96-AC44-58ACF8795808}" name="Spalte9809"/>
    <tableColumn id="9827" xr3:uid="{4999DCE1-5C77-4C9C-BC88-C713F0C4FA68}" name="Spalte9810"/>
    <tableColumn id="9828" xr3:uid="{21D2833F-BC3D-4495-849D-10BEFB7F3A77}" name="Spalte9811"/>
    <tableColumn id="9829" xr3:uid="{C5FEFEEB-44E7-4412-A15F-E872866B0B5B}" name="Spalte9812"/>
    <tableColumn id="9830" xr3:uid="{55ABAC99-51C1-4462-A25D-F3F67FBD4193}" name="Spalte9813"/>
    <tableColumn id="9831" xr3:uid="{42565B18-4FAF-4A2A-AB80-EEA1D3793ACB}" name="Spalte9814"/>
    <tableColumn id="9832" xr3:uid="{37BC70B4-E540-4CED-B5D0-5C0834C6F380}" name="Spalte9815"/>
    <tableColumn id="9833" xr3:uid="{1CD2F888-3427-41F4-8A52-F96432FDEBFD}" name="Spalte9816"/>
    <tableColumn id="9834" xr3:uid="{C2818A4D-959B-49D9-8282-BBDDDA01D0C9}" name="Spalte9817"/>
    <tableColumn id="9835" xr3:uid="{B717B629-AEC3-426B-A63A-E9979F27D62F}" name="Spalte9818"/>
    <tableColumn id="9836" xr3:uid="{AB47D432-258E-4910-A04D-CFF18F4E18C6}" name="Spalte9819"/>
    <tableColumn id="9837" xr3:uid="{55DD35FD-2019-4B10-8648-32F060ED47AC}" name="Spalte9820"/>
    <tableColumn id="9838" xr3:uid="{0D4D6990-A0F0-43E0-83CC-F51F6F793D6A}" name="Spalte9821"/>
    <tableColumn id="9839" xr3:uid="{6DA4E634-AE31-4F39-AC8C-8B67D9A17FDE}" name="Spalte9822"/>
    <tableColumn id="9840" xr3:uid="{E7959BEC-6782-4852-9508-892AC23583B4}" name="Spalte9823"/>
    <tableColumn id="9841" xr3:uid="{4078F6BC-1619-49EA-B9A6-DB626E21A02B}" name="Spalte9824"/>
    <tableColumn id="9842" xr3:uid="{A08EE603-596C-4A1B-A658-3115784BB6F6}" name="Spalte9825"/>
    <tableColumn id="9843" xr3:uid="{076FBE28-A7F7-43E5-9C60-6E8298675A9D}" name="Spalte9826"/>
    <tableColumn id="9844" xr3:uid="{6F311472-8676-46EA-BF12-E0345697688F}" name="Spalte9827"/>
    <tableColumn id="9845" xr3:uid="{CCAB06B2-A7DC-47E2-A7B6-9D14D7FEDA7C}" name="Spalte9828"/>
    <tableColumn id="9846" xr3:uid="{92E62049-BB75-45E0-8FE2-9EA69CEE6B5F}" name="Spalte9829"/>
    <tableColumn id="9847" xr3:uid="{C0C87EE1-7E8B-4D99-8EEF-C50CD7DA25C7}" name="Spalte9830"/>
    <tableColumn id="9848" xr3:uid="{59DBC9AC-E50A-4275-971D-F440A08921E7}" name="Spalte9831"/>
    <tableColumn id="9849" xr3:uid="{1B920967-F906-43AF-B2DF-246A19AAF68D}" name="Spalte9832"/>
    <tableColumn id="9850" xr3:uid="{333CF974-0447-4C69-AF2F-19C3CA35752B}" name="Spalte9833"/>
    <tableColumn id="9851" xr3:uid="{B82262DF-818F-417D-9E55-6B88CF3CA5FE}" name="Spalte9834"/>
    <tableColumn id="9852" xr3:uid="{E0F7CF99-5CAF-4E79-B64F-A4C3F096AB8F}" name="Spalte9835"/>
    <tableColumn id="9853" xr3:uid="{40146FC0-727D-4329-A05B-6BD6FFD9DE46}" name="Spalte9836"/>
    <tableColumn id="9854" xr3:uid="{612838BD-A346-4A42-A972-15DBDA16DA80}" name="Spalte9837"/>
    <tableColumn id="9855" xr3:uid="{CEBF9275-228F-41FB-AC17-24B81E31D484}" name="Spalte9838"/>
    <tableColumn id="9856" xr3:uid="{82E6B58B-F00B-4D19-AC85-B2A006E64A2B}" name="Spalte9839"/>
    <tableColumn id="9857" xr3:uid="{AA68E3B1-44A9-404E-A684-902C94D58E80}" name="Spalte9840"/>
    <tableColumn id="9858" xr3:uid="{0D1004C4-B46D-4709-AFA9-D6F1FBEF8718}" name="Spalte9841"/>
    <tableColumn id="9859" xr3:uid="{FAE7DC1C-3E1C-4AAC-B581-C01036D58D7E}" name="Spalte9842"/>
    <tableColumn id="9860" xr3:uid="{0643AF72-02CC-47DB-84EC-9D77C1F1FBD1}" name="Spalte9843"/>
    <tableColumn id="9861" xr3:uid="{079E66A9-9F03-41C6-8390-018E7967FAED}" name="Spalte9844"/>
    <tableColumn id="9862" xr3:uid="{0FE0C03B-70EC-4849-9B5A-6A0415641374}" name="Spalte9845"/>
    <tableColumn id="9863" xr3:uid="{6C603336-35CC-4218-A179-A2A196CE8C73}" name="Spalte9846"/>
    <tableColumn id="9864" xr3:uid="{1D0568EE-3D9D-4E21-9889-50D45FBD942A}" name="Spalte9847"/>
    <tableColumn id="9865" xr3:uid="{62E1613A-ADA2-45DF-BABE-71A606B79ACE}" name="Spalte9848"/>
    <tableColumn id="9866" xr3:uid="{542CECD4-89F1-49B1-9848-94D1378F5679}" name="Spalte9849"/>
    <tableColumn id="9867" xr3:uid="{14385EFF-735E-455E-97E6-B82477CB709E}" name="Spalte9850"/>
    <tableColumn id="9868" xr3:uid="{1E785905-505C-4CC7-B171-A7A174E7C46B}" name="Spalte9851"/>
    <tableColumn id="9869" xr3:uid="{9C7EE0A1-4354-4C1D-BD77-16D720CFE4BD}" name="Spalte9852"/>
    <tableColumn id="9870" xr3:uid="{EC48EA72-943E-486B-9925-C93555E0A9C6}" name="Spalte9853"/>
    <tableColumn id="9871" xr3:uid="{70E8D407-C4DD-4028-919D-0EFA04499778}" name="Spalte9854"/>
    <tableColumn id="9872" xr3:uid="{836586FB-72B6-44EE-BAF0-B2CCCB12A469}" name="Spalte9855"/>
    <tableColumn id="9873" xr3:uid="{F59C97D1-060D-4A39-9F07-8572516FB541}" name="Spalte9856"/>
    <tableColumn id="9874" xr3:uid="{5603C3D2-C7CF-4627-B30E-8A5EB92B917A}" name="Spalte9857"/>
    <tableColumn id="9875" xr3:uid="{92C21DA8-C1D7-4377-BB75-85572FEB2B88}" name="Spalte9858"/>
    <tableColumn id="9876" xr3:uid="{F2343830-E907-4958-97E8-9EA8F6B60116}" name="Spalte9859"/>
    <tableColumn id="9877" xr3:uid="{AD7E3236-023D-45A7-B59E-A211DFB5B74D}" name="Spalte9860"/>
    <tableColumn id="9878" xr3:uid="{03BD5E46-FAE9-4E7F-B2CE-4E5A8378556D}" name="Spalte9861"/>
    <tableColumn id="9879" xr3:uid="{F8C2634D-0FEB-4B67-A90D-B82D81209AC5}" name="Spalte9862"/>
    <tableColumn id="9880" xr3:uid="{427584D1-0A48-4B94-BEDF-F97CF0A8CF13}" name="Spalte9863"/>
    <tableColumn id="9881" xr3:uid="{5F9AFFD3-A87A-4A37-B000-ACE59576E4F0}" name="Spalte9864"/>
    <tableColumn id="9882" xr3:uid="{6131330D-5EB1-472A-B0C2-220934EF4268}" name="Spalte9865"/>
    <tableColumn id="9883" xr3:uid="{23B8516B-81DF-48FF-9F17-C55FB3A9F64A}" name="Spalte9866"/>
    <tableColumn id="9884" xr3:uid="{9518B861-A74C-49A9-94E2-111CA2CC2B55}" name="Spalte9867"/>
    <tableColumn id="9885" xr3:uid="{A2147B0B-F31E-4349-AC56-581433232D65}" name="Spalte9868"/>
    <tableColumn id="9886" xr3:uid="{318798FB-E00B-47EE-B98E-41451A29B64A}" name="Spalte9869"/>
    <tableColumn id="9887" xr3:uid="{22505C67-A573-4EE7-9FB2-511F310CA0D0}" name="Spalte9870"/>
    <tableColumn id="9888" xr3:uid="{8042A4B7-0EC5-42C9-B29F-D2F3FEC514D6}" name="Spalte9871"/>
    <tableColumn id="9889" xr3:uid="{78CB4982-6449-4BAF-9533-1A960CAEB854}" name="Spalte9872"/>
    <tableColumn id="9890" xr3:uid="{227BBA18-6318-436B-885D-4CDE6E3F07C0}" name="Spalte9873"/>
    <tableColumn id="9891" xr3:uid="{BD4AD084-683F-4D47-8AEE-5409A175E206}" name="Spalte9874"/>
    <tableColumn id="9892" xr3:uid="{ECA1A03F-E8A3-44AC-8F25-74CB0FDBD2E9}" name="Spalte9875"/>
    <tableColumn id="9893" xr3:uid="{61CA202D-14D5-491D-9FFE-544AB80067A0}" name="Spalte9876"/>
    <tableColumn id="9894" xr3:uid="{1724FC1E-7052-4B75-8C3E-F74530A575DA}" name="Spalte9877"/>
    <tableColumn id="9895" xr3:uid="{5DD5A44D-5B29-4691-964E-27F933DD6F5D}" name="Spalte9878"/>
    <tableColumn id="9896" xr3:uid="{2193ACDF-C481-4ACF-8DFF-9155B9DDE0B3}" name="Spalte9879"/>
    <tableColumn id="9897" xr3:uid="{D052C68A-5744-4B68-AB77-148942289C15}" name="Spalte9880"/>
    <tableColumn id="9898" xr3:uid="{594F0682-493E-47E1-8D25-84F86B7D63BC}" name="Spalte9881"/>
    <tableColumn id="9899" xr3:uid="{25B38BB2-104F-4673-8A55-2FBF5FE94E4D}" name="Spalte9882"/>
    <tableColumn id="9900" xr3:uid="{F9063559-BCF3-42E7-9A15-74CB423DBBCA}" name="Spalte9883"/>
    <tableColumn id="9901" xr3:uid="{0A40F44C-5A68-4AD2-9E63-EA9DE89ABB84}" name="Spalte9884"/>
    <tableColumn id="9902" xr3:uid="{E849AC20-F594-4630-90C7-B236262DAE77}" name="Spalte9885"/>
    <tableColumn id="9903" xr3:uid="{0605A57C-D3FB-45E4-B559-AB98B7562616}" name="Spalte9886"/>
    <tableColumn id="9904" xr3:uid="{0281D038-1699-4125-AB60-0D9ECC66022C}" name="Spalte9887"/>
    <tableColumn id="9905" xr3:uid="{C3729D8E-05AD-47CC-85C6-4E84D441F9AE}" name="Spalte9888"/>
    <tableColumn id="9906" xr3:uid="{41E8ADCE-180E-4174-B825-8BC7AED0FF50}" name="Spalte9889"/>
    <tableColumn id="9907" xr3:uid="{375BBAB3-1F70-4D99-8600-87112DD9A818}" name="Spalte9890"/>
    <tableColumn id="9908" xr3:uid="{4430E2C5-EA7D-4FE3-A61D-F464075EA377}" name="Spalte9891"/>
    <tableColumn id="9909" xr3:uid="{76453B3B-8AF0-4317-83D3-939ABE3F5FC6}" name="Spalte9892"/>
    <tableColumn id="9910" xr3:uid="{9686D65F-3585-40E1-98A9-F910EBC6178F}" name="Spalte9893"/>
    <tableColumn id="9911" xr3:uid="{F2134C82-3885-43DE-AB0C-94B10FCCFED3}" name="Spalte9894"/>
    <tableColumn id="9912" xr3:uid="{166D7503-9EFB-4A25-A15E-A794E1BDCC23}" name="Spalte9895"/>
    <tableColumn id="9913" xr3:uid="{66855A6E-3F22-4E38-8A6F-A875ABE5C976}" name="Spalte9896"/>
    <tableColumn id="9914" xr3:uid="{B05D7057-2A8D-4FB1-B46E-EF60826143BB}" name="Spalte9897"/>
    <tableColumn id="9915" xr3:uid="{D5FF33C5-0808-4355-8863-F1B6D48C86A2}" name="Spalte9898"/>
    <tableColumn id="9916" xr3:uid="{E5599535-ABC0-43B0-AD24-85B62D0281BE}" name="Spalte9899"/>
    <tableColumn id="9917" xr3:uid="{5C38AD95-0D05-4C6F-95B1-81EE5B085E8A}" name="Spalte9900"/>
    <tableColumn id="9918" xr3:uid="{890BD981-3502-40BA-AC4A-840BA182B4B8}" name="Spalte9901"/>
    <tableColumn id="9919" xr3:uid="{E2BD8334-7865-47C3-B049-1BF47B9E8A96}" name="Spalte9902"/>
    <tableColumn id="9920" xr3:uid="{599549F0-643A-4EE2-BDF8-A1B2D5CCAE09}" name="Spalte9903"/>
    <tableColumn id="9921" xr3:uid="{38B2F48B-81D0-4F30-9A40-94CD32B005C0}" name="Spalte9904"/>
    <tableColumn id="9922" xr3:uid="{220F4AF4-CAC4-4287-9542-F8CCE997BF2F}" name="Spalte9905"/>
    <tableColumn id="9923" xr3:uid="{3FF369DB-C2AD-4E5D-9839-9DBD4F0CA63D}" name="Spalte9906"/>
    <tableColumn id="9924" xr3:uid="{0D027D3B-1C92-4158-80EF-73FE40D324AE}" name="Spalte9907"/>
    <tableColumn id="9925" xr3:uid="{359C95AE-B4FE-489D-B172-4B629D9B9AFA}" name="Spalte9908"/>
    <tableColumn id="9926" xr3:uid="{517403D8-BF86-4957-A499-544E5A497352}" name="Spalte9909"/>
    <tableColumn id="9927" xr3:uid="{10C687E8-6CD1-4511-9434-D2A1E7BB1A46}" name="Spalte9910"/>
    <tableColumn id="9928" xr3:uid="{79D537D4-7329-4AE5-A5F5-0C0912E63387}" name="Spalte9911"/>
    <tableColumn id="9929" xr3:uid="{91CAD38B-26A2-440A-80A9-4180F6B5EEC3}" name="Spalte9912"/>
    <tableColumn id="9930" xr3:uid="{A3A537CB-563A-4646-AED8-EDF3B46B8AD7}" name="Spalte9913"/>
    <tableColumn id="9931" xr3:uid="{D7DE3C89-1DBA-49B6-B7DA-D895BFCE55A8}" name="Spalte9914"/>
    <tableColumn id="9932" xr3:uid="{D718E8D5-74C2-4A95-9525-5A0CFA0E422B}" name="Spalte9915"/>
    <tableColumn id="9933" xr3:uid="{AAD65422-F6FD-46EB-9BDB-1794E7FED09B}" name="Spalte9916"/>
    <tableColumn id="9934" xr3:uid="{AE525F91-EF19-48D9-AD17-211AD8C2378B}" name="Spalte9917"/>
    <tableColumn id="9935" xr3:uid="{C0BE2D2B-E853-4D9D-AE50-8B77FC8EEDE6}" name="Spalte9918"/>
    <tableColumn id="9936" xr3:uid="{E6C47B4B-F2E2-42E6-BA8B-C4DD9AF9E301}" name="Spalte9919"/>
    <tableColumn id="9937" xr3:uid="{91D1A776-CB80-4903-8AD3-488EA6077E70}" name="Spalte9920"/>
    <tableColumn id="9938" xr3:uid="{A6B590CA-E113-4B0D-BD13-411856B38F1B}" name="Spalte9921"/>
    <tableColumn id="9939" xr3:uid="{25D6B27A-BEA4-4869-88E4-298B03E89C31}" name="Spalte9922"/>
    <tableColumn id="9940" xr3:uid="{22F80E12-F0B2-4C3E-8424-C0DFBD63C0AB}" name="Spalte9923"/>
    <tableColumn id="9941" xr3:uid="{DF4A2B0C-19D9-4CD4-AA39-B55B87E4F336}" name="Spalte9924"/>
    <tableColumn id="9942" xr3:uid="{1BE03302-4A70-4B0B-A1C5-7335CAF9A740}" name="Spalte9925"/>
    <tableColumn id="9943" xr3:uid="{53791281-B51E-4390-B935-6CB969357505}" name="Spalte9926"/>
    <tableColumn id="9944" xr3:uid="{88A29696-4CF0-4D65-8F15-019DC9626705}" name="Spalte9927"/>
    <tableColumn id="9945" xr3:uid="{344FCCE0-3CA3-4EB1-8811-FCAFB6066C71}" name="Spalte9928"/>
    <tableColumn id="9946" xr3:uid="{CB238AB5-9C42-459B-A5ED-D121DADDEBC8}" name="Spalte9929"/>
    <tableColumn id="9947" xr3:uid="{B870CD43-2934-411D-A1C1-1080384D5058}" name="Spalte9930"/>
    <tableColumn id="9948" xr3:uid="{0CB7EA2C-8B4D-494D-A5C0-F8B894F3FCC4}" name="Spalte9931"/>
    <tableColumn id="9949" xr3:uid="{49DBC173-F8E0-424E-98D2-544FA492C537}" name="Spalte9932"/>
    <tableColumn id="9950" xr3:uid="{DFED5285-A896-4DE9-A491-63F25A88CCBC}" name="Spalte9933"/>
    <tableColumn id="9951" xr3:uid="{2D77B725-C7F0-4137-B1E6-DF697F0C8EDA}" name="Spalte9934"/>
    <tableColumn id="9952" xr3:uid="{36653B6E-33BF-4646-B528-46B87CD727A2}" name="Spalte9935"/>
    <tableColumn id="9953" xr3:uid="{16E8166F-2935-4CA4-A62C-76DAEE965D80}" name="Spalte9936"/>
    <tableColumn id="9954" xr3:uid="{592238EF-04D0-4328-ABF0-DB51D2DFB570}" name="Spalte9937"/>
    <tableColumn id="9955" xr3:uid="{1DE1765B-A3F7-4294-BAD9-0A083D0843AD}" name="Spalte9938"/>
    <tableColumn id="9956" xr3:uid="{0AFEC451-D76E-4630-B62D-0F2DCD49D78E}" name="Spalte9939"/>
    <tableColumn id="9957" xr3:uid="{D772C73A-23F2-4589-8D54-A47121E40752}" name="Spalte9940"/>
    <tableColumn id="9958" xr3:uid="{330762E0-737A-453B-BC98-FBC8C8D58A53}" name="Spalte9941"/>
    <tableColumn id="9959" xr3:uid="{8147F8E9-5240-47AD-A4E6-91E90B715C84}" name="Spalte9942"/>
    <tableColumn id="9960" xr3:uid="{2FB6181B-2BE0-46D5-8B52-7A62D40C8D2C}" name="Spalte9943"/>
    <tableColumn id="9961" xr3:uid="{6096BF3E-B975-4F36-BF3D-E2FA0B6854D5}" name="Spalte9944"/>
    <tableColumn id="9962" xr3:uid="{0F83A69E-508D-4367-8936-912CE7BCFA40}" name="Spalte9945"/>
    <tableColumn id="9963" xr3:uid="{5C8BDD30-EC6A-40A3-B829-B029F7447CBF}" name="Spalte9946"/>
    <tableColumn id="9964" xr3:uid="{7C9A16DA-02E4-4715-B205-7074C72F63EC}" name="Spalte9947"/>
    <tableColumn id="9965" xr3:uid="{FA67CAC6-D361-41A1-A669-7C3FC7A5B89D}" name="Spalte9948"/>
    <tableColumn id="9966" xr3:uid="{68EA7E7B-F3EC-4F3B-A267-AC765535B2EE}" name="Spalte9949"/>
    <tableColumn id="9967" xr3:uid="{14C7C99D-8120-45C2-AF99-892546159597}" name="Spalte9950"/>
    <tableColumn id="9968" xr3:uid="{5772C19C-9133-497B-AF8A-0D957414B2F9}" name="Spalte9951"/>
    <tableColumn id="9969" xr3:uid="{3AE74611-E6C9-463E-AC0A-E0EA2BD4E62D}" name="Spalte9952"/>
    <tableColumn id="9970" xr3:uid="{9C48D1E1-9AFC-44DB-9782-0B63FCDA517B}" name="Spalte9953"/>
    <tableColumn id="9971" xr3:uid="{A78DFE18-9FFF-4B6F-8203-9FE60936B69D}" name="Spalte9954"/>
    <tableColumn id="9972" xr3:uid="{3C7A15FF-7751-4267-AA2A-7A65E1A1127D}" name="Spalte9955"/>
    <tableColumn id="9973" xr3:uid="{399EF9E0-7821-4225-A513-A2161D0535AD}" name="Spalte9956"/>
    <tableColumn id="9974" xr3:uid="{07B99C13-CD6A-40E9-A781-FCCBF499F687}" name="Spalte9957"/>
    <tableColumn id="9975" xr3:uid="{51642479-D3FF-4678-B8EA-2BD685C72EF7}" name="Spalte9958"/>
    <tableColumn id="9976" xr3:uid="{FC5CE5B6-96B3-4325-B9D0-ABBB6DE0988A}" name="Spalte9959"/>
    <tableColumn id="9977" xr3:uid="{215A9670-42C7-447A-A44A-6B3EC50C13EC}" name="Spalte9960"/>
    <tableColumn id="9978" xr3:uid="{5DCEE270-AF5E-4A0E-962B-49FDF3CCC8BF}" name="Spalte9961"/>
    <tableColumn id="9979" xr3:uid="{B1136C3B-20A8-4408-B20A-0F69A401DBFF}" name="Spalte9962"/>
    <tableColumn id="9980" xr3:uid="{365B0E21-64BE-465A-88CE-631DFE6E2A15}" name="Spalte9963"/>
    <tableColumn id="9981" xr3:uid="{7AA8D561-DADD-4648-B0A9-6DDF2A8E7972}" name="Spalte9964"/>
    <tableColumn id="9982" xr3:uid="{F7683CA7-59E3-4801-95C2-BC173CDCA893}" name="Spalte9965"/>
    <tableColumn id="9983" xr3:uid="{9049F90E-A9DB-46A3-953D-34F4A5E7D1DC}" name="Spalte9966"/>
    <tableColumn id="9984" xr3:uid="{9F170A2F-66F4-492C-85A1-541AF71021D5}" name="Spalte9967"/>
    <tableColumn id="9985" xr3:uid="{4E1F7084-92B9-4712-8D8F-FEDFB3B77F59}" name="Spalte9968"/>
    <tableColumn id="9986" xr3:uid="{11049996-F1B7-4FE8-AFE3-B60697EE063D}" name="Spalte9969"/>
    <tableColumn id="9987" xr3:uid="{EB2B72D5-8911-4025-AFA6-6039AE19A224}" name="Spalte9970"/>
    <tableColumn id="9988" xr3:uid="{A61575AA-226A-4F81-89E9-D8FCEBFD676B}" name="Spalte9971"/>
    <tableColumn id="9989" xr3:uid="{2D458A2E-1B5A-4FAA-B646-837820D593D6}" name="Spalte9972"/>
    <tableColumn id="9990" xr3:uid="{7EA9E1B0-4E4F-44CD-9F84-D7D33072A225}" name="Spalte9973"/>
    <tableColumn id="9991" xr3:uid="{38684815-C520-41FB-99A1-0EEEB6A6C4CB}" name="Spalte9974"/>
    <tableColumn id="9992" xr3:uid="{86EA663C-8AA6-4082-A7DA-4DA5AA9C879C}" name="Spalte9975"/>
    <tableColumn id="9993" xr3:uid="{9A2E21F1-B54D-47AE-AE35-0C01000E8CFF}" name="Spalte9976"/>
    <tableColumn id="9994" xr3:uid="{582F30FA-7830-4896-8E02-F895E391C65D}" name="Spalte9977"/>
    <tableColumn id="9995" xr3:uid="{F6F7C7DB-C0F8-4394-BECE-9B8D3C841DED}" name="Spalte9978"/>
    <tableColumn id="9996" xr3:uid="{4E679820-A881-4B83-9329-85011FE89BC6}" name="Spalte9979"/>
    <tableColumn id="9997" xr3:uid="{BEBAAC7A-DADD-42AF-830D-A86B5BE1E6F5}" name="Spalte9980"/>
    <tableColumn id="9998" xr3:uid="{81005340-F32E-414A-AD9B-A96BEEA54E1B}" name="Spalte9981"/>
    <tableColumn id="9999" xr3:uid="{E2DA334C-8605-4DCA-B1C3-676324816B36}" name="Spalte9982"/>
    <tableColumn id="10000" xr3:uid="{073918D4-81AE-418C-B52F-B0CCEF1FB26F}" name="Spalte9983"/>
    <tableColumn id="10001" xr3:uid="{1CB060D9-80EF-497F-BF62-25B129B70E75}" name="Spalte9984"/>
    <tableColumn id="10002" xr3:uid="{F5B38A53-BF9B-4C4C-85A0-E9C9AE2E87B4}" name="Spalte9985"/>
    <tableColumn id="10003" xr3:uid="{D8B92CA7-9BE9-4DDB-8357-CB9BEBC8DF3C}" name="Spalte9986"/>
    <tableColumn id="10004" xr3:uid="{1886ED99-E664-4405-86F5-EA126641A19B}" name="Spalte9987"/>
    <tableColumn id="10005" xr3:uid="{C98F8711-AEB9-4DE6-B17A-27CBA46344F3}" name="Spalte9988"/>
    <tableColumn id="10006" xr3:uid="{39F67185-2184-4F94-97C4-06078C77C6CD}" name="Spalte9989"/>
    <tableColumn id="10007" xr3:uid="{E0FC2EC5-3773-49EF-AC88-FAC9AABCA31C}" name="Spalte9990"/>
    <tableColumn id="10008" xr3:uid="{CF6DFBCE-4557-4436-9068-22D441575848}" name="Spalte9991"/>
    <tableColumn id="10009" xr3:uid="{B35F30D5-1405-4C31-920F-8287728F6368}" name="Spalte9992"/>
    <tableColumn id="10010" xr3:uid="{372EAF01-CAEF-4353-8D5A-8FE262654210}" name="Spalte9993"/>
    <tableColumn id="10011" xr3:uid="{510568A1-9AD1-4902-9059-21B766CECF70}" name="Spalte9994"/>
    <tableColumn id="10012" xr3:uid="{25C5A8F4-A739-4337-BA0C-19DCE801F398}" name="Spalte9995"/>
    <tableColumn id="10013" xr3:uid="{7C5BFB26-3326-416E-9F24-00F20624E39C}" name="Spalte9996"/>
    <tableColumn id="10014" xr3:uid="{B6159A2D-BE98-4B53-A963-D4195DE6500B}" name="Spalte9997"/>
    <tableColumn id="10015" xr3:uid="{B76A1780-1477-43E4-A703-458BCEDFF35E}" name="Spalte9998"/>
    <tableColumn id="10016" xr3:uid="{6FD44BA6-4E30-4577-BF0A-B12270D644BC}" name="Spalte9999"/>
    <tableColumn id="10017" xr3:uid="{80D4DC43-65C2-43FA-BCE0-6F16BFD41BC1}" name="Spalte10000"/>
    <tableColumn id="10018" xr3:uid="{30C882BF-64B3-474E-9541-97FEDE1B0A65}" name="Spalte10001"/>
    <tableColumn id="10019" xr3:uid="{CC9409AA-867B-4770-8600-059938DAA6C6}" name="Spalte10002"/>
    <tableColumn id="10020" xr3:uid="{B161F626-97D4-449D-8AD5-5FF6888AE41E}" name="Spalte10003"/>
    <tableColumn id="10021" xr3:uid="{6E87D416-4DC3-4FA7-A5CE-BBB7B1FB9101}" name="Spalte10004"/>
    <tableColumn id="10022" xr3:uid="{085827DA-1B62-4318-84F0-CA80D9D5C403}" name="Spalte10005"/>
    <tableColumn id="10023" xr3:uid="{41BC35DF-19DF-4BF3-B407-2996EB96D78F}" name="Spalte10006"/>
    <tableColumn id="10024" xr3:uid="{77C2D28F-C8E5-444C-8519-07E27904ADAF}" name="Spalte10007"/>
    <tableColumn id="10025" xr3:uid="{445370DA-4BE4-45AC-98A7-DC63D0E78AA4}" name="Spalte10008"/>
    <tableColumn id="10026" xr3:uid="{0143816D-DBD1-449E-A41D-9C76DE6E70DE}" name="Spalte10009"/>
    <tableColumn id="10027" xr3:uid="{820B12E4-67C7-45FF-A7F4-C7F4A3AF930C}" name="Spalte10010"/>
    <tableColumn id="10028" xr3:uid="{726514F4-EAC1-4486-A91C-E9A407A650E3}" name="Spalte10011"/>
    <tableColumn id="10029" xr3:uid="{F280D3DF-9CDD-4FB9-AAEF-041EE1BD3339}" name="Spalte10012"/>
    <tableColumn id="10030" xr3:uid="{073D7AF5-6471-488A-91A0-EBEFCBAA7F98}" name="Spalte10013"/>
    <tableColumn id="10031" xr3:uid="{61D407F3-15ED-454C-8635-75D86C6D9CC1}" name="Spalte10014"/>
    <tableColumn id="10032" xr3:uid="{8B881D17-7E4B-4245-AA1F-712817510647}" name="Spalte10015"/>
    <tableColumn id="10033" xr3:uid="{11D809A6-0CFF-4C6C-AEE0-CD857B379F91}" name="Spalte10016"/>
    <tableColumn id="10034" xr3:uid="{B425CBC2-9969-4605-9E68-93E72ED0791B}" name="Spalte10017"/>
    <tableColumn id="10035" xr3:uid="{99FD4624-F2DC-48EE-977E-6C6BFF3F5146}" name="Spalte10018"/>
    <tableColumn id="10036" xr3:uid="{503DDBA3-F215-46C4-9FA0-1AC289482D0B}" name="Spalte10019"/>
    <tableColumn id="10037" xr3:uid="{FA8D2BC4-10D7-4E26-B148-990403661C53}" name="Spalte10020"/>
    <tableColumn id="10038" xr3:uid="{B849BDE0-27DE-4AEF-B24D-54AFCD27B7CE}" name="Spalte10021"/>
    <tableColumn id="10039" xr3:uid="{B2B3B658-717D-4B5E-B954-337FCC9BD787}" name="Spalte10022"/>
    <tableColumn id="10040" xr3:uid="{10EEC337-4BCB-4A7F-A98C-6C3F6E76B719}" name="Spalte10023"/>
    <tableColumn id="10041" xr3:uid="{96ADB8AD-9A39-4F08-B223-45EED17075AE}" name="Spalte10024"/>
    <tableColumn id="10042" xr3:uid="{BAB1AF3A-3731-4CD9-A102-162520C31DF4}" name="Spalte10025"/>
    <tableColumn id="10043" xr3:uid="{FDD9F902-9D53-4A1B-999E-FC3BBADA8861}" name="Spalte10026"/>
    <tableColumn id="10044" xr3:uid="{34BDEED5-2FEF-4968-B060-740293ADFDE9}" name="Spalte10027"/>
    <tableColumn id="10045" xr3:uid="{2661A163-AF28-4FCC-A9B9-045EEAEF39B9}" name="Spalte10028"/>
    <tableColumn id="10046" xr3:uid="{38CC8831-4EE5-45CD-B984-EDDDF1DA3E3C}" name="Spalte10029"/>
    <tableColumn id="10047" xr3:uid="{56DD79E9-CF6C-4515-9702-D3F66BA01A36}" name="Spalte10030"/>
    <tableColumn id="10048" xr3:uid="{1458AF13-7E5A-4DD0-9518-CEC89B0B0755}" name="Spalte10031"/>
    <tableColumn id="10049" xr3:uid="{3F944C14-1950-4C79-A1BD-86FD807766C9}" name="Spalte10032"/>
    <tableColumn id="10050" xr3:uid="{D9894A78-727B-4DD2-8472-C538AC0637ED}" name="Spalte10033"/>
    <tableColumn id="10051" xr3:uid="{03A04A08-5B12-4628-A7D2-52AD4FBCA4E1}" name="Spalte10034"/>
    <tableColumn id="10052" xr3:uid="{285D951C-D67F-4541-B172-A354FDD5B9F8}" name="Spalte10035"/>
    <tableColumn id="10053" xr3:uid="{24B4E0FF-2769-419D-8537-2506DDCA746C}" name="Spalte10036"/>
    <tableColumn id="10054" xr3:uid="{E710B7BB-6A18-4298-B4B7-FA03860739FF}" name="Spalte10037"/>
    <tableColumn id="10055" xr3:uid="{FF62415C-A616-4A89-AAF4-7F452598A124}" name="Spalte10038"/>
    <tableColumn id="10056" xr3:uid="{B1FB54AE-A88C-459C-BD05-D9B998CE4685}" name="Spalte10039"/>
    <tableColumn id="10057" xr3:uid="{18CA7884-5B67-409B-BE53-8E09E4697C1F}" name="Spalte10040"/>
    <tableColumn id="10058" xr3:uid="{F7B629ED-82EB-48BA-A648-903178CE6912}" name="Spalte10041"/>
    <tableColumn id="10059" xr3:uid="{A240C314-AAFD-40AD-A230-C455B897D68E}" name="Spalte10042"/>
    <tableColumn id="10060" xr3:uid="{F67161A3-172D-442D-9912-ECD91C0A9B00}" name="Spalte10043"/>
    <tableColumn id="10061" xr3:uid="{A9366CE0-9A18-4B8D-A0EA-B97BF0C2BEA2}" name="Spalte10044"/>
    <tableColumn id="10062" xr3:uid="{FE33ABA6-CABE-45B0-A39C-9DAFAEE775A0}" name="Spalte10045"/>
    <tableColumn id="10063" xr3:uid="{805F4957-3B99-459F-8964-4D24EE54E346}" name="Spalte10046"/>
    <tableColumn id="10064" xr3:uid="{3134D489-D193-43C1-800E-5B3CDB08ACC7}" name="Spalte10047"/>
    <tableColumn id="10065" xr3:uid="{F14676EF-2DED-4B85-8545-E14B21D190F3}" name="Spalte10048"/>
    <tableColumn id="10066" xr3:uid="{A5233C25-CFE1-4060-BE2F-98981C99104B}" name="Spalte10049"/>
    <tableColumn id="10067" xr3:uid="{6E2AE7B1-5B17-422B-9A11-4984D3DFC370}" name="Spalte10050"/>
    <tableColumn id="10068" xr3:uid="{BB91B237-81CD-49A7-8D3E-DFACCF885641}" name="Spalte10051"/>
    <tableColumn id="10069" xr3:uid="{15037572-BCA9-4912-BDC2-E678DBC6A1AE}" name="Spalte10052"/>
    <tableColumn id="10070" xr3:uid="{0F7624A4-9C95-497E-A728-0C13AB2D2252}" name="Spalte10053"/>
    <tableColumn id="10071" xr3:uid="{B4FDCE0F-5DB5-4702-B7E3-AAED92DFFF60}" name="Spalte10054"/>
    <tableColumn id="10072" xr3:uid="{D9D24974-B041-458E-BA3B-00DFDCB0AF0B}" name="Spalte10055"/>
    <tableColumn id="10073" xr3:uid="{F318ACDF-7966-4A4C-A3E2-706389359FDE}" name="Spalte10056"/>
    <tableColumn id="10074" xr3:uid="{A0354A80-9B90-406A-B1C2-B34B35668DC0}" name="Spalte10057"/>
    <tableColumn id="10075" xr3:uid="{92729F63-BCCC-46DF-82B0-572F86FDE09A}" name="Spalte10058"/>
    <tableColumn id="10076" xr3:uid="{7264E776-FD60-430D-9013-37F70E8F7FC8}" name="Spalte10059"/>
    <tableColumn id="10077" xr3:uid="{7F7D8B40-3990-4D39-9679-D1DB4FE6D026}" name="Spalte10060"/>
    <tableColumn id="10078" xr3:uid="{9BEE2354-98A4-4349-B527-E10B5A8E1C4D}" name="Spalte10061"/>
    <tableColumn id="10079" xr3:uid="{9E7F9008-2814-4CAA-8B0D-CBF26A2B3BA0}" name="Spalte10062"/>
    <tableColumn id="10080" xr3:uid="{719133F2-1F36-45CF-AD73-26471C3C990A}" name="Spalte10063"/>
    <tableColumn id="10081" xr3:uid="{42E55C05-7E96-4258-926D-301F8AED2942}" name="Spalte10064"/>
    <tableColumn id="10082" xr3:uid="{E8A9E9DC-CBB7-49A1-A5B4-7FD1912520F5}" name="Spalte10065"/>
    <tableColumn id="10083" xr3:uid="{224D7BD5-EC22-4830-B176-76684469BD0E}" name="Spalte10066"/>
    <tableColumn id="10084" xr3:uid="{1F39213A-7B8B-424B-981D-9593D876B795}" name="Spalte10067"/>
    <tableColumn id="10085" xr3:uid="{28EA6823-BB9A-4A59-86D1-26C03A8E7455}" name="Spalte10068"/>
    <tableColumn id="10086" xr3:uid="{089F8F20-E2C2-439F-887D-2C631F4C3585}" name="Spalte10069"/>
    <tableColumn id="10087" xr3:uid="{8870700D-EE4E-45AE-BAAB-3A8B0BB0CD43}" name="Spalte10070"/>
    <tableColumn id="10088" xr3:uid="{5BAFE8FE-82F8-49C8-A789-43A4B36A5CC9}" name="Spalte10071"/>
    <tableColumn id="10089" xr3:uid="{C9C6F00D-CE1A-478D-B323-D76C6E6FF8EB}" name="Spalte10072"/>
    <tableColumn id="10090" xr3:uid="{EBCDD026-56EA-455C-AF32-D7CC05585FD5}" name="Spalte10073"/>
    <tableColumn id="10091" xr3:uid="{4BE53B91-29BD-4C66-803E-687BEE4762D1}" name="Spalte10074"/>
    <tableColumn id="10092" xr3:uid="{CC831BB2-CF39-42B8-8C5D-8DA67067999E}" name="Spalte10075"/>
    <tableColumn id="10093" xr3:uid="{E7D68D8B-376C-441B-A407-8397FA5A8A75}" name="Spalte10076"/>
    <tableColumn id="10094" xr3:uid="{8C72DC03-72C8-4AE7-994C-125C1265CD89}" name="Spalte10077"/>
    <tableColumn id="10095" xr3:uid="{12918B72-EF6E-425D-9A02-BCB45534889D}" name="Spalte10078"/>
    <tableColumn id="10096" xr3:uid="{FA22AC72-14CE-42A9-95AB-92A53E477202}" name="Spalte10079"/>
    <tableColumn id="10097" xr3:uid="{4B11E496-3EB1-4E6A-B93B-9E26FA67429E}" name="Spalte10080"/>
    <tableColumn id="10098" xr3:uid="{1D8D0497-3575-4914-AA5B-6794E0AB8E04}" name="Spalte10081"/>
    <tableColumn id="10099" xr3:uid="{0523A3C7-6BD9-46ED-B0AC-848256777575}" name="Spalte10082"/>
    <tableColumn id="10100" xr3:uid="{D72894D1-C5C6-461E-9888-7687588B30D5}" name="Spalte10083"/>
    <tableColumn id="10101" xr3:uid="{7461552B-2E04-4137-A59C-CCDF49C0D8D5}" name="Spalte10084"/>
    <tableColumn id="10102" xr3:uid="{4BA9D013-7F11-4EE6-804F-7E5C8C8B0136}" name="Spalte10085"/>
    <tableColumn id="10103" xr3:uid="{4A5C82E6-784E-4C44-B088-A8E9CBB61922}" name="Spalte10086"/>
    <tableColumn id="10104" xr3:uid="{1824AF21-5483-4422-A49F-89139BC29BEE}" name="Spalte10087"/>
    <tableColumn id="10105" xr3:uid="{771E63C6-F430-4448-84FC-2E74E9EC14D0}" name="Spalte10088"/>
    <tableColumn id="10106" xr3:uid="{B18F6182-8918-4F9F-ADAB-3DDA977EF0CB}" name="Spalte10089"/>
    <tableColumn id="10107" xr3:uid="{8A7CC12A-A30A-4287-AA3B-B78CF76078F7}" name="Spalte10090"/>
    <tableColumn id="10108" xr3:uid="{947C1C8A-DA30-4017-8F69-339E24F40CEB}" name="Spalte10091"/>
    <tableColumn id="10109" xr3:uid="{0B6F7E82-E771-4477-ABE7-7FA1FCAE0E5D}" name="Spalte10092"/>
    <tableColumn id="10110" xr3:uid="{C17E53F1-7AD4-4EA7-9134-AF169766E573}" name="Spalte10093"/>
    <tableColumn id="10111" xr3:uid="{4FB58DC5-0AA3-4DA1-B4B7-71F54EF6AEFE}" name="Spalte10094"/>
    <tableColumn id="10112" xr3:uid="{2805E180-D7BB-4FFD-ACDF-BBC4552C1FF8}" name="Spalte10095"/>
    <tableColumn id="10113" xr3:uid="{0DFE79FA-187E-48DE-A6D9-C4BCDE46EF9E}" name="Spalte10096"/>
    <tableColumn id="10114" xr3:uid="{7010893F-6927-4C33-BA44-1AB0B5C3B5F9}" name="Spalte10097"/>
    <tableColumn id="10115" xr3:uid="{80D15F2E-0707-4842-A4A2-1FF10F381928}" name="Spalte10098"/>
    <tableColumn id="10116" xr3:uid="{10B6336D-BB33-4DC9-BF5A-AAE80C9609E3}" name="Spalte10099"/>
    <tableColumn id="10117" xr3:uid="{304BB67D-CC45-4CA2-8732-78EA801E1CB6}" name="Spalte10100"/>
    <tableColumn id="10118" xr3:uid="{4FBAD88A-FCC4-4598-B0D8-495745D1CF7E}" name="Spalte10101"/>
    <tableColumn id="10119" xr3:uid="{6CDB2520-160E-4FC3-98DF-1840674AB006}" name="Spalte10102"/>
    <tableColumn id="10120" xr3:uid="{1D03E25B-2A4E-4BB1-A7D7-5C720713100D}" name="Spalte10103"/>
    <tableColumn id="10121" xr3:uid="{3D22C494-5454-4EC6-96F6-731F335521D3}" name="Spalte10104"/>
    <tableColumn id="10122" xr3:uid="{375F4F21-3A49-41E0-9501-A690A348BB0E}" name="Spalte10105"/>
    <tableColumn id="10123" xr3:uid="{23D70774-962C-4100-9B01-5CAEE7813D17}" name="Spalte10106"/>
    <tableColumn id="10124" xr3:uid="{D22AEAEF-FAF8-4CCF-89DC-DF5D7314A25C}" name="Spalte10107"/>
    <tableColumn id="10125" xr3:uid="{6DECFE0D-412A-4363-9041-DD200237B7F3}" name="Spalte10108"/>
    <tableColumn id="10126" xr3:uid="{5E8BC486-8D5B-4248-84FF-5EE378C02C8A}" name="Spalte10109"/>
    <tableColumn id="10127" xr3:uid="{049D2942-524C-4557-BFD0-61E42ADCBEA8}" name="Spalte10110"/>
    <tableColumn id="10128" xr3:uid="{953C5D8B-9C1C-4452-A4F1-FBF03BBEC983}" name="Spalte10111"/>
    <tableColumn id="10129" xr3:uid="{3DDDDBD2-495E-4A9B-8C83-F5CCDBE63A10}" name="Spalte10112"/>
    <tableColumn id="10130" xr3:uid="{582DC872-F70B-448E-B429-34C03FE1A6B6}" name="Spalte10113"/>
    <tableColumn id="10131" xr3:uid="{F690D06E-6624-422F-8956-2246C6698F63}" name="Spalte10114"/>
    <tableColumn id="10132" xr3:uid="{9EEBE87A-0806-46BF-AE48-10B845E3063E}" name="Spalte10115"/>
    <tableColumn id="10133" xr3:uid="{BB48BA33-E472-4CB9-AB12-187F131EC54D}" name="Spalte10116"/>
    <tableColumn id="10134" xr3:uid="{E3916001-3888-4D07-9340-59B2B23403DF}" name="Spalte10117"/>
    <tableColumn id="10135" xr3:uid="{B1034335-4EAA-4544-9589-AD39E40F0BEA}" name="Spalte10118"/>
    <tableColumn id="10136" xr3:uid="{E4B8224E-132B-4EF8-9436-6464E88F66CE}" name="Spalte10119"/>
    <tableColumn id="10137" xr3:uid="{5DEE5F26-17F8-4B36-8A80-6B39536C8648}" name="Spalte10120"/>
    <tableColumn id="10138" xr3:uid="{03A77FF0-E618-4770-8A7A-210D206991EF}" name="Spalte10121"/>
    <tableColumn id="10139" xr3:uid="{822A10B5-96A8-4A0C-8BEB-2DAC8ABEF205}" name="Spalte10122"/>
    <tableColumn id="10140" xr3:uid="{8D58CE31-ABE5-4482-A326-13127592E0AA}" name="Spalte10123"/>
    <tableColumn id="10141" xr3:uid="{6BE31BB8-5629-46F2-AD2C-C974CEE300A2}" name="Spalte10124"/>
    <tableColumn id="10142" xr3:uid="{51144FDE-817D-4623-BC66-C188CB206962}" name="Spalte10125"/>
    <tableColumn id="10143" xr3:uid="{3E5F6CD6-1CD4-4C74-87C9-C34344BF462F}" name="Spalte10126"/>
    <tableColumn id="10144" xr3:uid="{AE432724-AF03-4C67-99D6-A1FB57379D40}" name="Spalte10127"/>
    <tableColumn id="10145" xr3:uid="{D2A43AF1-1ED1-4D56-80F1-6E4ADEB53C90}" name="Spalte10128"/>
    <tableColumn id="10146" xr3:uid="{A43BC3B9-2867-424F-87B1-D9E1029967C4}" name="Spalte10129"/>
    <tableColumn id="10147" xr3:uid="{CA2A6100-CC3D-4313-A24E-F8C43B9B2582}" name="Spalte10130"/>
    <tableColumn id="10148" xr3:uid="{5591DF2E-DE80-4C82-9B42-DDD92DDD04EA}" name="Spalte10131"/>
    <tableColumn id="10149" xr3:uid="{DA5BA534-7DA2-4333-8E40-113B9E748D47}" name="Spalte10132"/>
    <tableColumn id="10150" xr3:uid="{FA8EBB92-0098-4FF6-AC1D-5B0DEE3E50E3}" name="Spalte10133"/>
    <tableColumn id="10151" xr3:uid="{293B5BE2-B2B4-445F-AE66-0746E09AE2C2}" name="Spalte10134"/>
    <tableColumn id="10152" xr3:uid="{45D5AAA2-2CF7-40C9-B420-003938C4C591}" name="Spalte10135"/>
    <tableColumn id="10153" xr3:uid="{347E1CAA-F24A-4E5F-B754-1FD2DB19761B}" name="Spalte10136"/>
    <tableColumn id="10154" xr3:uid="{FEB0FBB7-8AEE-4834-81B6-3AF900526C86}" name="Spalte10137"/>
    <tableColumn id="10155" xr3:uid="{4C58A5B9-5BA7-4177-8E30-456D4E5D8CAD}" name="Spalte10138"/>
    <tableColumn id="10156" xr3:uid="{9E7830B8-3C12-462A-959F-4C73309B3F19}" name="Spalte10139"/>
    <tableColumn id="10157" xr3:uid="{40E6E7F3-A14D-481D-8ADA-1931A2DB79F8}" name="Spalte10140"/>
    <tableColumn id="10158" xr3:uid="{662B4BA6-759B-4D86-ACD6-9CE75D17202A}" name="Spalte10141"/>
    <tableColumn id="10159" xr3:uid="{19EE2DBC-9921-4F69-98BC-4E03462A294C}" name="Spalte10142"/>
    <tableColumn id="10160" xr3:uid="{D7FFFBFF-8CA3-4ED7-8D32-18D9011738DC}" name="Spalte10143"/>
    <tableColumn id="10161" xr3:uid="{F6417A9C-F06A-44E9-8EC6-4E91B9337135}" name="Spalte10144"/>
    <tableColumn id="10162" xr3:uid="{55A16326-0F30-4545-954A-5956021A6789}" name="Spalte10145"/>
    <tableColumn id="10163" xr3:uid="{5F787516-BA42-43D0-904F-8B38C5EDD449}" name="Spalte10146"/>
    <tableColumn id="10164" xr3:uid="{53666997-8510-4F2A-904C-3ED647627FE3}" name="Spalte10147"/>
    <tableColumn id="10165" xr3:uid="{D4070B07-7E38-4D8D-B93D-62CEE09E7E50}" name="Spalte10148"/>
    <tableColumn id="10166" xr3:uid="{C2BCC4A0-392C-4BFC-87EF-9F5BBE541723}" name="Spalte10149"/>
    <tableColumn id="10167" xr3:uid="{2B2DC323-04B1-4823-B965-65F0C5EB5CBF}" name="Spalte10150"/>
    <tableColumn id="10168" xr3:uid="{92C85677-BDC3-4CBF-B98F-6A59D8A95E7B}" name="Spalte10151"/>
    <tableColumn id="10169" xr3:uid="{B2EE2C12-3E22-4ED8-BE67-5C538F7407D4}" name="Spalte10152"/>
    <tableColumn id="10170" xr3:uid="{E60574F1-0BA5-4A68-9CB5-11E21191C909}" name="Spalte10153"/>
    <tableColumn id="10171" xr3:uid="{DC08066A-21C7-4280-983C-1242A5230068}" name="Spalte10154"/>
    <tableColumn id="10172" xr3:uid="{E627DD6D-1F01-442B-974E-84810A7B7E84}" name="Spalte10155"/>
    <tableColumn id="10173" xr3:uid="{38EFC388-4FA6-48CE-8EA8-F9549E0E2154}" name="Spalte10156"/>
    <tableColumn id="10174" xr3:uid="{5880923E-8AAB-4738-8955-D14A8670ABFD}" name="Spalte10157"/>
    <tableColumn id="10175" xr3:uid="{9CB6D030-8718-40B1-BA4C-EE6DA5936343}" name="Spalte10158"/>
    <tableColumn id="10176" xr3:uid="{1F89DCD6-557C-470D-B372-6BE410AACDB6}" name="Spalte10159"/>
    <tableColumn id="10177" xr3:uid="{3C4CB4F9-215E-446B-8B71-011D7DADEAD9}" name="Spalte10160"/>
    <tableColumn id="10178" xr3:uid="{B8F1BA0B-BA96-4B28-AC5D-9BEA153B1B94}" name="Spalte10161"/>
    <tableColumn id="10179" xr3:uid="{51E0F807-B41E-4FFE-8503-233085AAED18}" name="Spalte10162"/>
    <tableColumn id="10180" xr3:uid="{CCAB7E3E-BFFE-4BD8-BC35-865DE61274E6}" name="Spalte10163"/>
    <tableColumn id="10181" xr3:uid="{0E09F2EC-EADF-4613-A774-CB28194C929F}" name="Spalte10164"/>
    <tableColumn id="10182" xr3:uid="{CB6101FB-E27D-4EE0-8DBB-CEF448D52C8F}" name="Spalte10165"/>
    <tableColumn id="10183" xr3:uid="{9A0827C2-EBC8-49E1-8EE6-DBE8AEDFE5D5}" name="Spalte10166"/>
    <tableColumn id="10184" xr3:uid="{D77564B8-8269-48E1-B2E4-F8292679EA1E}" name="Spalte10167"/>
    <tableColumn id="10185" xr3:uid="{25E42238-4BC9-46A5-A490-14186701ECA0}" name="Spalte10168"/>
    <tableColumn id="10186" xr3:uid="{EF961B10-6D41-4DC0-8371-619F84439756}" name="Spalte10169"/>
    <tableColumn id="10187" xr3:uid="{BC20FF31-0244-45A8-8A27-A6030D0F0B6A}" name="Spalte10170"/>
    <tableColumn id="10188" xr3:uid="{9D9AEEA0-FB6C-41C0-A0F5-BA89F6584125}" name="Spalte10171"/>
    <tableColumn id="10189" xr3:uid="{5FF5364B-FDE6-4F5F-B980-452D66D6FE72}" name="Spalte10172"/>
    <tableColumn id="10190" xr3:uid="{D0F9D697-FEEE-4750-BBC7-37EE4C26199D}" name="Spalte10173"/>
    <tableColumn id="10191" xr3:uid="{0498AF7D-F0C2-431D-A72C-6EB789CD1B56}" name="Spalte10174"/>
    <tableColumn id="10192" xr3:uid="{1B545AAE-38C2-4AFE-BB4F-5B86EDFF2BB8}" name="Spalte10175"/>
    <tableColumn id="10193" xr3:uid="{3EA9FF56-998D-4C98-9A43-22393313EF3A}" name="Spalte10176"/>
    <tableColumn id="10194" xr3:uid="{2AEA629E-1866-4472-928C-443B8BD4FE16}" name="Spalte10177"/>
    <tableColumn id="10195" xr3:uid="{39C04D4B-B0CB-4971-BA16-A28C29C6121A}" name="Spalte10178"/>
    <tableColumn id="10196" xr3:uid="{3131A63B-48A3-42ED-90BF-0A38BFC5F74A}" name="Spalte10179"/>
    <tableColumn id="10197" xr3:uid="{CAE5B04F-8D56-4D1A-91F2-B0E007D4F874}" name="Spalte10180"/>
    <tableColumn id="10198" xr3:uid="{854BB3BA-08CE-48E8-B908-6C621F2965E2}" name="Spalte10181"/>
    <tableColumn id="10199" xr3:uid="{1C084108-18B7-4871-B6BB-0BBA72F0EE03}" name="Spalte10182"/>
    <tableColumn id="10200" xr3:uid="{E9E8B0AC-CE51-4BB4-AB24-4645571D0080}" name="Spalte10183"/>
    <tableColumn id="10201" xr3:uid="{62358905-16EC-43DC-9BDB-55E10CD09DD3}" name="Spalte10184"/>
    <tableColumn id="10202" xr3:uid="{71E78105-8230-44B4-85D2-F3712A4BDA56}" name="Spalte10185"/>
    <tableColumn id="10203" xr3:uid="{A0554031-44C4-4814-BE5D-EBD2EF23C3DC}" name="Spalte10186"/>
    <tableColumn id="10204" xr3:uid="{E62CADDE-CAB2-4795-B1B5-68C19467A2B6}" name="Spalte10187"/>
    <tableColumn id="10205" xr3:uid="{AB6E7933-9702-4394-BCB8-7BBB6024E65B}" name="Spalte10188"/>
    <tableColumn id="10206" xr3:uid="{22AC0091-8702-49DD-B58A-9572139A92E1}" name="Spalte10189"/>
    <tableColumn id="10207" xr3:uid="{74639313-D8F8-4444-A976-58B915A7A1B2}" name="Spalte10190"/>
    <tableColumn id="10208" xr3:uid="{983EB0D5-60CC-4FC6-BAC9-BEBD99644627}" name="Spalte10191"/>
    <tableColumn id="10209" xr3:uid="{A2CAFFF0-A11D-45AB-A7EE-1B4730C1444A}" name="Spalte10192"/>
    <tableColumn id="10210" xr3:uid="{55D9C60A-415E-417F-8182-C07C32DD1C6E}" name="Spalte10193"/>
    <tableColumn id="10211" xr3:uid="{65C43715-25FF-4ACE-BC36-B4FCEAC21CEF}" name="Spalte10194"/>
    <tableColumn id="10212" xr3:uid="{825D637D-834F-4181-9BA7-88F4E2426E4D}" name="Spalte10195"/>
    <tableColumn id="10213" xr3:uid="{80BE7D48-CFEB-4589-B47F-BB7F852B195A}" name="Spalte10196"/>
    <tableColumn id="10214" xr3:uid="{FE885DE9-70F1-4C36-9EC9-C21B5F06F369}" name="Spalte10197"/>
    <tableColumn id="10215" xr3:uid="{B7033A7E-F642-45D8-AA79-6248ADBD8634}" name="Spalte10198"/>
    <tableColumn id="10216" xr3:uid="{C0CD3F7E-4859-4517-B82D-67D6B5B36189}" name="Spalte10199"/>
    <tableColumn id="10217" xr3:uid="{7764690E-7887-4055-B675-CEDE25ED27E1}" name="Spalte10200"/>
    <tableColumn id="10218" xr3:uid="{967F4301-2678-4EAF-99BF-46F2E869554C}" name="Spalte10201"/>
    <tableColumn id="10219" xr3:uid="{211B14D6-2BCA-43E9-8ADE-FC08BB33F9A5}" name="Spalte10202"/>
    <tableColumn id="10220" xr3:uid="{A3C915D3-2D8A-4397-B561-3D659B4DA557}" name="Spalte10203"/>
    <tableColumn id="10221" xr3:uid="{D3F160BC-87F3-460B-81E3-6A16ACAEE4BB}" name="Spalte10204"/>
    <tableColumn id="10222" xr3:uid="{C10AC7D4-C4CF-4BC7-BCA5-5EA9C61109F6}" name="Spalte10205"/>
    <tableColumn id="10223" xr3:uid="{6CA56274-817D-47E3-8C05-78A7B8AF90CA}" name="Spalte10206"/>
    <tableColumn id="10224" xr3:uid="{86AC8127-EE48-4559-A4D1-96A886A29408}" name="Spalte10207"/>
    <tableColumn id="10225" xr3:uid="{F1564777-9306-43E7-9796-70B1EAF661E5}" name="Spalte10208"/>
    <tableColumn id="10226" xr3:uid="{83D6B97B-AC53-4F9C-96AB-72CB65E44455}" name="Spalte10209"/>
    <tableColumn id="10227" xr3:uid="{ADB3D6B2-919A-4498-B01A-2940FCEF0D2B}" name="Spalte10210"/>
    <tableColumn id="10228" xr3:uid="{71866C44-637D-4832-9B99-3DB01BB5DB02}" name="Spalte10211"/>
    <tableColumn id="10229" xr3:uid="{DC14326C-6F05-49EC-93A1-8BD8D358DFCD}" name="Spalte10212"/>
    <tableColumn id="10230" xr3:uid="{8DAB545F-1B96-4A24-B98A-75A8439A4E22}" name="Spalte10213"/>
    <tableColumn id="10231" xr3:uid="{9C3C8309-6446-4EA2-8C8F-B1F66E197277}" name="Spalte10214"/>
    <tableColumn id="10232" xr3:uid="{2F371CD4-A952-4AE9-BECD-77D9C6050042}" name="Spalte10215"/>
    <tableColumn id="10233" xr3:uid="{B07C470A-8B2D-4595-8986-35DE7A74D504}" name="Spalte10216"/>
    <tableColumn id="10234" xr3:uid="{E5544B84-0066-40AE-8552-FD1001ACD7DF}" name="Spalte10217"/>
    <tableColumn id="10235" xr3:uid="{24E74F23-9BB2-4667-8A6A-1A7FF266C5F3}" name="Spalte10218"/>
    <tableColumn id="10236" xr3:uid="{167823A2-2959-4484-8547-E6E1BABB2062}" name="Spalte10219"/>
    <tableColumn id="10237" xr3:uid="{CE6A9DA3-1B82-4E96-8312-3EADF3F2EEBE}" name="Spalte10220"/>
    <tableColumn id="10238" xr3:uid="{5025072D-2C8A-45A2-AB5C-F5EC958C96EE}" name="Spalte10221"/>
    <tableColumn id="10239" xr3:uid="{FA72BB24-F6EC-47AA-A61C-A090D410E188}" name="Spalte10222"/>
    <tableColumn id="10240" xr3:uid="{50B357C3-CA2E-4186-BF25-57373DBE3C8B}" name="Spalte10223"/>
    <tableColumn id="10241" xr3:uid="{B1AD8C44-00ED-427E-A8D7-E588E8B19088}" name="Spalte10224"/>
    <tableColumn id="10242" xr3:uid="{B73EDB17-DD7F-44A3-AF00-A65088F64EA4}" name="Spalte10225"/>
    <tableColumn id="10243" xr3:uid="{6DB5EB40-6D99-4EE7-927D-A6AA42D1FFC4}" name="Spalte10226"/>
    <tableColumn id="10244" xr3:uid="{90485996-FA93-45EF-ACDB-C20551C9C83D}" name="Spalte10227"/>
    <tableColumn id="10245" xr3:uid="{7F75C86A-4F84-4092-808B-A39ACCA6C6CE}" name="Spalte10228"/>
    <tableColumn id="10246" xr3:uid="{78F3FA44-5C96-467B-906E-D56C693D9DD3}" name="Spalte10229"/>
    <tableColumn id="10247" xr3:uid="{21FDEBB0-118E-408B-8488-D080100C0FAB}" name="Spalte10230"/>
    <tableColumn id="10248" xr3:uid="{91EE90C6-F01D-4831-8812-5758389F088B}" name="Spalte10231"/>
    <tableColumn id="10249" xr3:uid="{61E6F29D-01F9-4C42-9967-630717C7D4D7}" name="Spalte10232"/>
    <tableColumn id="10250" xr3:uid="{C7FB4BED-415A-4BCF-A1E3-3F6AACE273B0}" name="Spalte10233"/>
    <tableColumn id="10251" xr3:uid="{250D46C4-F80E-420E-920F-A678A7CA8468}" name="Spalte10234"/>
    <tableColumn id="10252" xr3:uid="{B71C0152-73D4-4D7A-A669-BD15E8046648}" name="Spalte10235"/>
    <tableColumn id="10253" xr3:uid="{7464E911-CF0F-4D46-ACCF-65368C4B101A}" name="Spalte10236"/>
    <tableColumn id="10254" xr3:uid="{F3C4F9D7-632C-484E-9D62-7E40B250514D}" name="Spalte10237"/>
    <tableColumn id="10255" xr3:uid="{EBDDA642-5CB9-4E2A-89E4-219535C3BD07}" name="Spalte10238"/>
    <tableColumn id="10256" xr3:uid="{C12D61D0-CD9E-4353-BEE3-E1CF221700C5}" name="Spalte10239"/>
    <tableColumn id="10257" xr3:uid="{F5F658CD-DAF9-40AA-A5E4-106097048960}" name="Spalte10240"/>
    <tableColumn id="10258" xr3:uid="{7EB86870-2598-41B3-984E-A8612307D657}" name="Spalte10241"/>
    <tableColumn id="10259" xr3:uid="{98D92D93-4731-4A0C-8723-51ECE54DE6A2}" name="Spalte10242"/>
    <tableColumn id="10260" xr3:uid="{4693BFE2-2A02-4623-9006-106080B07836}" name="Spalte10243"/>
    <tableColumn id="10261" xr3:uid="{21F50D01-A07E-4B7A-8FB4-E6834A3C150F}" name="Spalte10244"/>
    <tableColumn id="10262" xr3:uid="{6CE0DFC9-FB81-4EA3-B5A7-A50AA1BABDBD}" name="Spalte10245"/>
    <tableColumn id="10263" xr3:uid="{A3CB9C4C-197E-436E-BDFA-FB9F6454B798}" name="Spalte10246"/>
    <tableColumn id="10264" xr3:uid="{E3967686-A380-4906-B615-8711AA33F696}" name="Spalte10247"/>
    <tableColumn id="10265" xr3:uid="{92854080-BD4B-4C00-87ED-9F8DEB030C91}" name="Spalte10248"/>
    <tableColumn id="10266" xr3:uid="{B9C94179-A8D2-452C-93B6-B8426AD87976}" name="Spalte10249"/>
    <tableColumn id="10267" xr3:uid="{69F9EFED-C85A-4C08-B063-E0A3D646EC57}" name="Spalte10250"/>
    <tableColumn id="10268" xr3:uid="{199A6FA4-85EF-464A-BFF2-7641E007BD4C}" name="Spalte10251"/>
    <tableColumn id="10269" xr3:uid="{CD5E5831-52D8-4FE2-B03B-8B0337B4A78E}" name="Spalte10252"/>
    <tableColumn id="10270" xr3:uid="{F61776F4-9FC5-4BEC-AE98-694838ED499C}" name="Spalte10253"/>
    <tableColumn id="10271" xr3:uid="{959F4EDB-829C-4DBE-A8E1-1729FEDF6705}" name="Spalte10254"/>
    <tableColumn id="10272" xr3:uid="{7390EA9A-D072-4986-91E2-760F52A6B670}" name="Spalte10255"/>
    <tableColumn id="10273" xr3:uid="{B16D7767-06B8-462B-9A2E-C66F38B93AF1}" name="Spalte10256"/>
    <tableColumn id="10274" xr3:uid="{21AB42A6-01A5-41A5-84AB-6990E2ACBDBA}" name="Spalte10257"/>
    <tableColumn id="10275" xr3:uid="{ECE55177-0F0E-45AB-89A2-497F0883AFFF}" name="Spalte10258"/>
    <tableColumn id="10276" xr3:uid="{1E3A957E-37A5-45A5-BB7B-FABDBDAE04C5}" name="Spalte10259"/>
    <tableColumn id="10277" xr3:uid="{B60E8B76-D135-45A9-BB5D-002673B849D4}" name="Spalte10260"/>
    <tableColumn id="10278" xr3:uid="{B0F5D359-FB6A-4A22-AF9D-5A31A4D37AC8}" name="Spalte10261"/>
    <tableColumn id="10279" xr3:uid="{FF4AD9AA-0F69-465A-9623-3066CD40C2EB}" name="Spalte10262"/>
    <tableColumn id="10280" xr3:uid="{A7D58B3D-3307-48DA-8D10-5C775FB4FB51}" name="Spalte10263"/>
    <tableColumn id="10281" xr3:uid="{C8A83984-FA10-4483-87D4-A15F8ED2FC8D}" name="Spalte10264"/>
    <tableColumn id="10282" xr3:uid="{3BA4CE34-DD07-47A4-97AD-D675932E2DC0}" name="Spalte10265"/>
    <tableColumn id="10283" xr3:uid="{8E6A39D7-5DEE-44F0-9D45-AEE4CEE8CB22}" name="Spalte10266"/>
    <tableColumn id="10284" xr3:uid="{B4CECF72-EA87-4FD1-B234-99919E53A68C}" name="Spalte10267"/>
    <tableColumn id="10285" xr3:uid="{038E59A7-39F6-481A-A877-7600D0BC9F86}" name="Spalte10268"/>
    <tableColumn id="10286" xr3:uid="{E2A18B02-76A3-42EC-8CE0-055863E5ABD5}" name="Spalte10269"/>
    <tableColumn id="10287" xr3:uid="{F1F8C75A-9BE7-43ED-A94F-EF39E4A3F97B}" name="Spalte10270"/>
    <tableColumn id="10288" xr3:uid="{9E5512FC-0FA4-4EC0-880C-CBF20F2F80F6}" name="Spalte10271"/>
    <tableColumn id="10289" xr3:uid="{A90BB5F6-E266-4F4F-ACE8-8D315D3F3DB3}" name="Spalte10272"/>
    <tableColumn id="10290" xr3:uid="{63FA0420-1D9B-49D4-8E51-A1EBF8975277}" name="Spalte10273"/>
    <tableColumn id="10291" xr3:uid="{B1F4B8EF-A62A-4BF3-84C2-6EDA46345974}" name="Spalte10274"/>
    <tableColumn id="10292" xr3:uid="{B445640D-136A-4970-8EFA-043FA0461B2D}" name="Spalte10275"/>
    <tableColumn id="10293" xr3:uid="{F35B0A9B-A0F7-4590-8920-4D5EED0DCE40}" name="Spalte10276"/>
    <tableColumn id="10294" xr3:uid="{B0DA0C97-8120-4509-B3DA-8FA3F0A4D9FA}" name="Spalte10277"/>
    <tableColumn id="10295" xr3:uid="{A4D678E8-363F-45C3-A289-41EC89081751}" name="Spalte10278"/>
    <tableColumn id="10296" xr3:uid="{71F78DDD-5259-4EDE-ADD0-47223F69B71C}" name="Spalte10279"/>
    <tableColumn id="10297" xr3:uid="{19EDF5AD-2864-4C12-BB1C-C370C99872A4}" name="Spalte10280"/>
    <tableColumn id="10298" xr3:uid="{6406CB7E-DAD9-4C02-B01D-50567BB8564D}" name="Spalte10281"/>
    <tableColumn id="10299" xr3:uid="{422D72B3-EE1E-484F-B9F8-5CC2384F866A}" name="Spalte10282"/>
    <tableColumn id="10300" xr3:uid="{67B5311B-215A-4482-B230-97F762A61060}" name="Spalte10283"/>
    <tableColumn id="10301" xr3:uid="{C2CF4BA0-E367-4798-8D4E-EA7D7F233AEF}" name="Spalte10284"/>
    <tableColumn id="10302" xr3:uid="{59554A5D-7FD4-4C7B-9F5E-FF9C9955CA6A}" name="Spalte10285"/>
    <tableColumn id="10303" xr3:uid="{8E11222D-3ACC-49BF-A1F7-0735BB9C214C}" name="Spalte10286"/>
    <tableColumn id="10304" xr3:uid="{9EAAAA74-6206-4F55-877C-8A3AB91736BF}" name="Spalte10287"/>
    <tableColumn id="10305" xr3:uid="{94423F7A-5792-48E3-BA53-BC3B69DBEF04}" name="Spalte10288"/>
    <tableColumn id="10306" xr3:uid="{18B522CA-3BDC-4810-83DB-5D67CC3707E9}" name="Spalte10289"/>
    <tableColumn id="10307" xr3:uid="{15C51530-5798-4E41-A9EF-DD44B1FFD667}" name="Spalte10290"/>
    <tableColumn id="10308" xr3:uid="{1BCE51D0-0AB4-4F47-95FC-1957C3B3358D}" name="Spalte10291"/>
    <tableColumn id="10309" xr3:uid="{A65C353C-C474-4138-B347-15522EC820C9}" name="Spalte10292"/>
    <tableColumn id="10310" xr3:uid="{95C9BBE4-0D5E-4DBF-B855-13966996BADE}" name="Spalte10293"/>
    <tableColumn id="10311" xr3:uid="{8D874502-B81E-4A00-A7D9-9A20805B3D81}" name="Spalte10294"/>
    <tableColumn id="10312" xr3:uid="{AF857682-4F02-4B63-A11C-9EBFD6203F82}" name="Spalte10295"/>
    <tableColumn id="10313" xr3:uid="{B1F3D7C0-76FD-492D-ADF5-D7C89D05011A}" name="Spalte10296"/>
    <tableColumn id="10314" xr3:uid="{4FE1AAD5-C366-44B7-96A2-FE260DB3D894}" name="Spalte10297"/>
    <tableColumn id="10315" xr3:uid="{423A5DB2-6E32-423A-B4C7-9A2F2F52FD80}" name="Spalte10298"/>
    <tableColumn id="10316" xr3:uid="{133F7A37-765F-4F30-9BA2-F570A1CBA32B}" name="Spalte10299"/>
    <tableColumn id="10317" xr3:uid="{7C11F4BF-B715-4558-AA58-955E7845B110}" name="Spalte10300"/>
    <tableColumn id="10318" xr3:uid="{0BC8777F-D24D-49CD-8063-0492CDD947AE}" name="Spalte10301"/>
    <tableColumn id="10319" xr3:uid="{3FD3A402-D842-4857-B3E3-7C5C37316F95}" name="Spalte10302"/>
    <tableColumn id="10320" xr3:uid="{B9A88EB5-43BA-469B-B3CE-BE1668498A44}" name="Spalte10303"/>
    <tableColumn id="10321" xr3:uid="{6FA89BFC-89EB-43E7-92A0-8271DB72ADA3}" name="Spalte10304"/>
    <tableColumn id="10322" xr3:uid="{742E1569-D42D-4C1B-9CBB-330C365E7D39}" name="Spalte10305"/>
    <tableColumn id="10323" xr3:uid="{883E1767-0070-4FEF-86C4-A412ED60ACD2}" name="Spalte10306"/>
    <tableColumn id="10324" xr3:uid="{F6BF0B0D-FA3E-4E5F-AD99-7C6EF3AF2D32}" name="Spalte10307"/>
    <tableColumn id="10325" xr3:uid="{2C1466D4-C9C9-415B-A890-0C26676BB8D5}" name="Spalte10308"/>
    <tableColumn id="10326" xr3:uid="{BE6B8A19-D7B2-41D1-A234-D4BF082C495A}" name="Spalte10309"/>
    <tableColumn id="10327" xr3:uid="{79A4A8DD-0B94-4550-AA48-04EE5C07F230}" name="Spalte10310"/>
    <tableColumn id="10328" xr3:uid="{9EBE8C9D-B125-4B94-84F5-3EEEDB00F1A8}" name="Spalte10311"/>
    <tableColumn id="10329" xr3:uid="{097030F0-F48A-4AED-925F-027BD7271287}" name="Spalte10312"/>
    <tableColumn id="10330" xr3:uid="{A185BE65-B2BF-43DD-A46F-BFFA1CCEF870}" name="Spalte10313"/>
    <tableColumn id="10331" xr3:uid="{206067EA-C3EB-439A-83FD-EE3480308B36}" name="Spalte10314"/>
    <tableColumn id="10332" xr3:uid="{CC296494-9826-46A8-ABBE-81D0BC202D51}" name="Spalte10315"/>
    <tableColumn id="10333" xr3:uid="{F828642F-E2C2-4D73-B594-44EF52AFEE58}" name="Spalte10316"/>
    <tableColumn id="10334" xr3:uid="{EAD49E1A-9C34-4DB5-B27C-BA81FD9C9E8C}" name="Spalte10317"/>
    <tableColumn id="10335" xr3:uid="{A2B450A7-2CAC-4809-AA9A-0716D1A362AC}" name="Spalte10318"/>
    <tableColumn id="10336" xr3:uid="{EA49660A-A16A-4C7D-8A35-A070A454F701}" name="Spalte10319"/>
    <tableColumn id="10337" xr3:uid="{92F6BA1E-8477-4F85-B09D-D9E62FB75DCA}" name="Spalte10320"/>
    <tableColumn id="10338" xr3:uid="{AFEACE5E-A37C-4162-9CB4-B25E69DDAE85}" name="Spalte10321"/>
    <tableColumn id="10339" xr3:uid="{E9874918-3571-4378-945E-77BB0715679F}" name="Spalte10322"/>
    <tableColumn id="10340" xr3:uid="{AD6E90AA-19E5-4C23-A40A-29052E3FFBBA}" name="Spalte10323"/>
    <tableColumn id="10341" xr3:uid="{40905916-26EB-40EE-AB5C-4704CC685FF9}" name="Spalte10324"/>
    <tableColumn id="10342" xr3:uid="{45EC8CBD-6D47-4B58-8C7E-CBE057EA4C0D}" name="Spalte10325"/>
    <tableColumn id="10343" xr3:uid="{3A0A2EF2-67B1-4B17-9B05-1B3038D7942B}" name="Spalte10326"/>
    <tableColumn id="10344" xr3:uid="{378A8C91-F20C-4863-AB17-2531F23D23D3}" name="Spalte10327"/>
    <tableColumn id="10345" xr3:uid="{1BC9A6B0-81C5-42DF-A427-FE30694EF1F3}" name="Spalte10328"/>
    <tableColumn id="10346" xr3:uid="{A292EF2C-533A-42B6-A88F-DF54FF165E90}" name="Spalte10329"/>
    <tableColumn id="10347" xr3:uid="{88D0EE46-2113-44E1-AD4B-961448CCB715}" name="Spalte10330"/>
    <tableColumn id="10348" xr3:uid="{A7574479-8A88-44BA-815F-A32B149DF13A}" name="Spalte10331"/>
    <tableColumn id="10349" xr3:uid="{1C9F8312-0D96-45B2-83CD-FBD3766F42C7}" name="Spalte10332"/>
    <tableColumn id="10350" xr3:uid="{C011A6A9-EBE8-48FF-A462-0C3E690A386B}" name="Spalte10333"/>
    <tableColumn id="10351" xr3:uid="{C5A9B565-9F2F-43D1-AEF2-4C6068470B94}" name="Spalte10334"/>
    <tableColumn id="10352" xr3:uid="{E454BCFE-6384-423C-BC90-CF92C82E5018}" name="Spalte10335"/>
    <tableColumn id="10353" xr3:uid="{C840CF69-600F-42D5-9AFD-8A4B3FE9E9E6}" name="Spalte10336"/>
    <tableColumn id="10354" xr3:uid="{A2FCE5EA-35E9-487D-B469-8142E6624470}" name="Spalte10337"/>
    <tableColumn id="10355" xr3:uid="{204414AE-3965-4898-AEC0-C4B1259824D3}" name="Spalte10338"/>
    <tableColumn id="10356" xr3:uid="{BD52D5E0-7D3B-430F-8645-20BBF6AC55CA}" name="Spalte10339"/>
    <tableColumn id="10357" xr3:uid="{0EB19B0B-AEBB-403A-8C96-4DAED7DD590E}" name="Spalte10340"/>
    <tableColumn id="10358" xr3:uid="{5ABE67FA-67D3-4913-95B1-0A492AA68DCC}" name="Spalte10341"/>
    <tableColumn id="10359" xr3:uid="{5DD045AF-FEAE-43BD-9AC0-6AB4043CA710}" name="Spalte10342"/>
    <tableColumn id="10360" xr3:uid="{385713E9-5954-4372-B5C1-65C62A5643D0}" name="Spalte10343"/>
    <tableColumn id="10361" xr3:uid="{33EB5689-B7C0-475B-9A1E-BDCB42BD794F}" name="Spalte10344"/>
    <tableColumn id="10362" xr3:uid="{0A45E63F-22D1-4333-B86E-F73BDF22D17E}" name="Spalte10345"/>
    <tableColumn id="10363" xr3:uid="{BE47E8DE-B06A-4751-819C-D5457F3C8C55}" name="Spalte10346"/>
    <tableColumn id="10364" xr3:uid="{483E248E-B4CE-4AB2-B98F-8560D2F60C89}" name="Spalte10347"/>
    <tableColumn id="10365" xr3:uid="{1686881A-DD67-4E5D-AD15-F20C3B3D735C}" name="Spalte10348"/>
    <tableColumn id="10366" xr3:uid="{916FF0BB-37CB-471C-B4CB-DBADEE1D8E7F}" name="Spalte10349"/>
    <tableColumn id="10367" xr3:uid="{B124C534-8867-43C3-B9C5-27AA1A505649}" name="Spalte10350"/>
    <tableColumn id="10368" xr3:uid="{590E8753-4290-4F53-9F41-BC385BD5742C}" name="Spalte10351"/>
    <tableColumn id="10369" xr3:uid="{45C7E004-56E7-46D7-BDD8-5BE6035D1081}" name="Spalte10352"/>
    <tableColumn id="10370" xr3:uid="{CC6377AB-B285-4781-9446-BA113CF43424}" name="Spalte10353"/>
    <tableColumn id="10371" xr3:uid="{5EA7B02D-FCA9-4087-8F7D-75F47923E55A}" name="Spalte10354"/>
    <tableColumn id="10372" xr3:uid="{A33BB3A3-CB10-4F24-994F-88FD676E02F4}" name="Spalte10355"/>
    <tableColumn id="10373" xr3:uid="{A15EE1E8-AE16-4226-A5BB-AFAA3E2DB7D5}" name="Spalte10356"/>
    <tableColumn id="10374" xr3:uid="{EC546399-6C6F-4867-B528-F3EA2EB57941}" name="Spalte10357"/>
    <tableColumn id="10375" xr3:uid="{E6BE0BA8-56B1-4E2F-BFC0-F4F9BA386660}" name="Spalte10358"/>
    <tableColumn id="10376" xr3:uid="{A8477866-44BA-4F4D-93A4-F0F565B3D46D}" name="Spalte10359"/>
    <tableColumn id="10377" xr3:uid="{9406C1DA-F46B-4265-BA76-23E33766BCB9}" name="Spalte10360"/>
    <tableColumn id="10378" xr3:uid="{6C9333FC-DF51-408C-B94E-4680CCED8796}" name="Spalte10361"/>
    <tableColumn id="10379" xr3:uid="{A5FF9EB7-8434-4DA2-8019-C93157B229A9}" name="Spalte10362"/>
    <tableColumn id="10380" xr3:uid="{CBED23A0-9136-40F7-8D21-0E729069B37C}" name="Spalte10363"/>
    <tableColumn id="10381" xr3:uid="{504936B9-77A1-41C4-9053-81D0E6E716B3}" name="Spalte10364"/>
    <tableColumn id="10382" xr3:uid="{A74FC7A2-B24D-46DA-AD07-680B9E88B805}" name="Spalte10365"/>
    <tableColumn id="10383" xr3:uid="{47408ACF-C186-4D22-9BEB-7F779E9AE8F7}" name="Spalte10366"/>
    <tableColumn id="10384" xr3:uid="{DAF9BEA7-5C30-447C-AFCF-A70C42AD84B7}" name="Spalte10367"/>
    <tableColumn id="10385" xr3:uid="{10EB2910-BCED-47FC-BB82-88D12B61AED2}" name="Spalte10368"/>
    <tableColumn id="10386" xr3:uid="{6A4E0163-A5BC-4FEF-9DE0-92CB177EF844}" name="Spalte10369"/>
    <tableColumn id="10387" xr3:uid="{32C5B1BA-C205-4330-8A61-484783701AED}" name="Spalte10370"/>
    <tableColumn id="10388" xr3:uid="{3B56D008-2B0C-4A01-A876-D4A6A571785B}" name="Spalte10371"/>
    <tableColumn id="10389" xr3:uid="{FA7FBB35-3558-4CE0-9EDC-AF3260096D95}" name="Spalte10372"/>
    <tableColumn id="10390" xr3:uid="{898A905E-F8C4-428A-8A21-C91DD465E108}" name="Spalte10373"/>
    <tableColumn id="10391" xr3:uid="{24555CB3-360F-416F-B517-94D4D4E47DC7}" name="Spalte10374"/>
    <tableColumn id="10392" xr3:uid="{64B8E698-4873-4C34-82A1-AAE7D610D802}" name="Spalte10375"/>
    <tableColumn id="10393" xr3:uid="{DC148069-83BC-466E-ADDF-A59C3F94932F}" name="Spalte10376"/>
    <tableColumn id="10394" xr3:uid="{66AEE2BD-209D-4E8D-B1C8-9CFD4C6F2706}" name="Spalte10377"/>
    <tableColumn id="10395" xr3:uid="{B26291C6-D685-4BCE-B95E-23EA69539756}" name="Spalte10378"/>
    <tableColumn id="10396" xr3:uid="{B10AC5FC-72B3-45A5-A7CD-2AAE9983A74E}" name="Spalte10379"/>
    <tableColumn id="10397" xr3:uid="{1299BE31-DE6E-4E53-B473-1918EF14FB2D}" name="Spalte10380"/>
    <tableColumn id="10398" xr3:uid="{23D42E16-BE98-46DE-BBDB-F94B7908F21D}" name="Spalte10381"/>
    <tableColumn id="10399" xr3:uid="{CDC76D9E-253B-4881-844A-B389076B1026}" name="Spalte10382"/>
    <tableColumn id="10400" xr3:uid="{B0C9D53C-210E-4ACA-A184-186786E6407C}" name="Spalte10383"/>
    <tableColumn id="10401" xr3:uid="{B4DDCA0A-7D0A-402D-B49B-1687B007332F}" name="Spalte10384"/>
    <tableColumn id="10402" xr3:uid="{8A2300FD-8EBE-4135-AB12-45422EAFB7DB}" name="Spalte10385"/>
    <tableColumn id="10403" xr3:uid="{DE3747A4-BFE9-41D3-BCD1-DEFD309EB83D}" name="Spalte10386"/>
    <tableColumn id="10404" xr3:uid="{4969112D-4E4E-4F33-BD7E-C8636ECC749E}" name="Spalte10387"/>
    <tableColumn id="10405" xr3:uid="{CDF134ED-65E4-4F6E-8042-1EE224A43541}" name="Spalte10388"/>
    <tableColumn id="10406" xr3:uid="{2F50E34E-753A-4751-BACC-81B33D66159B}" name="Spalte10389"/>
    <tableColumn id="10407" xr3:uid="{D6DEC9A9-5132-4BC2-8420-2F20240127FE}" name="Spalte10390"/>
    <tableColumn id="10408" xr3:uid="{DA89E35F-D06E-4B30-AEFC-4DAE3CFA3BEC}" name="Spalte10391"/>
    <tableColumn id="10409" xr3:uid="{D1B60EA9-0EBB-4CB8-83BA-973B116FFEF4}" name="Spalte10392"/>
    <tableColumn id="10410" xr3:uid="{5B369C75-BA84-4AA0-8FF3-56DA87101AC9}" name="Spalte10393"/>
    <tableColumn id="10411" xr3:uid="{173262CD-4FBD-4818-98C0-E8CEFB5BA86B}" name="Spalte10394"/>
    <tableColumn id="10412" xr3:uid="{1F3B98D2-5080-4B6A-BD0D-892342AE9AF3}" name="Spalte10395"/>
    <tableColumn id="10413" xr3:uid="{613FDB5F-19E3-43B7-B8C9-3B0E8E6C56F4}" name="Spalte10396"/>
    <tableColumn id="10414" xr3:uid="{FBB97DF7-D827-4C94-9038-03363797380E}" name="Spalte10397"/>
    <tableColumn id="10415" xr3:uid="{4C057167-A3EA-4375-9A59-54AD6F4E9FF3}" name="Spalte10398"/>
    <tableColumn id="10416" xr3:uid="{52E2997A-0E94-4FB1-B2F2-25A8DA9714C5}" name="Spalte10399"/>
    <tableColumn id="10417" xr3:uid="{B8AC53D1-DCFD-470A-85EB-18E9CEADB1CF}" name="Spalte10400"/>
    <tableColumn id="10418" xr3:uid="{1F007743-4F7B-416C-927F-EEF9E062662C}" name="Spalte10401"/>
    <tableColumn id="10419" xr3:uid="{88D3CB23-4821-4BC3-9E27-ACB542A52E78}" name="Spalte10402"/>
    <tableColumn id="10420" xr3:uid="{8E263C58-5887-47EA-930E-8FB2304C2D1B}" name="Spalte10403"/>
    <tableColumn id="10421" xr3:uid="{CC54E5F3-19E8-4297-8636-DBEA87657A81}" name="Spalte10404"/>
    <tableColumn id="10422" xr3:uid="{0E0B2081-8682-4BFB-BCDD-DE9E50458A5E}" name="Spalte10405"/>
    <tableColumn id="10423" xr3:uid="{E02F5653-977F-45B8-86D5-42DCB8D11FCE}" name="Spalte10406"/>
    <tableColumn id="10424" xr3:uid="{9194B3FC-6524-4BB1-97E8-E04ED3A45C05}" name="Spalte10407"/>
    <tableColumn id="10425" xr3:uid="{F8E2CE39-2259-4D9A-A3A2-4ECD8375EF43}" name="Spalte10408"/>
    <tableColumn id="10426" xr3:uid="{057A5BFA-D905-4A68-ADE0-08023A0CE1DB}" name="Spalte10409"/>
    <tableColumn id="10427" xr3:uid="{E5D5C3AE-8EA2-474B-B316-7F0B80244D09}" name="Spalte10410"/>
    <tableColumn id="10428" xr3:uid="{C9DB482D-8AA7-4F39-9F4D-8CBA5A6F5407}" name="Spalte10411"/>
    <tableColumn id="10429" xr3:uid="{7B393AC4-53D0-4CF0-A8AC-4AC699DF63B5}" name="Spalte10412"/>
    <tableColumn id="10430" xr3:uid="{82B4B669-082A-4F82-9F5B-77BEA96D6B19}" name="Spalte10413"/>
    <tableColumn id="10431" xr3:uid="{008FF5EB-15E1-41A8-8EAC-1CD8F259C9FA}" name="Spalte10414"/>
    <tableColumn id="10432" xr3:uid="{8D174B6B-90CB-4AF4-956D-43EB05DF1F58}" name="Spalte10415"/>
    <tableColumn id="10433" xr3:uid="{61B351AB-D5D6-4CF2-8151-4E6EC21B9498}" name="Spalte10416"/>
    <tableColumn id="10434" xr3:uid="{B981AA96-007F-4B7F-838D-6412A32879F8}" name="Spalte10417"/>
    <tableColumn id="10435" xr3:uid="{5F5E4B22-6A99-4F3D-8131-DC91BA0025E9}" name="Spalte10418"/>
    <tableColumn id="10436" xr3:uid="{1BF7F43F-0C59-41C5-8A7C-FB202A42E1C1}" name="Spalte10419"/>
    <tableColumn id="10437" xr3:uid="{186A6B2A-74CE-4315-AD1C-7C6ADEC16F3C}" name="Spalte10420"/>
    <tableColumn id="10438" xr3:uid="{9FC90588-1067-43D8-BD82-76A583C124DF}" name="Spalte10421"/>
    <tableColumn id="10439" xr3:uid="{AA99F3D9-C66D-4DA9-B1ED-0972B30708F2}" name="Spalte10422"/>
    <tableColumn id="10440" xr3:uid="{A38AB76F-1070-47FB-8672-2647ED63B0A4}" name="Spalte10423"/>
    <tableColumn id="10441" xr3:uid="{1449520F-EDBC-48D3-A50B-2F165BC88926}" name="Spalte10424"/>
    <tableColumn id="10442" xr3:uid="{84887A15-DB94-4C13-9372-C5C0341167F3}" name="Spalte10425"/>
    <tableColumn id="10443" xr3:uid="{3DCDD73B-C8EF-43C8-88B6-7E7AB29DFD52}" name="Spalte10426"/>
    <tableColumn id="10444" xr3:uid="{A9316F7F-7B08-4D8E-9A1B-6BC961F1190F}" name="Spalte10427"/>
    <tableColumn id="10445" xr3:uid="{5D32D870-1DA9-4005-A2F3-A3183A0027A5}" name="Spalte10428"/>
    <tableColumn id="10446" xr3:uid="{82DFF7E4-AA83-4675-9952-EB2525E82B34}" name="Spalte10429"/>
    <tableColumn id="10447" xr3:uid="{3F99FAE4-01E0-4CF1-88D9-5231193C2ADF}" name="Spalte10430"/>
    <tableColumn id="10448" xr3:uid="{62CBDB21-B4F9-4E7F-95FA-D6EEF13EC9C3}" name="Spalte10431"/>
    <tableColumn id="10449" xr3:uid="{28A6463F-4347-4E5A-8E4E-8EA7D76AE41F}" name="Spalte10432"/>
    <tableColumn id="10450" xr3:uid="{CDE75695-7FAC-4048-A15C-5AAC348ECE2A}" name="Spalte10433"/>
    <tableColumn id="10451" xr3:uid="{59129F02-5D74-4C69-8EC1-02DD665F7026}" name="Spalte10434"/>
    <tableColumn id="10452" xr3:uid="{C8258891-7915-4640-8E87-54A743B5E3E7}" name="Spalte10435"/>
    <tableColumn id="10453" xr3:uid="{4DDEA622-B032-4544-BE4C-8AE6278FE800}" name="Spalte10436"/>
    <tableColumn id="10454" xr3:uid="{BB83AE96-EDF9-4CCD-9155-B9282A948B25}" name="Spalte10437"/>
    <tableColumn id="10455" xr3:uid="{96019A89-6137-4623-AB96-386F5EC778F0}" name="Spalte10438"/>
    <tableColumn id="10456" xr3:uid="{584EC9D6-AD58-45CE-8E99-6819EF1F45E5}" name="Spalte10439"/>
    <tableColumn id="10457" xr3:uid="{9B3E09B7-E8EA-48CA-AB8B-2AD74270DEEC}" name="Spalte10440"/>
    <tableColumn id="10458" xr3:uid="{9294CC07-1164-4DA8-8245-CB673ED000CB}" name="Spalte10441"/>
    <tableColumn id="10459" xr3:uid="{B28CB9AE-58EE-433C-AA4A-837FC0F9CDE6}" name="Spalte10442"/>
    <tableColumn id="10460" xr3:uid="{97220256-362C-4343-89DA-A3F5E67066C2}" name="Spalte10443"/>
    <tableColumn id="10461" xr3:uid="{187B2F93-160D-4F8C-9B09-946B412C8BB5}" name="Spalte10444"/>
    <tableColumn id="10462" xr3:uid="{9FB77452-C280-4DF3-A799-D89D7EAE7798}" name="Spalte10445"/>
    <tableColumn id="10463" xr3:uid="{498C5E38-5EAE-4114-ACAC-D352B39430A6}" name="Spalte10446"/>
    <tableColumn id="10464" xr3:uid="{415DD48A-B53E-4EE9-9EBD-0C3B55EDF76E}" name="Spalte10447"/>
    <tableColumn id="10465" xr3:uid="{805505C1-8BAC-4FB1-A111-28720B8CD926}" name="Spalte10448"/>
    <tableColumn id="10466" xr3:uid="{1F579E87-8988-4423-A9EC-73F57F72B2C6}" name="Spalte10449"/>
    <tableColumn id="10467" xr3:uid="{A81E925A-69A6-4685-BAC4-60F5A80DB216}" name="Spalte10450"/>
    <tableColumn id="10468" xr3:uid="{9D0E389B-DDFA-49A0-827E-466248FB9375}" name="Spalte10451"/>
    <tableColumn id="10469" xr3:uid="{BB309BAF-815B-42A2-9931-6A74A9BEB66E}" name="Spalte10452"/>
    <tableColumn id="10470" xr3:uid="{5C347503-0A89-4117-AA58-A7D1A0E54F32}" name="Spalte10453"/>
    <tableColumn id="10471" xr3:uid="{0FF2AC8E-7C98-43FD-9ED4-F6A7131E25A2}" name="Spalte10454"/>
    <tableColumn id="10472" xr3:uid="{CC860D98-9F3A-4ECB-9785-4CC7BE60600B}" name="Spalte10455"/>
    <tableColumn id="10473" xr3:uid="{B2829C0D-12F6-4957-8AB0-09D440727886}" name="Spalte10456"/>
    <tableColumn id="10474" xr3:uid="{F5AA08EC-66F9-41D4-8EE6-95B6A39236BB}" name="Spalte10457"/>
    <tableColumn id="10475" xr3:uid="{FC9A15A4-9F19-4EC4-9033-1A00B1F15BB1}" name="Spalte10458"/>
    <tableColumn id="10476" xr3:uid="{69391AED-BD49-470F-95F3-63D5CAD9EFEE}" name="Spalte10459"/>
    <tableColumn id="10477" xr3:uid="{EE764FAB-6062-4C9E-9AE3-FE34C90406DD}" name="Spalte10460"/>
    <tableColumn id="10478" xr3:uid="{365C6CD3-B82A-4BC8-B41C-7B7E1E2122C9}" name="Spalte10461"/>
    <tableColumn id="10479" xr3:uid="{5FF6EF4B-6519-46C2-BCB4-2FF0AE2D3F24}" name="Spalte10462"/>
    <tableColumn id="10480" xr3:uid="{7690A507-B3C0-4CCE-9CDF-F3D36BE996CB}" name="Spalte10463"/>
    <tableColumn id="10481" xr3:uid="{6F36EBCC-A74A-4B1B-9825-3D30D5082759}" name="Spalte10464"/>
    <tableColumn id="10482" xr3:uid="{2A2668E9-1FEF-47E8-AC6C-0F181410D3B9}" name="Spalte10465"/>
    <tableColumn id="10483" xr3:uid="{D72BF20A-ED29-4C58-8C65-03FCFC50037A}" name="Spalte10466"/>
    <tableColumn id="10484" xr3:uid="{7D928AD8-5F52-4BA8-BC6D-DBDEB24A459D}" name="Spalte10467"/>
    <tableColumn id="10485" xr3:uid="{68EE6677-E5C7-4CFA-AC5E-56627FB5D2C7}" name="Spalte10468"/>
    <tableColumn id="10486" xr3:uid="{C2D0CF12-48C1-4CED-B53A-510B6D983A20}" name="Spalte10469"/>
    <tableColumn id="10487" xr3:uid="{D4E28639-3426-4361-8CC8-55519B6B26BD}" name="Spalte10470"/>
    <tableColumn id="10488" xr3:uid="{3870E391-5DEE-4088-A881-298E6D049161}" name="Spalte10471"/>
    <tableColumn id="10489" xr3:uid="{D1C9F1D1-C92D-4047-8B23-DAC5856ABE59}" name="Spalte10472"/>
    <tableColumn id="10490" xr3:uid="{5991B493-DABA-48C8-A5D1-99A503CD3FDB}" name="Spalte10473"/>
    <tableColumn id="10491" xr3:uid="{CBF1D0C7-56EB-4AC6-B3F8-C703636D1683}" name="Spalte10474"/>
    <tableColumn id="10492" xr3:uid="{4201D8AA-4B1F-4A0B-9CB0-D3B9CF5D51D1}" name="Spalte10475"/>
    <tableColumn id="10493" xr3:uid="{FAA93DB8-9932-43AC-BA7F-583FAAC4E747}" name="Spalte10476"/>
    <tableColumn id="10494" xr3:uid="{23893C04-0E80-43DE-ADDF-F686B2343A45}" name="Spalte10477"/>
    <tableColumn id="10495" xr3:uid="{39D3E6F4-D683-4A13-AC7D-258F28F81927}" name="Spalte10478"/>
    <tableColumn id="10496" xr3:uid="{3DA2CE22-4DC2-45DF-AA35-39439A2ADED6}" name="Spalte10479"/>
    <tableColumn id="10497" xr3:uid="{1715E5BB-3F85-4105-AFDF-94675163B72C}" name="Spalte10480"/>
    <tableColumn id="10498" xr3:uid="{6094AFB7-5FAA-41FD-AE88-E747BDA35307}" name="Spalte10481"/>
    <tableColumn id="10499" xr3:uid="{D4E10A75-F9AC-4B46-9FDA-5643A007727B}" name="Spalte10482"/>
    <tableColumn id="10500" xr3:uid="{DD696574-3DEB-4D5D-AC2E-32C782C93979}" name="Spalte10483"/>
    <tableColumn id="10501" xr3:uid="{C4247B68-8A2B-4EE7-9C1E-FE68621087D5}" name="Spalte10484"/>
    <tableColumn id="10502" xr3:uid="{C3A8FC4E-0515-4715-88AF-4E826596E2FE}" name="Spalte10485"/>
    <tableColumn id="10503" xr3:uid="{FE4CBEFB-965A-4EA4-BF2C-78A1DFDA6A64}" name="Spalte10486"/>
    <tableColumn id="10504" xr3:uid="{98792D08-F9B1-49C9-85E3-AE1536912B9C}" name="Spalte10487"/>
    <tableColumn id="10505" xr3:uid="{5F1EF6EE-FC6C-430C-81C8-21A5A184FE07}" name="Spalte10488"/>
    <tableColumn id="10506" xr3:uid="{0D854FE4-393F-4115-BC46-3A7966C15C51}" name="Spalte10489"/>
    <tableColumn id="10507" xr3:uid="{2350E6A4-E5C6-4BD4-8653-CFA79402FD25}" name="Spalte10490"/>
    <tableColumn id="10508" xr3:uid="{27CBF11E-79C7-475A-BEBA-5D3A87067D81}" name="Spalte10491"/>
    <tableColumn id="10509" xr3:uid="{FE18E7EA-F719-4118-969B-296883E63FBA}" name="Spalte10492"/>
    <tableColumn id="10510" xr3:uid="{E6DC498A-BA70-4BA9-8AF2-1D663B9A22ED}" name="Spalte10493"/>
    <tableColumn id="10511" xr3:uid="{4C5E5F60-B8F6-485F-A148-B821D4CE6FEB}" name="Spalte10494"/>
    <tableColumn id="10512" xr3:uid="{131235B2-ACB6-4ECF-8243-5F522091FB59}" name="Spalte10495"/>
    <tableColumn id="10513" xr3:uid="{B3124128-5EF8-4E25-987D-491DFD30B2D4}" name="Spalte10496"/>
    <tableColumn id="10514" xr3:uid="{C1E06651-C997-43F2-85E2-F8928E868F42}" name="Spalte10497"/>
    <tableColumn id="10515" xr3:uid="{4EFC05AB-CCEC-4A58-971D-7767EA2804E7}" name="Spalte10498"/>
    <tableColumn id="10516" xr3:uid="{63F5DDE5-C0C3-42CB-AFD6-E2F27EBE2A76}" name="Spalte10499"/>
    <tableColumn id="10517" xr3:uid="{6B22ACA1-A999-4621-92E2-21DD737920E9}" name="Spalte10500"/>
    <tableColumn id="10518" xr3:uid="{055D09F9-7BCB-4F28-8EC8-AC4A37C295B3}" name="Spalte10501"/>
    <tableColumn id="10519" xr3:uid="{2BBF49CE-4711-4ECE-BBCA-167AE83C095E}" name="Spalte10502"/>
    <tableColumn id="10520" xr3:uid="{58FF642A-5C5C-4586-8E1F-853BCBEB9BD7}" name="Spalte10503"/>
    <tableColumn id="10521" xr3:uid="{B5E5A489-8645-47BB-8360-5DD50962BA1F}" name="Spalte10504"/>
    <tableColumn id="10522" xr3:uid="{1FE7144A-9B6A-40DF-A7AD-8BDF3402EA42}" name="Spalte10505"/>
    <tableColumn id="10523" xr3:uid="{730A8695-2845-42C9-B673-30E0ABCFBE82}" name="Spalte10506"/>
    <tableColumn id="10524" xr3:uid="{9BE05C61-AA84-4B7E-A4C8-7610017D4E12}" name="Spalte10507"/>
    <tableColumn id="10525" xr3:uid="{1016E419-B065-4227-8CB0-04A9BB9D1590}" name="Spalte10508"/>
    <tableColumn id="10526" xr3:uid="{6F9B7734-64D1-4D1D-81A3-71AE4DFD0007}" name="Spalte10509"/>
    <tableColumn id="10527" xr3:uid="{1D3DA40E-0D80-4F70-A8FD-48E9AEEB87AE}" name="Spalte10510"/>
    <tableColumn id="10528" xr3:uid="{DBFBFCFF-4108-4B13-A734-D799E3BD8D89}" name="Spalte10511"/>
    <tableColumn id="10529" xr3:uid="{2D7B335E-C621-48EF-834C-30BFF2D10469}" name="Spalte10512"/>
    <tableColumn id="10530" xr3:uid="{4816549F-A6F7-4591-A643-F7738A7A45B5}" name="Spalte10513"/>
    <tableColumn id="10531" xr3:uid="{088F107C-4EB9-47C8-8CA6-9EC2419FAE67}" name="Spalte10514"/>
    <tableColumn id="10532" xr3:uid="{52114C92-36A4-46A8-9800-DEFD9AD8D6E2}" name="Spalte10515"/>
    <tableColumn id="10533" xr3:uid="{C149EBD3-A4AC-4211-8C66-A34710292766}" name="Spalte10516"/>
    <tableColumn id="10534" xr3:uid="{CC83F2C3-1EA4-4277-AB6A-A1DB0A24FD34}" name="Spalte10517"/>
    <tableColumn id="10535" xr3:uid="{3CFABEFA-6347-4698-BCFD-69CB76CD73D8}" name="Spalte10518"/>
    <tableColumn id="10536" xr3:uid="{D16E26DD-34E4-45BB-8DE1-64EF943B46C8}" name="Spalte10519"/>
    <tableColumn id="10537" xr3:uid="{19510BFF-BBF7-47EA-B12A-BBF653EB124C}" name="Spalte10520"/>
    <tableColumn id="10538" xr3:uid="{0A6C38BD-DF72-4423-B7F5-50A8F4009734}" name="Spalte10521"/>
    <tableColumn id="10539" xr3:uid="{976860D8-83FD-432D-BE36-D0551E29C645}" name="Spalte10522"/>
    <tableColumn id="10540" xr3:uid="{FAF216A1-2374-4E4E-8914-A5CE344ACD83}" name="Spalte10523"/>
    <tableColumn id="10541" xr3:uid="{3AADF266-C30F-45E3-A127-E46D7FF67562}" name="Spalte10524"/>
    <tableColumn id="10542" xr3:uid="{8B9B10ED-B564-4AFD-A6E0-203BC89954EF}" name="Spalte10525"/>
    <tableColumn id="10543" xr3:uid="{B251DFA3-BF2C-4D17-9D5C-0EBFB49CF926}" name="Spalte10526"/>
    <tableColumn id="10544" xr3:uid="{A1F282C0-95EA-4922-B34C-2C1995C6014B}" name="Spalte10527"/>
    <tableColumn id="10545" xr3:uid="{267FA6A7-8134-4230-90BA-4F479EE6CB41}" name="Spalte10528"/>
    <tableColumn id="10546" xr3:uid="{46202281-7179-40EE-804E-522CA6E91743}" name="Spalte10529"/>
    <tableColumn id="10547" xr3:uid="{CDBE375B-02F5-4E0E-BDF0-703C859BA9BF}" name="Spalte10530"/>
    <tableColumn id="10548" xr3:uid="{6E00BDCC-F902-4C02-B240-17E1C7D57FB0}" name="Spalte10531"/>
    <tableColumn id="10549" xr3:uid="{CCE1DE9A-2B20-4D46-94CC-9ABD0A4F987D}" name="Spalte10532"/>
    <tableColumn id="10550" xr3:uid="{2938DCF8-C978-444D-AB99-939FCAEF3349}" name="Spalte10533"/>
    <tableColumn id="10551" xr3:uid="{9584C9A2-6BF0-4321-81AD-F4FFDC0A0D91}" name="Spalte10534"/>
    <tableColumn id="10552" xr3:uid="{7D2C82DE-4582-4B5A-92C2-B36F83BBB00A}" name="Spalte10535"/>
    <tableColumn id="10553" xr3:uid="{418518ED-BE93-4B07-AB4D-D252B9E03F1B}" name="Spalte10536"/>
    <tableColumn id="10554" xr3:uid="{0BF4DB21-AA33-43DB-BB53-91EB84F0DA7C}" name="Spalte10537"/>
    <tableColumn id="10555" xr3:uid="{5B1F6A33-A80A-4128-8ABB-ABDBE9FA1773}" name="Spalte10538"/>
    <tableColumn id="10556" xr3:uid="{0CCFE49A-2F0F-4804-9673-FAACF7957C47}" name="Spalte10539"/>
    <tableColumn id="10557" xr3:uid="{EA5C9E8A-D998-4B68-BBF6-8BD1A5F6D95C}" name="Spalte10540"/>
    <tableColumn id="10558" xr3:uid="{43A4E2AC-4EE3-495F-8BDA-8ED7BF8A5C80}" name="Spalte10541"/>
    <tableColumn id="10559" xr3:uid="{3AC0F2B4-BF88-4394-9DDE-E9C4161A2FB2}" name="Spalte10542"/>
    <tableColumn id="10560" xr3:uid="{C1B93DA3-2D47-47E2-B412-9C166DF8C8AC}" name="Spalte10543"/>
    <tableColumn id="10561" xr3:uid="{F65D57B1-6180-41C1-A822-BA78376062F1}" name="Spalte10544"/>
    <tableColumn id="10562" xr3:uid="{3CD30298-7B5D-40E4-BD47-906890078FA1}" name="Spalte10545"/>
    <tableColumn id="10563" xr3:uid="{06DE60CA-C68E-4AC8-9039-182E97988147}" name="Spalte10546"/>
    <tableColumn id="10564" xr3:uid="{FC82E995-DDC1-4B49-A192-030389EF16EA}" name="Spalte10547"/>
    <tableColumn id="10565" xr3:uid="{34005C30-F389-45FD-B978-63B329A19C8C}" name="Spalte10548"/>
    <tableColumn id="10566" xr3:uid="{343A80E5-C999-43C1-AD7D-257165517F75}" name="Spalte10549"/>
    <tableColumn id="10567" xr3:uid="{0880CB4C-4765-42F5-9FD8-3F273541E180}" name="Spalte10550"/>
    <tableColumn id="10568" xr3:uid="{EBF9BE29-1B3D-453F-A5DC-AD9C7356B5A2}" name="Spalte10551"/>
    <tableColumn id="10569" xr3:uid="{6EA255FE-7401-412F-9C67-346DDE87F60F}" name="Spalte10552"/>
    <tableColumn id="10570" xr3:uid="{6C11115C-4BF3-4448-95F1-BEF1EEB8AB9C}" name="Spalte10553"/>
    <tableColumn id="10571" xr3:uid="{4ED24AE5-D16E-4E9B-AF8E-B842994CFB78}" name="Spalte10554"/>
    <tableColumn id="10572" xr3:uid="{3848D210-9094-402E-8990-248399FC3EB3}" name="Spalte10555"/>
    <tableColumn id="10573" xr3:uid="{28F822E3-1F63-4127-B12D-454FFC7A6E5C}" name="Spalte10556"/>
    <tableColumn id="10574" xr3:uid="{89D667AB-EF9E-487A-BB2F-965E767A6E45}" name="Spalte10557"/>
    <tableColumn id="10575" xr3:uid="{9E4BB31A-0D26-48CA-95D0-7A44DAE55553}" name="Spalte10558"/>
    <tableColumn id="10576" xr3:uid="{7EDD1015-9406-4B10-8D7A-2588B0CB8BD2}" name="Spalte10559"/>
    <tableColumn id="10577" xr3:uid="{9B7C52EC-136C-4FEF-8FC2-01B782B4A5B3}" name="Spalte10560"/>
    <tableColumn id="10578" xr3:uid="{3CDBA2C4-3236-4F18-85AB-6FF0AB16EF1D}" name="Spalte10561"/>
    <tableColumn id="10579" xr3:uid="{41422562-7B29-4357-81EA-EBF63B93E7DA}" name="Spalte10562"/>
    <tableColumn id="10580" xr3:uid="{36C612A6-35C4-4FB6-92FA-F97495B67476}" name="Spalte10563"/>
    <tableColumn id="10581" xr3:uid="{3C91DDE8-16B0-469D-B233-322C12E2C5B0}" name="Spalte10564"/>
    <tableColumn id="10582" xr3:uid="{9794FD81-D868-4B78-AA8E-A6674ABF83F3}" name="Spalte10565"/>
    <tableColumn id="10583" xr3:uid="{2926FC7B-D240-4313-9194-A8FFCF595A0F}" name="Spalte10566"/>
    <tableColumn id="10584" xr3:uid="{ED64E412-A0BE-4BAA-8E61-6C718A39C96E}" name="Spalte10567"/>
    <tableColumn id="10585" xr3:uid="{803723E8-4DA2-4A21-8301-15F1FB11463A}" name="Spalte10568"/>
    <tableColumn id="10586" xr3:uid="{C8AD0810-A9DA-48FD-A503-5A8B63DAE22B}" name="Spalte10569"/>
    <tableColumn id="10587" xr3:uid="{D89109D0-4307-4527-B3E2-4E244F4ED663}" name="Spalte10570"/>
    <tableColumn id="10588" xr3:uid="{4C944987-8A6C-47B4-8BA3-F0CB735E7D01}" name="Spalte10571"/>
    <tableColumn id="10589" xr3:uid="{AA672A2A-5290-4949-A224-EEC5BA5DF8E4}" name="Spalte10572"/>
    <tableColumn id="10590" xr3:uid="{D9FA6AD0-83C5-4B10-B256-13ED1A3CA11C}" name="Spalte10573"/>
    <tableColumn id="10591" xr3:uid="{79B757C2-2963-43A5-AA67-F135F4202AC6}" name="Spalte10574"/>
    <tableColumn id="10592" xr3:uid="{380E55CF-5266-4600-95AD-A30D8E5859D0}" name="Spalte10575"/>
    <tableColumn id="10593" xr3:uid="{D38BC25D-5561-467D-831D-43A5F4DE3DBF}" name="Spalte10576"/>
    <tableColumn id="10594" xr3:uid="{A3319A9E-5793-4B61-B556-82FBD237F136}" name="Spalte10577"/>
    <tableColumn id="10595" xr3:uid="{DE1F640C-563D-41C8-A7A3-B0E40480D275}" name="Spalte10578"/>
    <tableColumn id="10596" xr3:uid="{209EBE69-BA70-4870-BD22-03519AFC9392}" name="Spalte10579"/>
    <tableColumn id="10597" xr3:uid="{EFFCEF78-9802-4041-8526-624E13A833C3}" name="Spalte10580"/>
    <tableColumn id="10598" xr3:uid="{9AF852BC-92DE-43A0-B4C0-AE398A96DD43}" name="Spalte10581"/>
    <tableColumn id="10599" xr3:uid="{A76713F1-366E-4710-9976-80BCFA4BD836}" name="Spalte10582"/>
    <tableColumn id="10600" xr3:uid="{E2769490-8B19-4638-995F-6C61A75FCE68}" name="Spalte10583"/>
    <tableColumn id="10601" xr3:uid="{E519C747-45A3-4C37-A7C9-80CF0A95556F}" name="Spalte10584"/>
    <tableColumn id="10602" xr3:uid="{0B7E8A9D-3542-4A1A-8D00-48FDBD164346}" name="Spalte10585"/>
    <tableColumn id="10603" xr3:uid="{321E92B0-4229-4F92-96B3-7ED78DE4C1E1}" name="Spalte10586"/>
    <tableColumn id="10604" xr3:uid="{FE177000-2047-4A53-84B6-7314ADD9A12B}" name="Spalte10587"/>
    <tableColumn id="10605" xr3:uid="{507C792C-ED87-4853-BD82-955632C3746B}" name="Spalte10588"/>
    <tableColumn id="10606" xr3:uid="{B84D1332-8D9E-48A8-8FC1-8313207F2803}" name="Spalte10589"/>
    <tableColumn id="10607" xr3:uid="{BCDA6DF6-ECFE-4053-B626-7B918B055D6E}" name="Spalte10590"/>
    <tableColumn id="10608" xr3:uid="{23A56847-6610-4B63-B5FF-E569892919F9}" name="Spalte10591"/>
    <tableColumn id="10609" xr3:uid="{79BE2748-945F-4435-B618-227E970A8678}" name="Spalte10592"/>
    <tableColumn id="10610" xr3:uid="{ACF575FE-3E55-4702-A4BD-10A997FF2342}" name="Spalte10593"/>
    <tableColumn id="10611" xr3:uid="{5E68B44A-AC6D-4E64-82CB-E6B88A9CA418}" name="Spalte10594"/>
    <tableColumn id="10612" xr3:uid="{BE075B40-2952-4EAF-834E-C276447F62D5}" name="Spalte10595"/>
    <tableColumn id="10613" xr3:uid="{19433037-5A15-47FF-A56C-49229855CB27}" name="Spalte10596"/>
    <tableColumn id="10614" xr3:uid="{905141A6-4C62-4B6B-84B6-77CA9FD49837}" name="Spalte10597"/>
    <tableColumn id="10615" xr3:uid="{5486BBA5-7435-4D50-A958-E82600FD1EA3}" name="Spalte10598"/>
    <tableColumn id="10616" xr3:uid="{76C6A242-9F24-430C-8F4F-A675921134A1}" name="Spalte10599"/>
    <tableColumn id="10617" xr3:uid="{59BE1D2B-8325-474E-A1C1-E62C8BC9EDC0}" name="Spalte10600"/>
    <tableColumn id="10618" xr3:uid="{253E1793-F8F5-476C-9483-640B820633A0}" name="Spalte10601"/>
    <tableColumn id="10619" xr3:uid="{C312FE7A-6781-47D5-92BF-E2B374A0F5DA}" name="Spalte10602"/>
    <tableColumn id="10620" xr3:uid="{A56B47D6-84A8-42CC-A27D-F6A2C405B164}" name="Spalte10603"/>
    <tableColumn id="10621" xr3:uid="{DD3A4379-84CD-4526-ACC4-97E6657C6923}" name="Spalte10604"/>
    <tableColumn id="10622" xr3:uid="{0E13BF59-CCF3-4BF4-8F81-A017111E9ACA}" name="Spalte10605"/>
    <tableColumn id="10623" xr3:uid="{32AC274C-0592-45A5-AE46-EFCCC30F6062}" name="Spalte10606"/>
    <tableColumn id="10624" xr3:uid="{9E36ADC5-DCD2-4D1C-BA9A-971621A5C354}" name="Spalte10607"/>
    <tableColumn id="10625" xr3:uid="{C07A5540-CE3B-4C2C-90A9-AC4CC3372A70}" name="Spalte10608"/>
    <tableColumn id="10626" xr3:uid="{A26BECA4-1F48-4571-AFD6-FC43DC5F33BE}" name="Spalte10609"/>
    <tableColumn id="10627" xr3:uid="{140298DA-7D31-4664-9503-0284A21CB77F}" name="Spalte10610"/>
    <tableColumn id="10628" xr3:uid="{4B9B75DD-9528-4B63-B359-EE065BB3A59E}" name="Spalte10611"/>
    <tableColumn id="10629" xr3:uid="{1A2D420B-7738-479C-85DB-3FAD68ABD1CB}" name="Spalte10612"/>
    <tableColumn id="10630" xr3:uid="{5EF97E93-EE90-4F14-9319-4E160D6124BF}" name="Spalte10613"/>
    <tableColumn id="10631" xr3:uid="{3951A0B7-EE7D-4210-BE21-C64C94FBAFEF}" name="Spalte10614"/>
    <tableColumn id="10632" xr3:uid="{3EDCB395-BF73-46F3-886F-7822E2F453B5}" name="Spalte10615"/>
    <tableColumn id="10633" xr3:uid="{06359947-9207-4B91-8B0E-46F32C7A6FB2}" name="Spalte10616"/>
    <tableColumn id="10634" xr3:uid="{9358C549-7C4C-4EBD-B149-7B2EF67EFE2C}" name="Spalte10617"/>
    <tableColumn id="10635" xr3:uid="{7C142118-DBF3-479F-A3F1-C134B6911D7B}" name="Spalte10618"/>
    <tableColumn id="10636" xr3:uid="{A02F0178-D9FE-4A11-B299-E39F9867CBF5}" name="Spalte10619"/>
    <tableColumn id="10637" xr3:uid="{AD1334A8-3995-45FA-A8FE-CA47D85B00A7}" name="Spalte10620"/>
    <tableColumn id="10638" xr3:uid="{C604D7B8-CDA0-4515-918C-2CE7AD3C127F}" name="Spalte10621"/>
    <tableColumn id="10639" xr3:uid="{BC7A9297-4786-40EA-B0E5-6E19523AA4FB}" name="Spalte10622"/>
    <tableColumn id="10640" xr3:uid="{C5608F27-E813-4A70-A32D-4034F8E1C903}" name="Spalte10623"/>
    <tableColumn id="10641" xr3:uid="{5EF2FECC-8C1B-41F4-BDF6-D058EE1EBE9F}" name="Spalte10624"/>
    <tableColumn id="10642" xr3:uid="{149EB998-BFE5-4385-8A89-360483FB7D78}" name="Spalte10625"/>
    <tableColumn id="10643" xr3:uid="{329F0DDF-FB87-4946-8AC0-15126D30F55C}" name="Spalte10626"/>
    <tableColumn id="10644" xr3:uid="{7216D782-903A-47B6-9A67-78B6F26C0062}" name="Spalte10627"/>
    <tableColumn id="10645" xr3:uid="{AA6CD11C-E5B6-4578-A225-8F7BC9227E89}" name="Spalte10628"/>
    <tableColumn id="10646" xr3:uid="{44A6AFB2-988F-467E-9170-C2599A348ACF}" name="Spalte10629"/>
    <tableColumn id="10647" xr3:uid="{3A4B12BD-D81E-4834-B58C-B2A45A1DA348}" name="Spalte10630"/>
    <tableColumn id="10648" xr3:uid="{E97E2942-A195-41EE-B3CF-D84D102D2DA9}" name="Spalte10631"/>
    <tableColumn id="10649" xr3:uid="{F0B3F86C-7993-4B52-8856-11DF6D6F4542}" name="Spalte10632"/>
    <tableColumn id="10650" xr3:uid="{D77B2A63-BE59-441C-9359-1B00B31764AB}" name="Spalte10633"/>
    <tableColumn id="10651" xr3:uid="{C4903530-2E32-482E-B726-F382664EFA0C}" name="Spalte10634"/>
    <tableColumn id="10652" xr3:uid="{98C359A2-7149-4C46-ACE7-373DF45C82AB}" name="Spalte10635"/>
    <tableColumn id="10653" xr3:uid="{9B3EA610-196B-4986-8500-1E2A5E9F82E3}" name="Spalte10636"/>
    <tableColumn id="10654" xr3:uid="{031952D9-DECE-448C-9D33-4481BED2D6D0}" name="Spalte10637"/>
    <tableColumn id="10655" xr3:uid="{2F6FA3C7-BB9D-417D-BAFE-3107618F11F9}" name="Spalte10638"/>
    <tableColumn id="10656" xr3:uid="{14076F81-FE11-47F8-B4A7-2F5FA14A19E8}" name="Spalte10639"/>
    <tableColumn id="10657" xr3:uid="{37DF0628-F7FC-4EB2-8779-0D7501E0A1EB}" name="Spalte10640"/>
    <tableColumn id="10658" xr3:uid="{253BB450-CEEE-440A-A086-E8B902E8C7C5}" name="Spalte10641"/>
    <tableColumn id="10659" xr3:uid="{5597A566-61CE-475C-A1ED-61811D697966}" name="Spalte10642"/>
    <tableColumn id="10660" xr3:uid="{1C98FA22-E189-4984-8C10-A1C2D403FDB2}" name="Spalte10643"/>
    <tableColumn id="10661" xr3:uid="{DFEB9268-8493-47C7-8193-5198CCC404AA}" name="Spalte10644"/>
    <tableColumn id="10662" xr3:uid="{FE25DAD3-3A04-48C5-8366-A132A3B57BB4}" name="Spalte10645"/>
    <tableColumn id="10663" xr3:uid="{1F51F6EE-189B-4BF7-A8C7-BFD03F6D7990}" name="Spalte10646"/>
    <tableColumn id="10664" xr3:uid="{B9DF4558-34B2-4251-B371-3C26434D0DB1}" name="Spalte10647"/>
    <tableColumn id="10665" xr3:uid="{C972F2EB-E029-45B0-9DDB-0E10C5BDFE47}" name="Spalte10648"/>
    <tableColumn id="10666" xr3:uid="{5AC57392-9EB3-42D5-A29E-6BAC6AA9E002}" name="Spalte10649"/>
    <tableColumn id="10667" xr3:uid="{8614E810-4F4E-4C01-833B-25F644ECDCC4}" name="Spalte10650"/>
    <tableColumn id="10668" xr3:uid="{4EB32CB9-F7CA-4BC4-9CAC-4E374F1A523F}" name="Spalte10651"/>
    <tableColumn id="10669" xr3:uid="{0B2F0581-2543-408D-9715-B041DE530807}" name="Spalte10652"/>
    <tableColumn id="10670" xr3:uid="{D3B2B51E-3449-4704-963C-4E6CA0A1B530}" name="Spalte10653"/>
    <tableColumn id="10671" xr3:uid="{7B1CB365-0A50-48D7-821B-2FFD4954A950}" name="Spalte10654"/>
    <tableColumn id="10672" xr3:uid="{57B8E8BB-76D6-4614-9FEE-CCA54BD3F85C}" name="Spalte10655"/>
    <tableColumn id="10673" xr3:uid="{8F6FE578-6247-4E7D-93E1-B04ED1A980FD}" name="Spalte10656"/>
    <tableColumn id="10674" xr3:uid="{F237AD53-6CBD-4DA8-884A-BA9EE6D5E9F7}" name="Spalte10657"/>
    <tableColumn id="10675" xr3:uid="{C2FE3421-F04F-4F52-A6CB-137FDC3A0BB5}" name="Spalte10658"/>
    <tableColumn id="10676" xr3:uid="{F40C1276-529B-4484-A4FF-3B17D547C622}" name="Spalte10659"/>
    <tableColumn id="10677" xr3:uid="{4430B1D9-5DB9-45E0-94F5-18426BDE7C06}" name="Spalte10660"/>
    <tableColumn id="10678" xr3:uid="{B641BF83-840F-4167-9889-C56C51A1E399}" name="Spalte10661"/>
    <tableColumn id="10679" xr3:uid="{C1B29A76-8DC9-4C19-870D-C4AE4877D6C3}" name="Spalte10662"/>
    <tableColumn id="10680" xr3:uid="{5ED0D5BA-B8A4-413D-92A2-C1926000878E}" name="Spalte10663"/>
    <tableColumn id="10681" xr3:uid="{DF0BD3A4-4933-4084-9FD0-303E910BE47D}" name="Spalte10664"/>
    <tableColumn id="10682" xr3:uid="{C72A4D79-9F74-4051-BC06-C8495A9DDE51}" name="Spalte10665"/>
    <tableColumn id="10683" xr3:uid="{70B59613-AAD4-49E6-8F32-9D7DC2632350}" name="Spalte10666"/>
    <tableColumn id="10684" xr3:uid="{7B44C1E3-9914-4194-8C5D-29FC21028DB6}" name="Spalte10667"/>
    <tableColumn id="10685" xr3:uid="{BE7AA4E7-AFF6-4DE9-926C-B158DBBF11CB}" name="Spalte10668"/>
    <tableColumn id="10686" xr3:uid="{BF68AFF2-9AFE-4FB9-A0CA-A2310808DF8F}" name="Spalte10669"/>
    <tableColumn id="10687" xr3:uid="{2A666E62-B049-40AB-AEFA-E3AAF5A32D15}" name="Spalte10670"/>
    <tableColumn id="10688" xr3:uid="{E7DDDA6D-E61E-4496-8022-E0BB7E0B5088}" name="Spalte10671"/>
    <tableColumn id="10689" xr3:uid="{35B4BC1B-D4CB-47A6-B63D-828BE72F382D}" name="Spalte10672"/>
    <tableColumn id="10690" xr3:uid="{2CA55105-3132-4822-9C83-245697F9100A}" name="Spalte10673"/>
    <tableColumn id="10691" xr3:uid="{A153CFF0-4720-4213-AF1F-878BBF25D7F5}" name="Spalte10674"/>
    <tableColumn id="10692" xr3:uid="{69D8556B-FFB6-499B-8EF4-7D66C5C61C28}" name="Spalte10675"/>
    <tableColumn id="10693" xr3:uid="{D7F17FE4-49D2-4CCB-99E8-C4921CC0235F}" name="Spalte10676"/>
    <tableColumn id="10694" xr3:uid="{BB652792-DF31-48F1-A473-CBB22D252E98}" name="Spalte10677"/>
    <tableColumn id="10695" xr3:uid="{1F410345-8D42-4E97-9C18-0B4FA5354491}" name="Spalte10678"/>
    <tableColumn id="10696" xr3:uid="{9A90AC39-7716-43BB-A338-DEF4402E1ED2}" name="Spalte10679"/>
    <tableColumn id="10697" xr3:uid="{45F66279-2907-48E5-BDB1-76819A83BD15}" name="Spalte10680"/>
    <tableColumn id="10698" xr3:uid="{05149381-5B78-41BD-A901-128DE0DAE2ED}" name="Spalte10681"/>
    <tableColumn id="10699" xr3:uid="{A9D8FE44-243B-4038-926B-08A1361512F5}" name="Spalte10682"/>
    <tableColumn id="10700" xr3:uid="{13612AA4-2F47-41F4-8EAF-67E2F0E63A99}" name="Spalte10683"/>
    <tableColumn id="10701" xr3:uid="{7636C528-9F92-4FE4-9ABC-B9BBB704DB1E}" name="Spalte10684"/>
    <tableColumn id="10702" xr3:uid="{E4DE49A6-2AB9-425B-84DC-01FEA31C6892}" name="Spalte10685"/>
    <tableColumn id="10703" xr3:uid="{0D41CD1E-BD11-4B0F-B656-98EEA8AE0743}" name="Spalte10686"/>
    <tableColumn id="10704" xr3:uid="{5C25DB4D-0961-4C45-92C2-2725801D976C}" name="Spalte10687"/>
    <tableColumn id="10705" xr3:uid="{4DC7F1F2-E471-48E5-93B2-204CBF6A61BB}" name="Spalte10688"/>
    <tableColumn id="10706" xr3:uid="{D3BAC648-C921-4C48-9972-577E4B6EE1FF}" name="Spalte10689"/>
    <tableColumn id="10707" xr3:uid="{A51A43BB-A5B7-4C40-8307-295170EA8013}" name="Spalte10690"/>
    <tableColumn id="10708" xr3:uid="{D7685B14-76BA-48F2-AC0C-120DD407FFEA}" name="Spalte10691"/>
    <tableColumn id="10709" xr3:uid="{3C752F2D-7DA6-47E6-962E-8DFE5AE7C848}" name="Spalte10692"/>
    <tableColumn id="10710" xr3:uid="{723228FF-6729-4A19-A555-3F66EC615870}" name="Spalte10693"/>
    <tableColumn id="10711" xr3:uid="{6571FA93-BBA8-43E4-B240-DA92671EF799}" name="Spalte10694"/>
    <tableColumn id="10712" xr3:uid="{DD766EE4-151E-45D2-B47D-72EC671C9C92}" name="Spalte10695"/>
    <tableColumn id="10713" xr3:uid="{755D760F-DF97-4A04-BB3E-476DCDADAAA0}" name="Spalte10696"/>
    <tableColumn id="10714" xr3:uid="{EF858BE2-4B93-4AD2-8F0C-FA4BAC166519}" name="Spalte10697"/>
    <tableColumn id="10715" xr3:uid="{122C6DC2-D715-4225-844B-25DEAEE5D2E9}" name="Spalte10698"/>
    <tableColumn id="10716" xr3:uid="{FD79E812-8597-41C9-8C69-3FF969FA781C}" name="Spalte10699"/>
    <tableColumn id="10717" xr3:uid="{9F66DC36-351B-4E56-AA97-7B136FC87BAA}" name="Spalte10700"/>
    <tableColumn id="10718" xr3:uid="{4A98F5BB-E61B-4252-A46D-76E06D869BCB}" name="Spalte10701"/>
    <tableColumn id="10719" xr3:uid="{9267BB35-9073-40D7-B622-37D7EC0B7BDE}" name="Spalte10702"/>
    <tableColumn id="10720" xr3:uid="{C39168F1-9F9F-493B-AE58-E9FF9323421B}" name="Spalte10703"/>
    <tableColumn id="10721" xr3:uid="{EE9001EA-C170-4016-ADD4-4475CA363E0D}" name="Spalte10704"/>
    <tableColumn id="10722" xr3:uid="{D2E27711-36F9-4A82-AF88-0AAF18DC9753}" name="Spalte10705"/>
    <tableColumn id="10723" xr3:uid="{846CA00A-82C2-4FF4-9F5A-8426C0AA04F9}" name="Spalte10706"/>
    <tableColumn id="10724" xr3:uid="{4F334DC4-A6C5-4357-9495-03E33FA3F914}" name="Spalte10707"/>
    <tableColumn id="10725" xr3:uid="{289BABFE-055A-49D8-8D0B-8A5D5E53A6E4}" name="Spalte10708"/>
    <tableColumn id="10726" xr3:uid="{D5794758-087A-4576-949E-F2B50503F8A7}" name="Spalte10709"/>
    <tableColumn id="10727" xr3:uid="{DE6B0877-2057-4464-80B3-A757732C48B5}" name="Spalte10710"/>
    <tableColumn id="10728" xr3:uid="{525DD817-894E-4013-8ADD-196C31702AB1}" name="Spalte10711"/>
    <tableColumn id="10729" xr3:uid="{67D3E75C-6E83-4294-8AE0-7209AF811E2C}" name="Spalte10712"/>
    <tableColumn id="10730" xr3:uid="{2ADFB052-EB0D-4B1B-B1A9-62C1A356B5DA}" name="Spalte10713"/>
    <tableColumn id="10731" xr3:uid="{62040A4D-4859-4FFC-8244-46E3BFCABC17}" name="Spalte10714"/>
    <tableColumn id="10732" xr3:uid="{B995056D-A4FA-4644-A6BF-1A3AA0D04B50}" name="Spalte10715"/>
    <tableColumn id="10733" xr3:uid="{60C9BA79-A18A-4E26-8745-E717B4389523}" name="Spalte10716"/>
    <tableColumn id="10734" xr3:uid="{F9C87C8F-9CCD-40AF-AD48-5C9661D3AA26}" name="Spalte10717"/>
    <tableColumn id="10735" xr3:uid="{B252536E-3A2C-4F73-8B6E-D520B9B5C0C0}" name="Spalte10718"/>
    <tableColumn id="10736" xr3:uid="{EA0F2B12-CCD3-46E6-93E9-B71B377AB2A1}" name="Spalte10719"/>
    <tableColumn id="10737" xr3:uid="{4529BDB5-896C-4180-8DFB-3EC9EE8340FE}" name="Spalte10720"/>
    <tableColumn id="10738" xr3:uid="{985076D8-A610-4870-86CE-0F6C565A089A}" name="Spalte10721"/>
    <tableColumn id="10739" xr3:uid="{14DD1164-D406-4FD4-98E6-1E2D6084BEF5}" name="Spalte10722"/>
    <tableColumn id="10740" xr3:uid="{85FD172D-EA05-4E7F-80B4-49918988D1D2}" name="Spalte10723"/>
    <tableColumn id="10741" xr3:uid="{C5A5898F-C610-46D0-9D57-FABA01489A6D}" name="Spalte10724"/>
    <tableColumn id="10742" xr3:uid="{808B2221-1CC2-45C3-888C-88F073AEED14}" name="Spalte10725"/>
    <tableColumn id="10743" xr3:uid="{54CB1110-B94E-4A22-896C-F9A072E03AC1}" name="Spalte10726"/>
    <tableColumn id="10744" xr3:uid="{8F82082C-5585-4862-927C-115DE7DF3C40}" name="Spalte10727"/>
    <tableColumn id="10745" xr3:uid="{2BBA6566-C9F5-4D16-8520-042C3176AC7A}" name="Spalte10728"/>
    <tableColumn id="10746" xr3:uid="{D919B79E-3505-4B39-BF6B-C293DB912E76}" name="Spalte10729"/>
    <tableColumn id="10747" xr3:uid="{6A49F33A-08A3-48AB-8251-75A685763323}" name="Spalte10730"/>
    <tableColumn id="10748" xr3:uid="{6FB53B62-ED02-4E8E-96B0-EBAC93B6FF72}" name="Spalte10731"/>
    <tableColumn id="10749" xr3:uid="{0FD20CDF-C2A7-4A05-9215-E22A559A6773}" name="Spalte10732"/>
    <tableColumn id="10750" xr3:uid="{8629EAD1-B817-40E9-8F55-E234662576C9}" name="Spalte10733"/>
    <tableColumn id="10751" xr3:uid="{D4422F2C-F727-4699-9201-49918CC8EE5E}" name="Spalte10734"/>
    <tableColumn id="10752" xr3:uid="{5C3B235D-1271-4597-9AEE-CEC68856F2E4}" name="Spalte10735"/>
    <tableColumn id="10753" xr3:uid="{E1C4768E-8220-4296-9455-7B120F8C44F6}" name="Spalte10736"/>
    <tableColumn id="10754" xr3:uid="{E66BEC45-C46B-4DEA-9B7E-EF97AD2739F1}" name="Spalte10737"/>
    <tableColumn id="10755" xr3:uid="{C17D4BA6-CDC3-487A-AA08-BC8C46AF66AC}" name="Spalte10738"/>
    <tableColumn id="10756" xr3:uid="{B4DD82AB-5939-4D0D-A1E7-462C48B8953F}" name="Spalte10739"/>
    <tableColumn id="10757" xr3:uid="{99AABAE9-32C1-405B-B637-681456CDED6B}" name="Spalte10740"/>
    <tableColumn id="10758" xr3:uid="{38E5E9B0-B7CF-43D7-9681-A496B8B5E92A}" name="Spalte10741"/>
    <tableColumn id="10759" xr3:uid="{660E4C9B-377D-44F4-B9A3-C82370FD4376}" name="Spalte10742"/>
    <tableColumn id="10760" xr3:uid="{6B5F41F8-E1C0-4810-9D4A-7843849FFBED}" name="Spalte10743"/>
    <tableColumn id="10761" xr3:uid="{A32B6E26-C2F2-4563-98EF-8EEEDE9DCFDB}" name="Spalte10744"/>
    <tableColumn id="10762" xr3:uid="{FC3B5E68-4BEB-4DFC-8F09-7C47951EC1A7}" name="Spalte10745"/>
    <tableColumn id="10763" xr3:uid="{D15F6ABF-9E08-4415-9233-AD191D828A4C}" name="Spalte10746"/>
    <tableColumn id="10764" xr3:uid="{5CBEE32B-417E-402D-A052-80C23E1BE643}" name="Spalte10747"/>
    <tableColumn id="10765" xr3:uid="{1EDC0B09-150C-4E0C-A4C1-267A8B108709}" name="Spalte10748"/>
    <tableColumn id="10766" xr3:uid="{CDD93FA2-849A-4C7F-8DA9-88525D29CE8E}" name="Spalte10749"/>
    <tableColumn id="10767" xr3:uid="{2F3416CE-2FF4-41CE-9D3A-A66051633014}" name="Spalte10750"/>
    <tableColumn id="10768" xr3:uid="{8988429F-2352-44E1-9898-5E66F602CABB}" name="Spalte10751"/>
    <tableColumn id="10769" xr3:uid="{F87DD0DC-70BB-488C-9600-382DB6F3A4AA}" name="Spalte10752"/>
    <tableColumn id="10770" xr3:uid="{481A53F4-8217-46E7-BCBC-45E308646C55}" name="Spalte10753"/>
    <tableColumn id="10771" xr3:uid="{BC9D9547-EEC0-4850-BAF1-8D39C3C0113C}" name="Spalte10754"/>
    <tableColumn id="10772" xr3:uid="{E1BA2A73-23B3-4102-8B2E-AFF8205E8434}" name="Spalte10755"/>
    <tableColumn id="10773" xr3:uid="{A1A2A82C-5737-4935-BFA3-739F5D563FFC}" name="Spalte10756"/>
    <tableColumn id="10774" xr3:uid="{0DC1377B-AAF8-4252-A3DA-DA5A50C5FABF}" name="Spalte10757"/>
    <tableColumn id="10775" xr3:uid="{16D0609C-22CC-4A04-AA7A-3A1C25E1EB1A}" name="Spalte10758"/>
    <tableColumn id="10776" xr3:uid="{382333F1-3490-4581-9C58-165302F35C11}" name="Spalte10759"/>
    <tableColumn id="10777" xr3:uid="{0B48E271-9C6B-4289-A5EF-700A8EB76A11}" name="Spalte10760"/>
    <tableColumn id="10778" xr3:uid="{2AC23E9D-50B2-4905-9480-245090998EE0}" name="Spalte10761"/>
    <tableColumn id="10779" xr3:uid="{2D2D2907-3AF2-4195-A467-28759ACE5910}" name="Spalte10762"/>
    <tableColumn id="10780" xr3:uid="{1102DAA1-BFA7-4420-9F68-0FDFCAAE5E10}" name="Spalte10763"/>
    <tableColumn id="10781" xr3:uid="{15D0FC0A-53FE-48EB-A8E9-4B91E1BA1D1A}" name="Spalte10764"/>
    <tableColumn id="10782" xr3:uid="{4CC5F2DB-6D97-44D8-887D-D3BB3973DFC5}" name="Spalte10765"/>
    <tableColumn id="10783" xr3:uid="{EA5E3119-F5D2-4CAF-9F54-9FA4F73B0171}" name="Spalte10766"/>
    <tableColumn id="10784" xr3:uid="{CB130A51-B094-464E-A5B3-062259F4994D}" name="Spalte10767"/>
    <tableColumn id="10785" xr3:uid="{22C67E0C-4F00-4E1C-B6BE-610A446C3F29}" name="Spalte10768"/>
    <tableColumn id="10786" xr3:uid="{97F7C6EE-9FC5-40BF-975A-69F8CA58272F}" name="Spalte10769"/>
    <tableColumn id="10787" xr3:uid="{89D591FD-3131-4954-A0C8-CE096B1A2369}" name="Spalte10770"/>
    <tableColumn id="10788" xr3:uid="{020CA3A1-D7C2-4A99-B3C2-462EC7759B47}" name="Spalte10771"/>
    <tableColumn id="10789" xr3:uid="{EE49ED6F-3DA7-468A-8434-D515F0D64D05}" name="Spalte10772"/>
    <tableColumn id="10790" xr3:uid="{50F29B3E-6A21-43FF-A3F4-6C2D8EE687B3}" name="Spalte10773"/>
    <tableColumn id="10791" xr3:uid="{CFA9B3BB-3D13-4B87-AB29-FB43E5DDA52B}" name="Spalte10774"/>
    <tableColumn id="10792" xr3:uid="{12134121-3B42-4F3E-8913-E32F3388C94C}" name="Spalte10775"/>
    <tableColumn id="10793" xr3:uid="{EC5DAB00-E511-442D-8700-F1A364639A88}" name="Spalte10776"/>
    <tableColumn id="10794" xr3:uid="{B4836D7D-9219-4402-AB49-111BA3FC5A17}" name="Spalte10777"/>
    <tableColumn id="10795" xr3:uid="{8701E464-B53A-43AC-93E1-4556CB4E1BF8}" name="Spalte10778"/>
    <tableColumn id="10796" xr3:uid="{FE310825-FB7F-414A-B472-0AC7EA5CE811}" name="Spalte10779"/>
    <tableColumn id="10797" xr3:uid="{DD2088B0-EC68-421D-A572-D851F4617829}" name="Spalte10780"/>
    <tableColumn id="10798" xr3:uid="{E0C4AF41-EC1E-4812-A17A-F97FC3835670}" name="Spalte10781"/>
    <tableColumn id="10799" xr3:uid="{CAD26915-7507-45E6-BD81-3B4AA351D70A}" name="Spalte10782"/>
    <tableColumn id="10800" xr3:uid="{6B263CA4-2992-410C-99E9-E2A787B9BC68}" name="Spalte10783"/>
    <tableColumn id="10801" xr3:uid="{D4EB4D26-08CE-4022-970E-4CD245AB236A}" name="Spalte10784"/>
    <tableColumn id="10802" xr3:uid="{8A808ACD-9E28-4403-8A11-4AA35BE1BA27}" name="Spalte10785"/>
    <tableColumn id="10803" xr3:uid="{A5126964-E203-40C2-9551-673542A61745}" name="Spalte10786"/>
    <tableColumn id="10804" xr3:uid="{322A0769-7D9F-4646-9C8C-5DA97DD4B9EA}" name="Spalte10787"/>
    <tableColumn id="10805" xr3:uid="{C210F626-65F3-45CB-8B9C-4B41A9A98B72}" name="Spalte10788"/>
    <tableColumn id="10806" xr3:uid="{F72D7367-C0F7-4047-8571-90D463B52B82}" name="Spalte10789"/>
    <tableColumn id="10807" xr3:uid="{D4BEAD05-75BD-4FE8-A23A-8E91A028EDDA}" name="Spalte10790"/>
    <tableColumn id="10808" xr3:uid="{9B1CD174-A67F-445A-A73E-8FFE316DB8D9}" name="Spalte10791"/>
    <tableColumn id="10809" xr3:uid="{E6913AA1-8A51-493A-AC63-008C54F00408}" name="Spalte10792"/>
    <tableColumn id="10810" xr3:uid="{01DA4B4B-206A-45CB-B635-4183D4D7582E}" name="Spalte10793"/>
    <tableColumn id="10811" xr3:uid="{8FFD236E-E6EE-4D27-AFBF-908A121F1497}" name="Spalte10794"/>
    <tableColumn id="10812" xr3:uid="{74056DF8-42AA-4DD9-B42B-856874F6C7C8}" name="Spalte10795"/>
    <tableColumn id="10813" xr3:uid="{81476CF2-7AD7-41D8-B677-9BA0AD042EF7}" name="Spalte10796"/>
    <tableColumn id="10814" xr3:uid="{C725A3B2-B9E5-4960-8A63-EFFFAE924932}" name="Spalte10797"/>
    <tableColumn id="10815" xr3:uid="{B215EA5D-15FA-4AD7-A75E-7063A6AD45F9}" name="Spalte10798"/>
    <tableColumn id="10816" xr3:uid="{EB18EC07-AEF7-4159-869A-0D5616FA14C6}" name="Spalte10799"/>
    <tableColumn id="10817" xr3:uid="{56DD4F05-A824-438C-BA35-C7CE876B0C79}" name="Spalte10800"/>
    <tableColumn id="10818" xr3:uid="{D7B8D47C-98BB-44B5-8E5A-A73654FFE676}" name="Spalte10801"/>
    <tableColumn id="10819" xr3:uid="{FCA0A213-6B1B-4C03-AD2A-93365EE6A42E}" name="Spalte10802"/>
    <tableColumn id="10820" xr3:uid="{D3D46884-41F0-4471-8759-C271B930D941}" name="Spalte10803"/>
    <tableColumn id="10821" xr3:uid="{BF5C633B-AF80-44A3-A72C-C4EC448A8192}" name="Spalte10804"/>
    <tableColumn id="10822" xr3:uid="{6E104CB5-6406-465A-AB8F-6AD3073209E8}" name="Spalte10805"/>
    <tableColumn id="10823" xr3:uid="{842CFF0E-4F81-454F-863F-B49B41B05349}" name="Spalte10806"/>
    <tableColumn id="10824" xr3:uid="{2AA1BE22-CE27-48D2-BFC5-8859082D12C1}" name="Spalte10807"/>
    <tableColumn id="10825" xr3:uid="{6865F9A0-6076-460F-A8EB-EA8FE56508E5}" name="Spalte10808"/>
    <tableColumn id="10826" xr3:uid="{33E29BB5-40CF-4BDE-9848-C20908C69D6C}" name="Spalte10809"/>
    <tableColumn id="10827" xr3:uid="{71FC28BA-365E-44C1-903C-F80CE5DEBD5B}" name="Spalte10810"/>
    <tableColumn id="10828" xr3:uid="{2A56006F-3F26-4CE7-879E-538D046D7741}" name="Spalte10811"/>
    <tableColumn id="10829" xr3:uid="{5114D0F8-636E-499C-90D9-371605382867}" name="Spalte10812"/>
    <tableColumn id="10830" xr3:uid="{D9F275E8-36B8-469E-8C1C-37E48846E3AA}" name="Spalte10813"/>
    <tableColumn id="10831" xr3:uid="{AD0D8B17-0106-4A63-B485-4218634FFF8E}" name="Spalte10814"/>
    <tableColumn id="10832" xr3:uid="{993428AE-B034-4C54-BE3C-2EE60D270DDD}" name="Spalte10815"/>
    <tableColumn id="10833" xr3:uid="{2AF69EA5-C13B-4A8C-9D2A-ED27A398AC09}" name="Spalte10816"/>
    <tableColumn id="10834" xr3:uid="{D2D049D0-9910-4A72-BF12-723E1B049932}" name="Spalte10817"/>
    <tableColumn id="10835" xr3:uid="{9BAA8E6E-3134-4135-A220-ECC928199767}" name="Spalte10818"/>
    <tableColumn id="10836" xr3:uid="{EA04CA93-1484-49A9-883A-D9080E2E95A4}" name="Spalte10819"/>
    <tableColumn id="10837" xr3:uid="{B585DB43-066A-4266-89A3-64E549C60E10}" name="Spalte10820"/>
    <tableColumn id="10838" xr3:uid="{46FF2E9B-2C89-489E-85FF-48222821B27E}" name="Spalte10821"/>
    <tableColumn id="10839" xr3:uid="{E49EFCF8-7597-4980-9456-3CC359B53B78}" name="Spalte10822"/>
    <tableColumn id="10840" xr3:uid="{B2FED5BF-AE42-4A75-8D84-D33167D1ACA2}" name="Spalte10823"/>
    <tableColumn id="10841" xr3:uid="{6764E22C-0246-4110-83E0-A02CB33DC9F3}" name="Spalte10824"/>
    <tableColumn id="10842" xr3:uid="{98262094-9B79-4221-9E3B-29BFEC2922FD}" name="Spalte10825"/>
    <tableColumn id="10843" xr3:uid="{41072CE4-38E3-40E3-BC00-8D0D7D13D84C}" name="Spalte10826"/>
    <tableColumn id="10844" xr3:uid="{240D45C1-1C76-4724-8C20-A9D94576D3C7}" name="Spalte10827"/>
    <tableColumn id="10845" xr3:uid="{BAEAFF11-6F01-4B75-8180-B35BE205E414}" name="Spalte10828"/>
    <tableColumn id="10846" xr3:uid="{70C7B14D-DAFF-40CB-8CDD-2F5C2747E0C0}" name="Spalte10829"/>
    <tableColumn id="10847" xr3:uid="{76BA5082-493A-48DD-9AD4-9AE967B066CE}" name="Spalte10830"/>
    <tableColumn id="10848" xr3:uid="{7ED42DD9-2383-4231-B598-090570209A9C}" name="Spalte10831"/>
    <tableColumn id="10849" xr3:uid="{084316BD-85D1-41C9-A120-88B87F2555D9}" name="Spalte10832"/>
    <tableColumn id="10850" xr3:uid="{AF129F90-DA42-4453-924E-6BAFE2FA16D1}" name="Spalte10833"/>
    <tableColumn id="10851" xr3:uid="{D7119B14-CDF3-477C-BEB8-91E6342FD637}" name="Spalte10834"/>
    <tableColumn id="10852" xr3:uid="{F3B18CEA-B70A-488F-9FFC-57829FBF77EA}" name="Spalte10835"/>
    <tableColumn id="10853" xr3:uid="{F4AAD697-3D44-4432-8751-CFE393155057}" name="Spalte10836"/>
    <tableColumn id="10854" xr3:uid="{D483B12C-40E5-4F9D-BCAB-124BFD51410E}" name="Spalte10837"/>
    <tableColumn id="10855" xr3:uid="{3E660F6E-2B73-4F88-9BDA-F2D523267BCE}" name="Spalte10838"/>
    <tableColumn id="10856" xr3:uid="{6DFCCA6B-7D0B-46FD-8B3C-40C3211CADFA}" name="Spalte10839"/>
    <tableColumn id="10857" xr3:uid="{47F95C03-B591-4702-8416-4F2B01028B9C}" name="Spalte10840"/>
    <tableColumn id="10858" xr3:uid="{C7E5790E-7790-4E0B-A0A6-7BB8F787C061}" name="Spalte10841"/>
    <tableColumn id="10859" xr3:uid="{984D2D15-0470-48C0-B405-051C3D455503}" name="Spalte10842"/>
    <tableColumn id="10860" xr3:uid="{6AF3E660-847C-454A-8E40-2C706CC8C5BF}" name="Spalte10843"/>
    <tableColumn id="10861" xr3:uid="{4F99A771-B50B-4346-B154-E72306DCE7DF}" name="Spalte10844"/>
    <tableColumn id="10862" xr3:uid="{83F7B874-1B20-4384-90C0-F6555AE54FEF}" name="Spalte10845"/>
    <tableColumn id="10863" xr3:uid="{6723225B-BD01-4DC9-8389-5F23579DA0B1}" name="Spalte10846"/>
    <tableColumn id="10864" xr3:uid="{2CF24F57-8838-446D-99C3-02D90348043B}" name="Spalte10847"/>
    <tableColumn id="10865" xr3:uid="{6AA69ABA-A847-4219-8134-58F53F07604B}" name="Spalte10848"/>
    <tableColumn id="10866" xr3:uid="{06575F69-29B0-4725-86B3-1782EE6915DE}" name="Spalte10849"/>
    <tableColumn id="10867" xr3:uid="{564F8EB3-A18A-4DF5-9531-A020EAC80B43}" name="Spalte10850"/>
    <tableColumn id="10868" xr3:uid="{D240E4FF-722B-4BAB-97CF-C5D608C3008A}" name="Spalte10851"/>
    <tableColumn id="10869" xr3:uid="{BA1BC1F4-CCC2-415B-99EF-5887A6499BAC}" name="Spalte10852"/>
    <tableColumn id="10870" xr3:uid="{83A3BC50-956D-4B7B-9DFC-AA86B3BBADB4}" name="Spalte10853"/>
    <tableColumn id="10871" xr3:uid="{244BC95B-AB8B-409A-A83E-F3F67BBD9248}" name="Spalte10854"/>
    <tableColumn id="10872" xr3:uid="{4962E435-F2C9-46C7-AD66-94F5D0E2761D}" name="Spalte10855"/>
    <tableColumn id="10873" xr3:uid="{8E8BB055-78C2-411B-BF72-89539F803408}" name="Spalte10856"/>
    <tableColumn id="10874" xr3:uid="{5C9F5CC4-1B08-4646-A88C-2735C6B7095C}" name="Spalte10857"/>
    <tableColumn id="10875" xr3:uid="{EA52E242-925D-4ADE-BAF4-2F1A492384B5}" name="Spalte10858"/>
    <tableColumn id="10876" xr3:uid="{C1E309FF-C62E-41FB-B68A-82638A399E90}" name="Spalte10859"/>
    <tableColumn id="10877" xr3:uid="{A37E1BC6-86E8-40FF-94AB-5460B02B5581}" name="Spalte10860"/>
    <tableColumn id="10878" xr3:uid="{450259D1-EF7F-496E-AF40-3B0C6E6187B4}" name="Spalte10861"/>
    <tableColumn id="10879" xr3:uid="{24D088EC-50B9-4F1E-9F2E-D8BC9FBA0E05}" name="Spalte10862"/>
    <tableColumn id="10880" xr3:uid="{3C2EA658-4D7C-4D8D-9F18-299F8C1CB779}" name="Spalte10863"/>
    <tableColumn id="10881" xr3:uid="{C59ED4FA-AE2F-45D2-98BD-4A4168C49A93}" name="Spalte10864"/>
    <tableColumn id="10882" xr3:uid="{440C5E74-87E2-4B1E-BFDB-1E389CA7EAF1}" name="Spalte10865"/>
    <tableColumn id="10883" xr3:uid="{D3FC9C84-9677-4AE9-94DA-5AC007E344AB}" name="Spalte10866"/>
    <tableColumn id="10884" xr3:uid="{8210C1D6-9802-4FA5-AE1E-16917CD842DB}" name="Spalte10867"/>
    <tableColumn id="10885" xr3:uid="{FCF503BE-B95D-4922-BD69-456587ADF1EB}" name="Spalte10868"/>
    <tableColumn id="10886" xr3:uid="{230F5F96-3B1D-423E-B5A1-552CCDDD90BE}" name="Spalte10869"/>
    <tableColumn id="10887" xr3:uid="{481D8C94-4185-4E43-B1DB-E129D3C5544C}" name="Spalte10870"/>
    <tableColumn id="10888" xr3:uid="{4CBE3A00-DCCA-45F9-BA0D-B4139D2F0E4B}" name="Spalte10871"/>
    <tableColumn id="10889" xr3:uid="{C80D7721-3420-444B-A43B-5FE2E8E2B10B}" name="Spalte10872"/>
    <tableColumn id="10890" xr3:uid="{33F998EF-B1E4-4612-9A48-FF80C7A4EDFF}" name="Spalte10873"/>
    <tableColumn id="10891" xr3:uid="{456D8B51-AA50-45B7-AABA-AC666A4F3131}" name="Spalte10874"/>
    <tableColumn id="10892" xr3:uid="{A314F4D1-086E-44CE-A6E5-EBE6D45C41F6}" name="Spalte10875"/>
    <tableColumn id="10893" xr3:uid="{83F12051-DC3E-4261-8D99-A213DD82B292}" name="Spalte10876"/>
    <tableColumn id="10894" xr3:uid="{329A1F6E-DF48-46DB-AEBC-8612FFC8F6F7}" name="Spalte10877"/>
    <tableColumn id="10895" xr3:uid="{D6FA93E5-43E9-4EC1-ACD1-AEBB649294A3}" name="Spalte10878"/>
    <tableColumn id="10896" xr3:uid="{601DA597-F275-4437-9FE0-66572865A249}" name="Spalte10879"/>
    <tableColumn id="10897" xr3:uid="{A2250466-3706-41CE-88C5-69BFF2534AB8}" name="Spalte10880"/>
    <tableColumn id="10898" xr3:uid="{0F2DB834-7FB2-4509-8E17-8DD3D5060FD2}" name="Spalte10881"/>
    <tableColumn id="10899" xr3:uid="{193F4935-022F-45E4-B94C-80DCAE2BA94D}" name="Spalte10882"/>
    <tableColumn id="10900" xr3:uid="{43D1853F-33FC-4FA9-952D-B8D32A68B936}" name="Spalte10883"/>
    <tableColumn id="10901" xr3:uid="{9776DDFD-ED57-4FEA-B7DC-23C6D3116A71}" name="Spalte10884"/>
    <tableColumn id="10902" xr3:uid="{F0BAF2C3-9E30-4598-9AEB-5A00ABD1C90F}" name="Spalte10885"/>
    <tableColumn id="10903" xr3:uid="{BBF2745B-D491-4A24-ABE7-176992265155}" name="Spalte10886"/>
    <tableColumn id="10904" xr3:uid="{7E461FC3-69CA-4145-879A-EE5BD719F149}" name="Spalte10887"/>
    <tableColumn id="10905" xr3:uid="{2EB7128A-E09D-4413-AD7C-25459E849BD3}" name="Spalte10888"/>
    <tableColumn id="10906" xr3:uid="{3863FE4A-F0BE-415A-A8BB-4D65ABD2D8FB}" name="Spalte10889"/>
    <tableColumn id="10907" xr3:uid="{4ADBB951-4742-4CB6-BCC6-4B866E45F97D}" name="Spalte10890"/>
    <tableColumn id="10908" xr3:uid="{52781CCA-3DB8-4DFA-96C7-3981DF56A85D}" name="Spalte10891"/>
    <tableColumn id="10909" xr3:uid="{490739E5-89C3-4AA5-9DE1-94BBA7E7CA91}" name="Spalte10892"/>
    <tableColumn id="10910" xr3:uid="{02F6D03D-E12B-4A3F-A38F-51D9E12DDA40}" name="Spalte10893"/>
    <tableColumn id="10911" xr3:uid="{EE56006E-108B-460F-B6A3-12477568E500}" name="Spalte10894"/>
    <tableColumn id="10912" xr3:uid="{2F4BA55C-7D8D-452E-BD49-9F270785EBBA}" name="Spalte10895"/>
    <tableColumn id="10913" xr3:uid="{BF61A307-C8DB-4095-B189-1C68D6579312}" name="Spalte10896"/>
    <tableColumn id="10914" xr3:uid="{497DC66A-AFA2-4A29-9C8F-381F827D54AB}" name="Spalte10897"/>
    <tableColumn id="10915" xr3:uid="{C94B96E5-931E-463D-AEEE-F8610092FF95}" name="Spalte10898"/>
    <tableColumn id="10916" xr3:uid="{657806EC-D249-4105-9965-F803249E4421}" name="Spalte10899"/>
    <tableColumn id="10917" xr3:uid="{4E54C274-BFC7-4A34-A048-1D2986FF04D5}" name="Spalte10900"/>
    <tableColumn id="10918" xr3:uid="{5F36ECB1-10F9-4245-866A-D78DD58AAEAB}" name="Spalte10901"/>
    <tableColumn id="10919" xr3:uid="{76679FDC-783B-45D8-A082-F775822C543F}" name="Spalte10902"/>
    <tableColumn id="10920" xr3:uid="{DA30153A-A0B8-4FEB-AAE4-F737305647E2}" name="Spalte10903"/>
    <tableColumn id="10921" xr3:uid="{B7F990CF-272C-493B-B6C9-8481EAF15825}" name="Spalte10904"/>
    <tableColumn id="10922" xr3:uid="{CB994091-0853-4C7F-A943-FADBCA0E885C}" name="Spalte10905"/>
    <tableColumn id="10923" xr3:uid="{03CDBC47-BC77-4A24-B832-84589AF5CC80}" name="Spalte10906"/>
    <tableColumn id="10924" xr3:uid="{6C03F3AA-B221-4041-9C02-20B931CAFCB5}" name="Spalte10907"/>
    <tableColumn id="10925" xr3:uid="{66B488D4-EBED-4992-9643-8AC6DBF84A3E}" name="Spalte10908"/>
    <tableColumn id="10926" xr3:uid="{3D6B406D-55F3-4A37-A40A-61427589A1F4}" name="Spalte10909"/>
    <tableColumn id="10927" xr3:uid="{3BF02F79-1989-447E-BA6F-DF6FDACF8394}" name="Spalte10910"/>
    <tableColumn id="10928" xr3:uid="{9A2AB300-0072-4442-8B54-84C0FCED7447}" name="Spalte10911"/>
    <tableColumn id="10929" xr3:uid="{8151B6B0-8517-410B-ADDF-B3FCE04B1DF2}" name="Spalte10912"/>
    <tableColumn id="10930" xr3:uid="{72B24EE0-3471-486C-9EE2-89C1ED18CF15}" name="Spalte10913"/>
    <tableColumn id="10931" xr3:uid="{7646BA8C-BC46-493A-83BC-C55008A69351}" name="Spalte10914"/>
    <tableColumn id="10932" xr3:uid="{870A2AC0-01E3-4F37-AD01-65A5F837E778}" name="Spalte10915"/>
    <tableColumn id="10933" xr3:uid="{45772AD6-FFC6-4914-B424-B861D3E6CAE0}" name="Spalte10916"/>
    <tableColumn id="10934" xr3:uid="{EED31343-DF6D-4C2C-8E0A-ECFDB4CDF843}" name="Spalte10917"/>
    <tableColumn id="10935" xr3:uid="{4AE28167-D551-44A6-AECD-4CE7495E519C}" name="Spalte10918"/>
    <tableColumn id="10936" xr3:uid="{9757C3ED-D141-4CE6-A77D-0AF0F033BF19}" name="Spalte10919"/>
    <tableColumn id="10937" xr3:uid="{00021D98-B97A-4759-ABFD-1E1EB3BF0E9F}" name="Spalte10920"/>
    <tableColumn id="10938" xr3:uid="{333EFE8B-A7DD-49AB-A4ED-BD6807EEA8C7}" name="Spalte10921"/>
    <tableColumn id="10939" xr3:uid="{9263B4D0-B6C2-4F03-BB7C-E0FE16D8D036}" name="Spalte10922"/>
    <tableColumn id="10940" xr3:uid="{7CE4FE9E-0A48-4CAC-97AC-56E7D0B6BE63}" name="Spalte10923"/>
    <tableColumn id="10941" xr3:uid="{F90CF181-C03E-459B-9DEE-0B5B467E4EB5}" name="Spalte10924"/>
    <tableColumn id="10942" xr3:uid="{8164A3A4-0637-4B32-86BB-67678A7C6139}" name="Spalte10925"/>
    <tableColumn id="10943" xr3:uid="{CE3AE8DC-6BF9-4002-8D94-D8370FFEB3A9}" name="Spalte10926"/>
    <tableColumn id="10944" xr3:uid="{993D14C7-5C81-4570-95AF-F1AA09972F7A}" name="Spalte10927"/>
    <tableColumn id="10945" xr3:uid="{AB32E967-1876-480A-9D29-1CBBA984AB24}" name="Spalte10928"/>
    <tableColumn id="10946" xr3:uid="{72DD736F-1B8A-4104-AAD8-5EDD51BE2EC8}" name="Spalte10929"/>
    <tableColumn id="10947" xr3:uid="{E4196DCA-9526-4565-81E4-58464C8EA202}" name="Spalte10930"/>
    <tableColumn id="10948" xr3:uid="{A252020C-6BA9-49A5-B16E-15D86706C12A}" name="Spalte10931"/>
    <tableColumn id="10949" xr3:uid="{359AE356-1CC2-4ECA-9633-9060E1F9CE62}" name="Spalte10932"/>
    <tableColumn id="10950" xr3:uid="{0D7C9969-7E62-4B7B-A721-BD07B051517D}" name="Spalte10933"/>
    <tableColumn id="10951" xr3:uid="{0DC311BE-EE80-4CC1-8BEA-B0A7751E1C7D}" name="Spalte10934"/>
    <tableColumn id="10952" xr3:uid="{A7E7F838-0749-4898-AC4D-89DAFED7EE68}" name="Spalte10935"/>
    <tableColumn id="10953" xr3:uid="{E12B9684-C39A-4A9D-9292-A8F5017364FA}" name="Spalte10936"/>
    <tableColumn id="10954" xr3:uid="{619A02EF-92E7-40B0-9F6F-598A66AA760E}" name="Spalte10937"/>
    <tableColumn id="10955" xr3:uid="{E84E7140-4C5F-419C-94A1-C8F413BDCF75}" name="Spalte10938"/>
    <tableColumn id="10956" xr3:uid="{C7434F88-DC75-4613-977B-D6A2D830B13A}" name="Spalte10939"/>
    <tableColumn id="10957" xr3:uid="{4B499FF7-A480-4DB4-848A-7870AAAD7AF3}" name="Spalte10940"/>
    <tableColumn id="10958" xr3:uid="{6249117E-30E7-41E5-B59D-236F6995B3D1}" name="Spalte10941"/>
    <tableColumn id="10959" xr3:uid="{B6CF5B9E-E309-48A9-80D5-73D2AD10A591}" name="Spalte10942"/>
    <tableColumn id="10960" xr3:uid="{1DC8949E-93DA-4773-AB07-1FF7EFE259EA}" name="Spalte10943"/>
    <tableColumn id="10961" xr3:uid="{F19A9C7C-8301-4DBF-9DF3-D0EF29EC43A9}" name="Spalte10944"/>
    <tableColumn id="10962" xr3:uid="{51BC4C6E-B43C-4284-BE52-F4E70D5693B3}" name="Spalte10945"/>
    <tableColumn id="10963" xr3:uid="{FE801745-A732-4C73-AA5C-077F3CD99136}" name="Spalte10946"/>
    <tableColumn id="10964" xr3:uid="{A599DE6D-6B13-4D8B-BB68-6502D03B5574}" name="Spalte10947"/>
    <tableColumn id="10965" xr3:uid="{01C7A9BB-A7A2-4914-9975-976C2B0DD010}" name="Spalte10948"/>
    <tableColumn id="10966" xr3:uid="{005C1002-BE4B-407E-9BA6-AD75232D48FE}" name="Spalte10949"/>
    <tableColumn id="10967" xr3:uid="{4B6FDEDA-A06A-4EFA-BF65-95C79A2A52C4}" name="Spalte10950"/>
    <tableColumn id="10968" xr3:uid="{5207DE3E-9393-4EC7-89F8-5AA88ECFF481}" name="Spalte10951"/>
    <tableColumn id="10969" xr3:uid="{98D91E1B-4C92-45E9-A486-E9509C71CF40}" name="Spalte10952"/>
    <tableColumn id="10970" xr3:uid="{152C900B-1CA4-4D3E-A790-B6E96F61ECD0}" name="Spalte10953"/>
    <tableColumn id="10971" xr3:uid="{F356027F-43AE-4D5D-A6B1-90B574D882E3}" name="Spalte10954"/>
    <tableColumn id="10972" xr3:uid="{0ABB6AEF-6C40-4ADF-9A04-1418D868C9B5}" name="Spalte10955"/>
    <tableColumn id="10973" xr3:uid="{748A7440-28DF-4EDB-ACDB-1EAD3C73ACFD}" name="Spalte10956"/>
    <tableColumn id="10974" xr3:uid="{A98C6C7F-D2B6-4BB6-9025-4F4D599D6AC8}" name="Spalte10957"/>
    <tableColumn id="10975" xr3:uid="{744A1158-8219-44F6-A777-1EC50D205755}" name="Spalte10958"/>
    <tableColumn id="10976" xr3:uid="{ED16D772-1C66-4AF8-9CE9-76A1C6A222DE}" name="Spalte10959"/>
    <tableColumn id="10977" xr3:uid="{E3541E2C-CEC9-4ACA-80A9-475F944F4A26}" name="Spalte10960"/>
    <tableColumn id="10978" xr3:uid="{B0E1EBAE-A0D1-4A29-A5B8-86B48ED6DAB6}" name="Spalte10961"/>
    <tableColumn id="10979" xr3:uid="{A97BCFA1-7E43-4492-B924-44B3FA573D48}" name="Spalte10962"/>
    <tableColumn id="10980" xr3:uid="{D13A7FD3-CAD5-4D68-B4EE-1288B303C534}" name="Spalte10963"/>
    <tableColumn id="10981" xr3:uid="{CB9505DF-69FD-4B54-B31B-120F811F904D}" name="Spalte10964"/>
    <tableColumn id="10982" xr3:uid="{625D530C-F297-4206-BB79-A87644B04D91}" name="Spalte10965"/>
    <tableColumn id="10983" xr3:uid="{42A7DB17-E5A6-4136-BBBC-4AB5B9AFC831}" name="Spalte10966"/>
    <tableColumn id="10984" xr3:uid="{72B485BA-E4A7-4473-B817-0862EFCE9254}" name="Spalte10967"/>
    <tableColumn id="10985" xr3:uid="{58B1B2A9-D0DA-44EC-B1FA-B6CF3AC6532E}" name="Spalte10968"/>
    <tableColumn id="10986" xr3:uid="{4834F134-FD4F-41BC-887A-D2473319AA65}" name="Spalte10969"/>
    <tableColumn id="10987" xr3:uid="{80C28E9D-7046-4E90-AC6D-B9ADDDC0F3CD}" name="Spalte10970"/>
    <tableColumn id="10988" xr3:uid="{8977BC1F-2F49-41F9-8E33-6E1A1A0DFCA3}" name="Spalte10971"/>
    <tableColumn id="10989" xr3:uid="{EC2D3AE9-C728-4678-9023-AFF23D96C0CF}" name="Spalte10972"/>
    <tableColumn id="10990" xr3:uid="{3B9A8D7F-7AEF-4086-B87F-77ACD91FF65C}" name="Spalte10973"/>
    <tableColumn id="10991" xr3:uid="{42D11438-963E-46FF-A990-ED0582D95648}" name="Spalte10974"/>
    <tableColumn id="10992" xr3:uid="{54491B41-0569-495A-84E5-1A7B07A9731B}" name="Spalte10975"/>
    <tableColumn id="10993" xr3:uid="{E141DDE8-2264-42D8-B501-EEE0DFF85429}" name="Spalte10976"/>
    <tableColumn id="10994" xr3:uid="{E69A6706-D3A2-4489-93E4-F77CC7D78368}" name="Spalte10977"/>
    <tableColumn id="10995" xr3:uid="{2184A811-A2AA-41E9-B900-818F27A29131}" name="Spalte10978"/>
    <tableColumn id="10996" xr3:uid="{15091752-492F-4D5F-B1A5-801C9EF6EAE6}" name="Spalte10979"/>
    <tableColumn id="10997" xr3:uid="{DDCF7853-BC58-4033-8EFD-F53E9A514D8C}" name="Spalte10980"/>
    <tableColumn id="10998" xr3:uid="{C799ADAF-4655-4A36-A464-E53B19ADDD30}" name="Spalte10981"/>
    <tableColumn id="10999" xr3:uid="{7FEE9529-1319-4E3B-848F-1A0661410DD7}" name="Spalte10982"/>
    <tableColumn id="11000" xr3:uid="{C0742344-2BDD-428E-A8C0-4E969E3BDEEF}" name="Spalte10983"/>
    <tableColumn id="11001" xr3:uid="{3BEA2E48-C90A-4585-BEE9-F5343552BF0D}" name="Spalte10984"/>
    <tableColumn id="11002" xr3:uid="{51DDCA03-0F5E-4D58-AF03-02FA8D535429}" name="Spalte10985"/>
    <tableColumn id="11003" xr3:uid="{ED061140-82DD-4F2B-BBB6-34A49868C964}" name="Spalte10986"/>
    <tableColumn id="11004" xr3:uid="{412CFFEF-7C22-46E2-92F6-118831DC54E6}" name="Spalte10987"/>
    <tableColumn id="11005" xr3:uid="{01FFB2DD-9CA0-4189-B263-96F52BE4CB21}" name="Spalte10988"/>
    <tableColumn id="11006" xr3:uid="{216D1014-EA97-4CE0-A677-EEFE287E0996}" name="Spalte10989"/>
    <tableColumn id="11007" xr3:uid="{8CBFA3CB-20B8-4E67-877A-8D140216B143}" name="Spalte10990"/>
    <tableColumn id="11008" xr3:uid="{332E3D22-A82B-44BE-893D-C95BE2E23F53}" name="Spalte10991"/>
    <tableColumn id="11009" xr3:uid="{EA998D02-90C7-4AA7-A39B-2E0253BAC9D1}" name="Spalte10992"/>
    <tableColumn id="11010" xr3:uid="{9255615B-2009-45FE-B42F-AA07B9D54D90}" name="Spalte10993"/>
    <tableColumn id="11011" xr3:uid="{D866FF0B-E886-411F-A920-F53FA62F47D1}" name="Spalte10994"/>
    <tableColumn id="11012" xr3:uid="{D110AB22-97C5-4727-81F0-9463A28F7997}" name="Spalte10995"/>
    <tableColumn id="11013" xr3:uid="{B2B662ED-027A-43A9-AF48-592D38E43307}" name="Spalte10996"/>
    <tableColumn id="11014" xr3:uid="{2CEE4FDA-1333-4AFB-8A79-C0727F6F906B}" name="Spalte10997"/>
    <tableColumn id="11015" xr3:uid="{F1552990-6252-48DF-A8DD-BA047B1E535D}" name="Spalte10998"/>
    <tableColumn id="11016" xr3:uid="{A4E20FCC-0C7D-40A5-9C38-36F813769ABB}" name="Spalte10999"/>
    <tableColumn id="11017" xr3:uid="{9F39C599-7886-4A88-976D-8002EBF96E6A}" name="Spalte11000"/>
    <tableColumn id="11018" xr3:uid="{A93F9FB6-45FA-4758-881A-D96562789065}" name="Spalte11001"/>
    <tableColumn id="11019" xr3:uid="{139508B4-4318-4DB2-ADE1-A681A6BF18E4}" name="Spalte11002"/>
    <tableColumn id="11020" xr3:uid="{16992435-AE3A-47CB-8355-90BC42E99F16}" name="Spalte11003"/>
    <tableColumn id="11021" xr3:uid="{38096106-07BC-4C70-9801-C4E7251609DF}" name="Spalte11004"/>
    <tableColumn id="11022" xr3:uid="{17844696-E143-4256-8843-5392D14FB563}" name="Spalte11005"/>
    <tableColumn id="11023" xr3:uid="{C267ADCC-29A1-46EE-9A09-67E65279741B}" name="Spalte11006"/>
    <tableColumn id="11024" xr3:uid="{90858AC0-A42B-41A0-9242-A74CBD57FE90}" name="Spalte11007"/>
    <tableColumn id="11025" xr3:uid="{ED567A07-CDD7-4279-BD34-A06E1A1AE701}" name="Spalte11008"/>
    <tableColumn id="11026" xr3:uid="{538E057B-6FA7-40AF-8686-63D883EC7160}" name="Spalte11009"/>
    <tableColumn id="11027" xr3:uid="{C35C3FF4-8275-44F4-BF6C-0971D7B231E6}" name="Spalte11010"/>
    <tableColumn id="11028" xr3:uid="{6A52E726-337A-4DC8-956F-C33E1DB07556}" name="Spalte11011"/>
    <tableColumn id="11029" xr3:uid="{DBE0ECB2-3332-4296-B6E8-0240F4BDBD7D}" name="Spalte11012"/>
    <tableColumn id="11030" xr3:uid="{034EE7EE-E5A6-420D-9DF8-298C0A15CF92}" name="Spalte11013"/>
    <tableColumn id="11031" xr3:uid="{DCE0243D-86CB-4785-9762-A97596382D3D}" name="Spalte11014"/>
    <tableColumn id="11032" xr3:uid="{CBF01771-5E8A-40E8-943C-4338DAD33E54}" name="Spalte11015"/>
    <tableColumn id="11033" xr3:uid="{0E0C1122-3A54-491B-9585-83BCDC2FF925}" name="Spalte11016"/>
    <tableColumn id="11034" xr3:uid="{79F36C53-3E45-4576-9972-2B2AEF00E1AD}" name="Spalte11017"/>
    <tableColumn id="11035" xr3:uid="{5CAFECA8-9BD0-400C-8D75-9F2F66E35581}" name="Spalte11018"/>
    <tableColumn id="11036" xr3:uid="{F3C04CBF-2AE0-48A4-95FF-27A5247CB600}" name="Spalte11019"/>
    <tableColumn id="11037" xr3:uid="{99ED97C7-4A8B-4BB6-AF90-400C308989EB}" name="Spalte11020"/>
    <tableColumn id="11038" xr3:uid="{86FCB5D4-AC3D-4044-BAF6-5B61944197C5}" name="Spalte11021"/>
    <tableColumn id="11039" xr3:uid="{E455A8B4-A8C8-4CC5-AD18-394AD960A284}" name="Spalte11022"/>
    <tableColumn id="11040" xr3:uid="{0FAE5F43-18C7-42CB-88DC-16B4A1B8754E}" name="Spalte11023"/>
    <tableColumn id="11041" xr3:uid="{54FACDC2-1274-45F6-8AA9-A93A51DC2620}" name="Spalte11024"/>
    <tableColumn id="11042" xr3:uid="{4BC08C54-8DFB-4F16-ACAF-0AC628B38506}" name="Spalte11025"/>
    <tableColumn id="11043" xr3:uid="{C70B7D66-1B78-4770-8F72-BFD5D7ED833F}" name="Spalte11026"/>
    <tableColumn id="11044" xr3:uid="{EC184ACA-6A9B-40CA-8855-56F5B1100E8D}" name="Spalte11027"/>
    <tableColumn id="11045" xr3:uid="{10F98CAE-BA76-4DC4-9E35-D2304212F52F}" name="Spalte11028"/>
    <tableColumn id="11046" xr3:uid="{2DE96356-374F-4A6D-8D34-E7BE9441622D}" name="Spalte11029"/>
    <tableColumn id="11047" xr3:uid="{C630E079-36F9-47D1-8AAF-3D37CBBA88DF}" name="Spalte11030"/>
    <tableColumn id="11048" xr3:uid="{9F854D23-99C5-416C-A908-B8FC87F3E483}" name="Spalte11031"/>
    <tableColumn id="11049" xr3:uid="{02D86DC7-0E8A-4C43-ADE9-B2D64FA47C85}" name="Spalte11032"/>
    <tableColumn id="11050" xr3:uid="{9BC39AFA-41D0-4D5D-86A5-B44DCEC58735}" name="Spalte11033"/>
    <tableColumn id="11051" xr3:uid="{1FCE0E4E-8132-47C1-8A73-B5C3EFCC1062}" name="Spalte11034"/>
    <tableColumn id="11052" xr3:uid="{136217E8-6977-477C-9DB7-1DA6B3328F6D}" name="Spalte11035"/>
    <tableColumn id="11053" xr3:uid="{0A37E668-F402-47D0-BF99-CD2D7D567C1D}" name="Spalte11036"/>
    <tableColumn id="11054" xr3:uid="{0F2E160F-7A3F-438E-8454-2666EF44BB63}" name="Spalte11037"/>
    <tableColumn id="11055" xr3:uid="{75E0DB1F-CDBB-4DF5-820D-EC8E6D693060}" name="Spalte11038"/>
    <tableColumn id="11056" xr3:uid="{BDDC0B52-0012-4A24-80EB-20EE005C0AF0}" name="Spalte11039"/>
    <tableColumn id="11057" xr3:uid="{9BFDFB59-AF3F-469C-A145-D322A83716E2}" name="Spalte11040"/>
    <tableColumn id="11058" xr3:uid="{67795DAE-E9EC-4060-A225-ED3CB053E136}" name="Spalte11041"/>
    <tableColumn id="11059" xr3:uid="{0700D799-B3AD-4297-8C4E-957B9149F294}" name="Spalte11042"/>
    <tableColumn id="11060" xr3:uid="{032D349B-C823-4C47-914D-5E8D3BF13C51}" name="Spalte11043"/>
    <tableColumn id="11061" xr3:uid="{F6771337-1C8F-4F9E-90BD-42D7244D35CC}" name="Spalte11044"/>
    <tableColumn id="11062" xr3:uid="{30C63146-CF7D-4429-952E-947AC8A0BFC2}" name="Spalte11045"/>
    <tableColumn id="11063" xr3:uid="{C23B5BC7-C51A-4D46-B21A-9BD7E8BCD4D7}" name="Spalte11046"/>
    <tableColumn id="11064" xr3:uid="{7BD64347-6A45-4D0A-B432-4F48CC4067DA}" name="Spalte11047"/>
    <tableColumn id="11065" xr3:uid="{01104131-CE61-495D-88F6-3EF1B846F195}" name="Spalte11048"/>
    <tableColumn id="11066" xr3:uid="{0B2CAE35-EA83-4173-B222-677D1788FA48}" name="Spalte11049"/>
    <tableColumn id="11067" xr3:uid="{4E5D92A0-A156-44E1-B2FD-97338689C7E9}" name="Spalte11050"/>
    <tableColumn id="11068" xr3:uid="{DB2EA0B3-ACBD-4258-A5A2-8C204EB83DF3}" name="Spalte11051"/>
    <tableColumn id="11069" xr3:uid="{9D19894C-6FFB-47A0-AAC5-72043C588238}" name="Spalte11052"/>
    <tableColumn id="11070" xr3:uid="{CF546F73-44B5-4C31-BDF7-226D67012BD3}" name="Spalte11053"/>
    <tableColumn id="11071" xr3:uid="{CCD064CE-A02E-46E9-B777-1AAA5D78649D}" name="Spalte11054"/>
    <tableColumn id="11072" xr3:uid="{96B77C9F-FE18-4E5D-8855-5245198C7093}" name="Spalte11055"/>
    <tableColumn id="11073" xr3:uid="{B1602E1D-A78A-44FA-8EC0-29FE382F27BC}" name="Spalte11056"/>
    <tableColumn id="11074" xr3:uid="{4F0B83D1-2D63-4970-BD15-04A277737B1B}" name="Spalte11057"/>
    <tableColumn id="11075" xr3:uid="{718E77B9-EE3B-4242-87DC-597939871695}" name="Spalte11058"/>
    <tableColumn id="11076" xr3:uid="{21CC0339-84CD-4822-A660-1BEED85B99CE}" name="Spalte11059"/>
    <tableColumn id="11077" xr3:uid="{0D83F5C1-923D-4D94-AD29-E9F1B5507046}" name="Spalte11060"/>
    <tableColumn id="11078" xr3:uid="{85E27DE6-919F-4D06-B7D6-D4FA0D6266A7}" name="Spalte11061"/>
    <tableColumn id="11079" xr3:uid="{AA54506B-FB0E-47F3-A113-C70A90315F46}" name="Spalte11062"/>
    <tableColumn id="11080" xr3:uid="{AF24C4CD-05CE-45D3-BDCC-465402D1F219}" name="Spalte11063"/>
    <tableColumn id="11081" xr3:uid="{007E09CD-954D-49B9-BD70-FB27FC16BFAD}" name="Spalte11064"/>
    <tableColumn id="11082" xr3:uid="{373DC3CD-3CC9-4613-914B-45C2BA038EC3}" name="Spalte11065"/>
    <tableColumn id="11083" xr3:uid="{BBD4AB53-EB94-44BB-8E6A-44C549857B82}" name="Spalte11066"/>
    <tableColumn id="11084" xr3:uid="{C123FE1C-EA92-438B-B1FF-7D9698DA8FC7}" name="Spalte11067"/>
    <tableColumn id="11085" xr3:uid="{29C1BAF5-95B9-4856-BE40-BAF1FC7AC38D}" name="Spalte11068"/>
    <tableColumn id="11086" xr3:uid="{4211102C-2378-44F3-8A1F-A2B0BE2F16D6}" name="Spalte11069"/>
    <tableColumn id="11087" xr3:uid="{5FE9BB0B-F44F-4A09-BC3A-4A91E5A62D47}" name="Spalte11070"/>
    <tableColumn id="11088" xr3:uid="{AE0E4C30-3445-4447-9136-11A3C397A81B}" name="Spalte11071"/>
    <tableColumn id="11089" xr3:uid="{D1CB3859-8349-4292-942C-421D2083D7F6}" name="Spalte11072"/>
    <tableColumn id="11090" xr3:uid="{4FD347F2-8CDB-4CE6-B392-314A349BC6EF}" name="Spalte11073"/>
    <tableColumn id="11091" xr3:uid="{0F1F83E8-3061-4AA1-9845-794E5491A47C}" name="Spalte11074"/>
    <tableColumn id="11092" xr3:uid="{0A9DF7CF-2DB9-4BA0-953B-68E59417CD6B}" name="Spalte11075"/>
    <tableColumn id="11093" xr3:uid="{EF2CBDD8-3768-46E3-9F45-7AA9D5D32221}" name="Spalte11076"/>
    <tableColumn id="11094" xr3:uid="{2E4F797F-804D-4E10-AF02-FE39E48BFE99}" name="Spalte11077"/>
    <tableColumn id="11095" xr3:uid="{BC908521-A96D-4CB4-8E5D-77C93444B42D}" name="Spalte11078"/>
    <tableColumn id="11096" xr3:uid="{6414EBFA-272F-40AE-8F44-534647BAB321}" name="Spalte11079"/>
    <tableColumn id="11097" xr3:uid="{927FEE1F-0399-41B6-8111-D19BED8FA309}" name="Spalte11080"/>
    <tableColumn id="11098" xr3:uid="{6EA65200-162F-4140-B575-95D540BE5073}" name="Spalte11081"/>
    <tableColumn id="11099" xr3:uid="{F7841498-03CE-4CA6-A737-1153C8FE5125}" name="Spalte11082"/>
    <tableColumn id="11100" xr3:uid="{9B2235C3-1751-417C-9FD4-6F26BB56E332}" name="Spalte11083"/>
    <tableColumn id="11101" xr3:uid="{F4E709D2-C869-4FEA-820A-D63C1EC5319D}" name="Spalte11084"/>
    <tableColumn id="11102" xr3:uid="{6F42A2D1-0935-48D3-84E7-AA183C66593F}" name="Spalte11085"/>
    <tableColumn id="11103" xr3:uid="{554FAEA3-2D4B-4C0F-BBD3-F4D1D747ED0E}" name="Spalte11086"/>
    <tableColumn id="11104" xr3:uid="{DACDC01F-EB41-40AF-BF25-ADC696039189}" name="Spalte11087"/>
    <tableColumn id="11105" xr3:uid="{B64E7C56-0679-4501-8506-D00D1C9D859F}" name="Spalte11088"/>
    <tableColumn id="11106" xr3:uid="{F6BF24BD-48D0-411A-89CA-E1F8E787AC0C}" name="Spalte11089"/>
    <tableColumn id="11107" xr3:uid="{C877A20E-2E4A-4B41-80E0-D652743F78AD}" name="Spalte11090"/>
    <tableColumn id="11108" xr3:uid="{F71A1B86-FFDF-4515-9437-8A86E686A5EB}" name="Spalte11091"/>
    <tableColumn id="11109" xr3:uid="{5C4A5E41-3AC9-422C-8B0B-417EDC80055B}" name="Spalte11092"/>
    <tableColumn id="11110" xr3:uid="{269161FC-4CAE-4BE5-9343-5738DB83C14A}" name="Spalte11093"/>
    <tableColumn id="11111" xr3:uid="{820AD0E4-C37A-411A-AFAB-91CF5BCB44D1}" name="Spalte11094"/>
    <tableColumn id="11112" xr3:uid="{94BEC147-C7CC-4746-90DA-795619D6486D}" name="Spalte11095"/>
    <tableColumn id="11113" xr3:uid="{0C0849CB-A753-4EB1-AE9E-C4E915B2A3EE}" name="Spalte11096"/>
    <tableColumn id="11114" xr3:uid="{810EB0E5-8843-48C3-873B-2C695D9648F4}" name="Spalte11097"/>
    <tableColumn id="11115" xr3:uid="{83964E19-D76C-4954-B389-8925A96F1D8C}" name="Spalte11098"/>
    <tableColumn id="11116" xr3:uid="{6776C640-F94A-4970-ACE1-9250BEB2D285}" name="Spalte11099"/>
    <tableColumn id="11117" xr3:uid="{65143463-39C4-4EB1-8482-D115C53DE57B}" name="Spalte11100"/>
    <tableColumn id="11118" xr3:uid="{087A9307-9F11-489D-BD7F-5EF5C03FBDC4}" name="Spalte11101"/>
    <tableColumn id="11119" xr3:uid="{B4F05300-F7B6-45E2-9B5D-E66D8A0D42C1}" name="Spalte11102"/>
    <tableColumn id="11120" xr3:uid="{701B3112-062E-4B52-A53E-2E5C6089C959}" name="Spalte11103"/>
    <tableColumn id="11121" xr3:uid="{A17713B6-E5A2-42BB-9827-01D914562FCE}" name="Spalte11104"/>
    <tableColumn id="11122" xr3:uid="{672E6201-7E15-40E8-A492-7793A30BA486}" name="Spalte11105"/>
    <tableColumn id="11123" xr3:uid="{C06C4CF5-12A9-4B66-9F64-EAD6F240146C}" name="Spalte11106"/>
    <tableColumn id="11124" xr3:uid="{C85383F8-EB4E-4002-B20F-5DC933EE0443}" name="Spalte11107"/>
    <tableColumn id="11125" xr3:uid="{096ECE74-A856-495E-889E-86CADDD72A80}" name="Spalte11108"/>
    <tableColumn id="11126" xr3:uid="{E22789F2-E3F8-4C82-88D8-FBECB00B0DDD}" name="Spalte11109"/>
    <tableColumn id="11127" xr3:uid="{DDAE7E3E-584A-4365-90C4-142611D05282}" name="Spalte11110"/>
    <tableColumn id="11128" xr3:uid="{527CB9F6-586C-45C2-A9F5-08797F7F2741}" name="Spalte11111"/>
    <tableColumn id="11129" xr3:uid="{4E7797EE-CE48-4959-88C5-EED684AD9E7E}" name="Spalte11112"/>
    <tableColumn id="11130" xr3:uid="{6E95F5B0-599A-4EB6-B1EE-F501B7887614}" name="Spalte11113"/>
    <tableColumn id="11131" xr3:uid="{5979AC2F-FA27-4CB7-8BC7-88AAF076405E}" name="Spalte11114"/>
    <tableColumn id="11132" xr3:uid="{45029648-B340-4DF8-BE17-07B1111D38D8}" name="Spalte11115"/>
    <tableColumn id="11133" xr3:uid="{7EA98162-2A4F-4058-999A-DD38A4E7156C}" name="Spalte11116"/>
    <tableColumn id="11134" xr3:uid="{BAA817DC-8059-4112-A6BB-C7F150AB028C}" name="Spalte11117"/>
    <tableColumn id="11135" xr3:uid="{3D6E0F5D-5E94-445F-A37C-1E5D7B88A60E}" name="Spalte11118"/>
    <tableColumn id="11136" xr3:uid="{606E2F49-D7D7-4718-BB65-8417B3B4579D}" name="Spalte11119"/>
    <tableColumn id="11137" xr3:uid="{93D7B14D-0BAB-46C7-9A5D-503F6F3E2D60}" name="Spalte11120"/>
    <tableColumn id="11138" xr3:uid="{24D07231-1A6E-4DF0-B057-9A337FCDCD66}" name="Spalte11121"/>
    <tableColumn id="11139" xr3:uid="{4A6D00D2-812F-46D9-902A-91A9291CFDA8}" name="Spalte11122"/>
    <tableColumn id="11140" xr3:uid="{D3165544-42FA-47B4-8020-5E5F10D174FF}" name="Spalte11123"/>
    <tableColumn id="11141" xr3:uid="{18BF934D-49E1-4C5D-8191-3D48D658A527}" name="Spalte11124"/>
    <tableColumn id="11142" xr3:uid="{6EDECE0C-BC9E-4393-9047-8E55E44FE38E}" name="Spalte11125"/>
    <tableColumn id="11143" xr3:uid="{F1BF4F65-C70F-4B46-B306-2684EE72A036}" name="Spalte11126"/>
    <tableColumn id="11144" xr3:uid="{E7DBFF5A-126D-4B87-BBF5-030539FC1591}" name="Spalte11127"/>
    <tableColumn id="11145" xr3:uid="{510E0DDF-6AEB-4909-AE8D-5AC98E43690E}" name="Spalte11128"/>
    <tableColumn id="11146" xr3:uid="{DDEDA876-A148-430C-8759-1F0FDD91F706}" name="Spalte11129"/>
    <tableColumn id="11147" xr3:uid="{75FA238A-4726-4AA2-9661-019240E91B39}" name="Spalte11130"/>
    <tableColumn id="11148" xr3:uid="{4577CF26-DAEC-4409-9D07-11F4A5741D24}" name="Spalte11131"/>
    <tableColumn id="11149" xr3:uid="{EDF6B7F1-78BC-49B5-89BA-DEF668A5CAC6}" name="Spalte11132"/>
    <tableColumn id="11150" xr3:uid="{3CD92E9E-899C-46DB-A0FD-145CBA7CD459}" name="Spalte11133"/>
    <tableColumn id="11151" xr3:uid="{B873C0B0-CC68-405B-928A-6FE9FC32E409}" name="Spalte11134"/>
    <tableColumn id="11152" xr3:uid="{62C94E1E-2A91-445B-AE0E-57533E087C10}" name="Spalte11135"/>
    <tableColumn id="11153" xr3:uid="{9983D51A-8CFB-4781-A82E-170E2D7BE2B4}" name="Spalte11136"/>
    <tableColumn id="11154" xr3:uid="{47EB40F1-A93D-4E5D-A223-3451C7C16CB5}" name="Spalte11137"/>
    <tableColumn id="11155" xr3:uid="{E7FACEE4-8FB9-4DF1-8221-3E0A287C12E7}" name="Spalte11138"/>
    <tableColumn id="11156" xr3:uid="{E4102AD0-CD31-41A6-B5BF-4B8DC08133B2}" name="Spalte11139"/>
    <tableColumn id="11157" xr3:uid="{768E3B6F-FAC6-478C-828D-6B8CE229CE4F}" name="Spalte11140"/>
    <tableColumn id="11158" xr3:uid="{44CCD1EC-3DE0-4C52-84A9-F5AEB520F216}" name="Spalte11141"/>
    <tableColumn id="11159" xr3:uid="{A2926434-265E-4015-8372-1B3B870663AB}" name="Spalte11142"/>
    <tableColumn id="11160" xr3:uid="{A16ED3F4-06A1-4067-8FA5-53202C3FC2CF}" name="Spalte11143"/>
    <tableColumn id="11161" xr3:uid="{E0696C4F-EDC5-4C95-8229-77473D37B431}" name="Spalte11144"/>
    <tableColumn id="11162" xr3:uid="{FB6A33D4-1697-4768-B20D-05E991D438F9}" name="Spalte11145"/>
    <tableColumn id="11163" xr3:uid="{6E7324BA-32DA-4FA5-A34A-98A826266A22}" name="Spalte11146"/>
    <tableColumn id="11164" xr3:uid="{8DE019D4-6EA1-4BD8-9A67-02A62EE46B43}" name="Spalte11147"/>
    <tableColumn id="11165" xr3:uid="{68C6D550-2B15-49E9-AE64-40450BADF6A5}" name="Spalte11148"/>
    <tableColumn id="11166" xr3:uid="{6C80322B-9608-492C-9318-3EB9F13C272C}" name="Spalte11149"/>
    <tableColumn id="11167" xr3:uid="{326432B4-9DBF-423A-BB91-C6EF8EA27CF6}" name="Spalte11150"/>
    <tableColumn id="11168" xr3:uid="{5141378F-9F7B-4D75-8D08-77A2051936A2}" name="Spalte11151"/>
    <tableColumn id="11169" xr3:uid="{66DC1031-21D2-47CD-AB25-2429AFFACD9E}" name="Spalte11152"/>
    <tableColumn id="11170" xr3:uid="{94ACC5F4-FC5B-480F-8AA4-D8E31ECA0ED2}" name="Spalte11153"/>
    <tableColumn id="11171" xr3:uid="{80799175-7DDE-42B6-B7CF-EB5A71589CCB}" name="Spalte11154"/>
    <tableColumn id="11172" xr3:uid="{6D6359F4-7F3A-48B1-8C17-5F1DC71E7A4C}" name="Spalte11155"/>
    <tableColumn id="11173" xr3:uid="{1E4EC3DD-0925-4560-8D15-6FF34829A728}" name="Spalte11156"/>
    <tableColumn id="11174" xr3:uid="{66213E9E-7B9F-4A5F-87A6-E138216BFB68}" name="Spalte11157"/>
    <tableColumn id="11175" xr3:uid="{63E85DC8-3340-47E6-96DC-B730032C440C}" name="Spalte11158"/>
    <tableColumn id="11176" xr3:uid="{740C936E-4176-4AA3-8C78-1A9BA43E4600}" name="Spalte11159"/>
    <tableColumn id="11177" xr3:uid="{6C28A384-B7C4-4048-BBF6-188828B6FC75}" name="Spalte11160"/>
    <tableColumn id="11178" xr3:uid="{7B6D5FCE-BA72-41AD-8F46-6F24089661A7}" name="Spalte11161"/>
    <tableColumn id="11179" xr3:uid="{116A8B75-BC81-4D60-858D-9CC3F3A61EF7}" name="Spalte11162"/>
    <tableColumn id="11180" xr3:uid="{5FF8C4AA-EE6C-4244-886D-9B5E7B76EA43}" name="Spalte11163"/>
    <tableColumn id="11181" xr3:uid="{C5809E78-A4B0-4963-8404-8258D4CFD0BA}" name="Spalte11164"/>
    <tableColumn id="11182" xr3:uid="{C7A69BD4-7721-426B-AC47-D70F7517ABF8}" name="Spalte11165"/>
    <tableColumn id="11183" xr3:uid="{6E54860C-4A6D-438D-9467-8C920813CDAB}" name="Spalte11166"/>
    <tableColumn id="11184" xr3:uid="{3EE25E3C-7D95-4BE0-8546-86A376B81C2B}" name="Spalte11167"/>
    <tableColumn id="11185" xr3:uid="{F0B81DB8-A91C-4630-B813-860E914B8371}" name="Spalte11168"/>
    <tableColumn id="11186" xr3:uid="{EEE305ED-372A-40DF-9956-8C7D8685DCFD}" name="Spalte11169"/>
    <tableColumn id="11187" xr3:uid="{C8B462D0-79F8-4DCE-B85E-09AA60CA4F63}" name="Spalte11170"/>
    <tableColumn id="11188" xr3:uid="{488F7245-6745-47B8-8E16-75807494A330}" name="Spalte11171"/>
    <tableColumn id="11189" xr3:uid="{A5DD208D-D21D-4126-8DE6-6D5ED610CF20}" name="Spalte11172"/>
    <tableColumn id="11190" xr3:uid="{14161C79-C8B0-4355-9498-AC94025D7A57}" name="Spalte11173"/>
    <tableColumn id="11191" xr3:uid="{78BB7673-3A33-488B-A4D1-43D09257A7EF}" name="Spalte11174"/>
    <tableColumn id="11192" xr3:uid="{65D50F2C-054E-4634-A474-B0DD3A48DE2E}" name="Spalte11175"/>
    <tableColumn id="11193" xr3:uid="{F471B65D-22D0-4639-AD6F-AC990B2B6C57}" name="Spalte11176"/>
    <tableColumn id="11194" xr3:uid="{1F29E21E-512F-482C-8AA5-3294787F9EE1}" name="Spalte11177"/>
    <tableColumn id="11195" xr3:uid="{6B130C84-3FC9-4984-B24D-E4E8E594B551}" name="Spalte11178"/>
    <tableColumn id="11196" xr3:uid="{EC188B7F-A6E7-4C4F-AE15-FF31536A5050}" name="Spalte11179"/>
    <tableColumn id="11197" xr3:uid="{66494DC4-5BB3-49C9-9BDF-56E958C8F234}" name="Spalte11180"/>
    <tableColumn id="11198" xr3:uid="{826EAA02-8353-4B68-B2FF-0CA13C263385}" name="Spalte11181"/>
    <tableColumn id="11199" xr3:uid="{68D427E0-E6DD-43BF-9EB4-3727457365ED}" name="Spalte11182"/>
    <tableColumn id="11200" xr3:uid="{994F8B1D-072F-4606-AC8C-6E0517ACCEF0}" name="Spalte11183"/>
    <tableColumn id="11201" xr3:uid="{29FCFAC0-D2AE-4099-9446-738710BEC0F8}" name="Spalte11184"/>
    <tableColumn id="11202" xr3:uid="{A488892C-B7B1-4768-843C-CAE9197BB7D5}" name="Spalte11185"/>
    <tableColumn id="11203" xr3:uid="{F14BF799-4009-4D44-B0B3-5FCB17702759}" name="Spalte11186"/>
    <tableColumn id="11204" xr3:uid="{124C1F1F-67EF-48EC-8152-3D8E0BCB8B6C}" name="Spalte11187"/>
    <tableColumn id="11205" xr3:uid="{F59E8874-44A1-4338-A5B6-114EC589F88A}" name="Spalte11188"/>
    <tableColumn id="11206" xr3:uid="{E9BE7616-49B7-4D71-9CED-C58BFF8A964B}" name="Spalte11189"/>
    <tableColumn id="11207" xr3:uid="{ACC5BA52-D3CA-4D09-81FF-3F8E6376E1DB}" name="Spalte11190"/>
    <tableColumn id="11208" xr3:uid="{7964D18A-5933-46EB-B516-EB25BD95194E}" name="Spalte11191"/>
    <tableColumn id="11209" xr3:uid="{3CEE8AA7-AB87-46BC-9F71-3A16A37B5AFE}" name="Spalte11192"/>
    <tableColumn id="11210" xr3:uid="{68C40769-4E0D-45CE-A097-899609C54AA6}" name="Spalte11193"/>
    <tableColumn id="11211" xr3:uid="{D0C61C86-0018-46CE-B168-884E3620F1F8}" name="Spalte11194"/>
    <tableColumn id="11212" xr3:uid="{FE6637F7-51A9-48E1-9851-8848560EE4DF}" name="Spalte11195"/>
    <tableColumn id="11213" xr3:uid="{922B5937-9120-40E3-9C2E-4950CA07E361}" name="Spalte11196"/>
    <tableColumn id="11214" xr3:uid="{10BB5CFD-57DB-4FBD-BD34-AC9DC5446495}" name="Spalte11197"/>
    <tableColumn id="11215" xr3:uid="{A4DC00BB-6BE9-4AF6-AAF6-EC595CEA5A78}" name="Spalte11198"/>
    <tableColumn id="11216" xr3:uid="{F23BF669-537D-4DDD-BBAC-0A624AB5D844}" name="Spalte11199"/>
    <tableColumn id="11217" xr3:uid="{76C9244D-A6DA-4CD4-99B0-736EECABCF63}" name="Spalte11200"/>
    <tableColumn id="11218" xr3:uid="{2CE90D26-CF8E-4E04-ABAF-81FF2CC6E46F}" name="Spalte11201"/>
    <tableColumn id="11219" xr3:uid="{210626B7-DD0C-47C4-8E6F-AAC53D36EB96}" name="Spalte11202"/>
    <tableColumn id="11220" xr3:uid="{7ADD38C8-C34D-4FC4-8EC3-9858B4FD21DB}" name="Spalte11203"/>
    <tableColumn id="11221" xr3:uid="{E317A64D-B649-4595-91B7-D457B3015E2B}" name="Spalte11204"/>
    <tableColumn id="11222" xr3:uid="{7FA0D922-287A-48B1-B215-91F187EBD4D0}" name="Spalte11205"/>
    <tableColumn id="11223" xr3:uid="{09114AEB-39B2-4063-81EE-0680399A824D}" name="Spalte11206"/>
    <tableColumn id="11224" xr3:uid="{D9ECD764-4D61-433A-86F8-4FDD7AA5BDC7}" name="Spalte11207"/>
    <tableColumn id="11225" xr3:uid="{53914260-1A3F-4DFF-9480-23A7D4F3FBB2}" name="Spalte11208"/>
    <tableColumn id="11226" xr3:uid="{B3E9D99C-1BEA-4983-A906-0627B92B3FA7}" name="Spalte11209"/>
    <tableColumn id="11227" xr3:uid="{C0156483-DD8C-4CF8-9DF9-436B0D88FFA3}" name="Spalte11210"/>
    <tableColumn id="11228" xr3:uid="{A3173D54-C245-481A-A4C2-948513CF58E8}" name="Spalte11211"/>
    <tableColumn id="11229" xr3:uid="{73BF59E4-647E-402D-A0C8-756E9E3960C8}" name="Spalte11212"/>
    <tableColumn id="11230" xr3:uid="{796028D2-2761-4B6B-A881-3E6ADE1A56EB}" name="Spalte11213"/>
    <tableColumn id="11231" xr3:uid="{CC285642-E016-45AF-8B77-BEFB8515C9E5}" name="Spalte11214"/>
    <tableColumn id="11232" xr3:uid="{5B8AE780-F321-4BEC-B607-08193ED1A124}" name="Spalte11215"/>
    <tableColumn id="11233" xr3:uid="{94E2C3E2-B8CE-4E66-93A1-499EEFCA48D6}" name="Spalte11216"/>
    <tableColumn id="11234" xr3:uid="{6B4CDFF8-3A2C-4B48-BD7A-099A90D8D07D}" name="Spalte11217"/>
    <tableColumn id="11235" xr3:uid="{5449B92F-6900-472B-965E-3B7A79112EFF}" name="Spalte11218"/>
    <tableColumn id="11236" xr3:uid="{903B0BE9-B2C9-4DF4-97F7-01BB7830F274}" name="Spalte11219"/>
    <tableColumn id="11237" xr3:uid="{4F7D4450-607B-4A05-AA1B-43E384FE049E}" name="Spalte11220"/>
    <tableColumn id="11238" xr3:uid="{AECA3893-3A74-4142-A524-8D2B008256DA}" name="Spalte11221"/>
    <tableColumn id="11239" xr3:uid="{BABB9023-A0BA-4CB4-A4AB-350B815C88DB}" name="Spalte11222"/>
    <tableColumn id="11240" xr3:uid="{889D082D-3821-42E6-BA78-C75B7455DAB3}" name="Spalte11223"/>
    <tableColumn id="11241" xr3:uid="{2D0E8C99-565C-4F9B-9F76-1A049A3D8943}" name="Spalte11224"/>
    <tableColumn id="11242" xr3:uid="{A77861FA-0CDD-49B1-AC1C-04AC8B2984CE}" name="Spalte11225"/>
    <tableColumn id="11243" xr3:uid="{B92DCCAE-9468-481C-B21E-E7E7D211D986}" name="Spalte11226"/>
    <tableColumn id="11244" xr3:uid="{DC794BD4-100C-40B8-BE78-8429933EFD50}" name="Spalte11227"/>
    <tableColumn id="11245" xr3:uid="{D5FA7E5A-54DB-450C-8A88-0E94F7ED21C3}" name="Spalte11228"/>
    <tableColumn id="11246" xr3:uid="{C53812A4-090B-408E-A99C-EADA0338F4DC}" name="Spalte11229"/>
    <tableColumn id="11247" xr3:uid="{8D027A7D-5941-4AC3-A8D9-D1D3310BFCFD}" name="Spalte11230"/>
    <tableColumn id="11248" xr3:uid="{0D5A310C-84D3-4788-AD8F-D233832F4F6C}" name="Spalte11231"/>
    <tableColumn id="11249" xr3:uid="{AC84E2BB-1385-472E-B58E-F6695582F8D2}" name="Spalte11232"/>
    <tableColumn id="11250" xr3:uid="{97A2C709-C754-438D-819D-54499165CE42}" name="Spalte11233"/>
    <tableColumn id="11251" xr3:uid="{04DCF03D-2726-406F-BC85-65E8A9F2C6B2}" name="Spalte11234"/>
    <tableColumn id="11252" xr3:uid="{2D441F8C-A5E9-426F-A4C0-1AF3AAF7C1DA}" name="Spalte11235"/>
    <tableColumn id="11253" xr3:uid="{062A41C9-116B-44BB-83CC-F343C77DB159}" name="Spalte11236"/>
    <tableColumn id="11254" xr3:uid="{5328C6DD-22FA-4B42-89EB-BFE14E9E33CE}" name="Spalte11237"/>
    <tableColumn id="11255" xr3:uid="{CEF2B3C8-7A55-4377-B0AF-90507BB606BA}" name="Spalte11238"/>
    <tableColumn id="11256" xr3:uid="{A2CCF9DE-C5E8-440C-97ED-00A155534B64}" name="Spalte11239"/>
    <tableColumn id="11257" xr3:uid="{CF798AFE-8C40-4D89-9EA1-FB0C12BFADB1}" name="Spalte11240"/>
    <tableColumn id="11258" xr3:uid="{DDE4C957-9E75-4C41-A1CE-1A05AF32E65E}" name="Spalte11241"/>
    <tableColumn id="11259" xr3:uid="{8F08A529-98FA-41E9-A1CD-5DE6B33576CB}" name="Spalte11242"/>
    <tableColumn id="11260" xr3:uid="{7C9A0121-D416-42B7-B9E3-791CC63400E8}" name="Spalte11243"/>
    <tableColumn id="11261" xr3:uid="{0C50B97B-CFD8-4F5B-B476-D5D2263355D5}" name="Spalte11244"/>
    <tableColumn id="11262" xr3:uid="{6D90B371-F9CD-4160-BE1E-F36DA045CA98}" name="Spalte11245"/>
    <tableColumn id="11263" xr3:uid="{681B5CCA-648C-421B-A30E-EB4D862EC64D}" name="Spalte11246"/>
    <tableColumn id="11264" xr3:uid="{C8F67A5E-24DE-4082-A677-D86D51D53768}" name="Spalte11247"/>
    <tableColumn id="11265" xr3:uid="{32F2794B-112A-4B14-A0E4-6E132895D05A}" name="Spalte11248"/>
    <tableColumn id="11266" xr3:uid="{27FA2407-AABD-408B-8C6C-04711F56B5A7}" name="Spalte11249"/>
    <tableColumn id="11267" xr3:uid="{B3BCA14D-77D7-41FE-B61B-B2DD52596D41}" name="Spalte11250"/>
    <tableColumn id="11268" xr3:uid="{F7B186C1-22AF-4862-8274-4832DA032AD5}" name="Spalte11251"/>
    <tableColumn id="11269" xr3:uid="{71FE8187-A6A8-4D21-8D92-902A5B61CD0D}" name="Spalte11252"/>
    <tableColumn id="11270" xr3:uid="{17886494-978F-47D3-B14A-29B7BC062233}" name="Spalte11253"/>
    <tableColumn id="11271" xr3:uid="{BEC4F0A9-91B4-4E9D-B823-A209F0805460}" name="Spalte11254"/>
    <tableColumn id="11272" xr3:uid="{380E4861-5431-46BF-824B-B18B8F0B6F47}" name="Spalte11255"/>
    <tableColumn id="11273" xr3:uid="{21849E61-BF8B-48F1-BE36-8BE3505512E7}" name="Spalte11256"/>
    <tableColumn id="11274" xr3:uid="{670DD4AD-3C89-4F13-B06A-4544E1D4BEBC}" name="Spalte11257"/>
    <tableColumn id="11275" xr3:uid="{AD53DBC8-D7DB-4DE1-AA8E-9F9ED66D5D5C}" name="Spalte11258"/>
    <tableColumn id="11276" xr3:uid="{A83EB2D6-3F76-4F4F-8702-8184CA3798A6}" name="Spalte11259"/>
    <tableColumn id="11277" xr3:uid="{C6320BF5-682C-4104-82D5-C555FF4B9D87}" name="Spalte11260"/>
    <tableColumn id="11278" xr3:uid="{0B0DE1D0-2AE1-45A2-BA4C-C1504D867779}" name="Spalte11261"/>
    <tableColumn id="11279" xr3:uid="{4A4C5DED-65BB-443B-9968-74B63422624E}" name="Spalte11262"/>
    <tableColumn id="11280" xr3:uid="{3CDDFBC2-FC4F-4BE4-9C29-12748693BDEF}" name="Spalte11263"/>
    <tableColumn id="11281" xr3:uid="{2894D59B-9222-4FB0-AA5D-5D69B698237B}" name="Spalte11264"/>
    <tableColumn id="11282" xr3:uid="{9A556470-66CB-416D-A4BB-447D1E095E05}" name="Spalte11265"/>
    <tableColumn id="11283" xr3:uid="{4CD2A533-35BF-4406-B2E6-7893E7D3A56B}" name="Spalte11266"/>
    <tableColumn id="11284" xr3:uid="{D792F486-0429-40F0-AF8B-FDD04C9B87A5}" name="Spalte11267"/>
    <tableColumn id="11285" xr3:uid="{4B1BA4F0-8A85-4F33-8D01-977C5718B67F}" name="Spalte11268"/>
    <tableColumn id="11286" xr3:uid="{6957A1F5-8B56-4EDC-9BE6-CCCFE799DA4C}" name="Spalte11269"/>
    <tableColumn id="11287" xr3:uid="{4E5E24F8-8264-42AF-87FD-36032B9A8179}" name="Spalte11270"/>
    <tableColumn id="11288" xr3:uid="{3A7899FE-53CB-4A22-B2D1-F631D54C26F6}" name="Spalte11271"/>
    <tableColumn id="11289" xr3:uid="{E118C720-3FA0-47A3-BE16-644A71FFDDF6}" name="Spalte11272"/>
    <tableColumn id="11290" xr3:uid="{60F82503-51D6-43B2-A69F-C64F7FE30148}" name="Spalte11273"/>
    <tableColumn id="11291" xr3:uid="{8D1190EF-F225-4E9E-9505-2F7A8B11AD5A}" name="Spalte11274"/>
    <tableColumn id="11292" xr3:uid="{5832A7E4-C430-4278-8767-26E3A900CCE9}" name="Spalte11275"/>
    <tableColumn id="11293" xr3:uid="{EA87BDE2-80CD-4E77-A50F-CF461420D24D}" name="Spalte11276"/>
    <tableColumn id="11294" xr3:uid="{A10456E3-9B3A-4611-B67B-F5EAA474BC9F}" name="Spalte11277"/>
    <tableColumn id="11295" xr3:uid="{AEF77FF7-C16E-487E-8C2D-DFDCEF4277BA}" name="Spalte11278"/>
    <tableColumn id="11296" xr3:uid="{4D472684-44A9-4B85-B22E-87EE5F2A071B}" name="Spalte11279"/>
    <tableColumn id="11297" xr3:uid="{F8A38523-ED12-4A42-98A8-AD008DEE8614}" name="Spalte11280"/>
    <tableColumn id="11298" xr3:uid="{56845D1C-3DC7-4CE8-85CD-C9FA4B7D6AB2}" name="Spalte11281"/>
    <tableColumn id="11299" xr3:uid="{389927D5-A046-48C9-BCF0-CB218BA8B473}" name="Spalte11282"/>
    <tableColumn id="11300" xr3:uid="{AE6419F4-E376-4C88-A538-ECF555AFC9F8}" name="Spalte11283"/>
    <tableColumn id="11301" xr3:uid="{7F64CEC3-0BBA-4C46-AE93-808D44A2AA24}" name="Spalte11284"/>
    <tableColumn id="11302" xr3:uid="{B13E7536-D04A-4A23-8E33-AF896661D8E6}" name="Spalte11285"/>
    <tableColumn id="11303" xr3:uid="{0A63CEC9-4CFC-455A-9457-58567E0BE321}" name="Spalte11286"/>
    <tableColumn id="11304" xr3:uid="{2DAD6D83-4FDE-4A31-A7CB-E4E7446D2D0E}" name="Spalte11287"/>
    <tableColumn id="11305" xr3:uid="{8714FF4A-2F2F-4F0B-8F3F-8A935B3872E7}" name="Spalte11288"/>
    <tableColumn id="11306" xr3:uid="{E00D5D31-E75C-412F-B762-4F20790ED4C4}" name="Spalte11289"/>
    <tableColumn id="11307" xr3:uid="{7CDCA58B-1EFB-4030-910D-E44D74CFCB37}" name="Spalte11290"/>
    <tableColumn id="11308" xr3:uid="{E00B7781-5A6E-42A8-8856-758FB5C6C1FA}" name="Spalte11291"/>
    <tableColumn id="11309" xr3:uid="{D59F0B6E-0DDF-4248-BC2C-11CF4C18B15B}" name="Spalte11292"/>
    <tableColumn id="11310" xr3:uid="{6A68AFEA-15C7-4CD1-9F43-5CA8B27318BD}" name="Spalte11293"/>
    <tableColumn id="11311" xr3:uid="{1D92FF5B-B1D7-4252-AAAD-758C379FD702}" name="Spalte11294"/>
    <tableColumn id="11312" xr3:uid="{0986AD24-0E6C-4A8B-95F3-08BDCE2BAC75}" name="Spalte11295"/>
    <tableColumn id="11313" xr3:uid="{5704DF23-286D-48B3-8944-B81A8E8BD30C}" name="Spalte11296"/>
    <tableColumn id="11314" xr3:uid="{2C3B38BE-1DD6-4CA8-B8C9-38FB3A430A42}" name="Spalte11297"/>
    <tableColumn id="11315" xr3:uid="{1D76F38E-141D-4B18-B88E-E271A1C23BB3}" name="Spalte11298"/>
    <tableColumn id="11316" xr3:uid="{33B5DF0E-C2B5-437E-94B2-141E9926BF98}" name="Spalte11299"/>
    <tableColumn id="11317" xr3:uid="{68B94C20-8273-4CE7-8F85-8E72669E8CF8}" name="Spalte11300"/>
    <tableColumn id="11318" xr3:uid="{E27F336B-D777-4555-A4A8-DE16632F1B88}" name="Spalte11301"/>
    <tableColumn id="11319" xr3:uid="{DB5ED76E-1CF8-4C9F-9EA4-A75CE0AD6DCA}" name="Spalte11302"/>
    <tableColumn id="11320" xr3:uid="{2D23A962-9A58-4E65-89BE-B7C3E6166216}" name="Spalte11303"/>
    <tableColumn id="11321" xr3:uid="{6513E409-B590-4C93-8E63-1E569B95DBAC}" name="Spalte11304"/>
    <tableColumn id="11322" xr3:uid="{8A9174B1-C593-4C51-93C6-9C1751D66F9E}" name="Spalte11305"/>
    <tableColumn id="11323" xr3:uid="{9FB6CED9-9695-431D-BFAE-3A9C62898AF3}" name="Spalte11306"/>
    <tableColumn id="11324" xr3:uid="{08D5CA53-969D-455C-A363-AF6A7DDF748F}" name="Spalte11307"/>
    <tableColumn id="11325" xr3:uid="{EF9D8CF4-D9B3-421C-B4DD-793080AA0C99}" name="Spalte11308"/>
    <tableColumn id="11326" xr3:uid="{B43D2750-D90F-4BCF-92BD-2A185F8E0C01}" name="Spalte11309"/>
    <tableColumn id="11327" xr3:uid="{917CD987-0D2C-451D-A7DB-273A144B7B79}" name="Spalte11310"/>
    <tableColumn id="11328" xr3:uid="{BCC542AC-E7DE-4DA4-B872-018CFA48B7AA}" name="Spalte11311"/>
    <tableColumn id="11329" xr3:uid="{7BE0C001-492D-4605-AFEE-3FAE114BE9BC}" name="Spalte11312"/>
    <tableColumn id="11330" xr3:uid="{9101C6DB-FA0A-4AAB-B5E0-69B70C77ACA8}" name="Spalte11313"/>
    <tableColumn id="11331" xr3:uid="{399A3EFB-758A-4533-A712-41C23599ACA2}" name="Spalte11314"/>
    <tableColumn id="11332" xr3:uid="{D8AE965E-4C35-4E76-BF9C-0F8CC010C089}" name="Spalte11315"/>
    <tableColumn id="11333" xr3:uid="{1E02D4EA-48C4-4B79-A79B-A2A273EC9F8D}" name="Spalte11316"/>
    <tableColumn id="11334" xr3:uid="{6123DC12-AAE6-462B-9F1A-3273D0C1FC7B}" name="Spalte11317"/>
    <tableColumn id="11335" xr3:uid="{3E05FDAA-BD54-4737-ABC2-E5971687D8C7}" name="Spalte11318"/>
    <tableColumn id="11336" xr3:uid="{B70DAB3B-B4F1-48EE-A345-9B46F59B9A98}" name="Spalte11319"/>
    <tableColumn id="11337" xr3:uid="{ECF5960E-1361-45F9-9745-DF09E233122F}" name="Spalte11320"/>
    <tableColumn id="11338" xr3:uid="{8A2EBBB4-C93D-4913-940F-50131800F701}" name="Spalte11321"/>
    <tableColumn id="11339" xr3:uid="{86171609-D3BE-4F37-BB7D-14B28DD5DCD8}" name="Spalte11322"/>
    <tableColumn id="11340" xr3:uid="{7370D838-72EC-4FAA-86E7-B06789F9BF1F}" name="Spalte11323"/>
    <tableColumn id="11341" xr3:uid="{ADB07C9B-4C97-439B-80AE-535DE026D405}" name="Spalte11324"/>
    <tableColumn id="11342" xr3:uid="{D5D954C3-AC4B-4B4F-8588-BC0DCB2D0F4D}" name="Spalte11325"/>
    <tableColumn id="11343" xr3:uid="{54FD80DA-617A-4B20-8096-B4157A002F42}" name="Spalte11326"/>
    <tableColumn id="11344" xr3:uid="{500AC710-4490-43A5-8D11-D8F2987B3D9F}" name="Spalte11327"/>
    <tableColumn id="11345" xr3:uid="{21DE46F1-9178-4CD3-9707-C380D19C16FE}" name="Spalte11328"/>
    <tableColumn id="11346" xr3:uid="{93A003B6-885E-4A5F-9205-0F17B93F81B0}" name="Spalte11329"/>
    <tableColumn id="11347" xr3:uid="{F5A7A2AF-7356-4731-8D11-92920AB3ADD5}" name="Spalte11330"/>
    <tableColumn id="11348" xr3:uid="{87ADA003-6E76-4454-8794-5F3C38BA45E9}" name="Spalte11331"/>
    <tableColumn id="11349" xr3:uid="{4AEBC6B6-418B-4A12-A336-88849211DB0C}" name="Spalte11332"/>
    <tableColumn id="11350" xr3:uid="{3812E673-553D-4905-9574-C7C4D3950D9A}" name="Spalte11333"/>
    <tableColumn id="11351" xr3:uid="{9930F6F2-BB6B-4909-A489-0A5E85C31224}" name="Spalte11334"/>
    <tableColumn id="11352" xr3:uid="{939C9F94-A574-4985-B687-004024B8DF19}" name="Spalte11335"/>
    <tableColumn id="11353" xr3:uid="{463238EC-058D-4F3C-871F-1383EE7FC9E5}" name="Spalte11336"/>
    <tableColumn id="11354" xr3:uid="{27C6D359-2B3D-4417-A7E7-F0AA499ADA5F}" name="Spalte11337"/>
    <tableColumn id="11355" xr3:uid="{BB084BB1-4705-4DA1-9D8F-E8BA0CD05C81}" name="Spalte11338"/>
    <tableColumn id="11356" xr3:uid="{75CDB8DC-D6C8-4681-8E1C-D3F47931A660}" name="Spalte11339"/>
    <tableColumn id="11357" xr3:uid="{52AF5A0C-A451-4D93-A8F8-BC6A668C2C97}" name="Spalte11340"/>
    <tableColumn id="11358" xr3:uid="{E09917AE-D06A-4578-A7AB-E6C9B87B1B50}" name="Spalte11341"/>
    <tableColumn id="11359" xr3:uid="{E5639FBF-AB6C-4FD5-8701-B50E0E8054B6}" name="Spalte11342"/>
    <tableColumn id="11360" xr3:uid="{9C9FF61D-B9F1-43FF-90A6-6864F0C11D25}" name="Spalte11343"/>
    <tableColumn id="11361" xr3:uid="{E0955CEA-E7AF-4462-8220-8B9DC3D0B38D}" name="Spalte11344"/>
    <tableColumn id="11362" xr3:uid="{C382E508-0AD4-4F9C-8C3F-A386A76A141D}" name="Spalte11345"/>
    <tableColumn id="11363" xr3:uid="{B9A6D113-BD51-471B-9489-87F46B453D10}" name="Spalte11346"/>
    <tableColumn id="11364" xr3:uid="{819095C6-1378-456C-8ED3-365021DFC02D}" name="Spalte11347"/>
    <tableColumn id="11365" xr3:uid="{78F36B24-0937-4135-94A3-85514BF87661}" name="Spalte11348"/>
    <tableColumn id="11366" xr3:uid="{F2D496BF-1B50-457D-872F-08C2D7DCF48F}" name="Spalte11349"/>
    <tableColumn id="11367" xr3:uid="{28B76989-D67C-4161-87AD-EC380EDDB466}" name="Spalte11350"/>
    <tableColumn id="11368" xr3:uid="{41B2FC67-D65B-4B63-8A20-FD4F76ABFF31}" name="Spalte11351"/>
    <tableColumn id="11369" xr3:uid="{35B8F564-1C40-4474-B078-F1C8494C6A02}" name="Spalte11352"/>
    <tableColumn id="11370" xr3:uid="{3BA6DAEE-3B18-4DB6-BCA9-C3D1CE0A83DD}" name="Spalte11353"/>
    <tableColumn id="11371" xr3:uid="{763B140E-D4BC-4ED8-A320-9D10DFDB47ED}" name="Spalte11354"/>
    <tableColumn id="11372" xr3:uid="{291794C4-AE5A-48F7-8B29-51566E651B12}" name="Spalte11355"/>
    <tableColumn id="11373" xr3:uid="{FA6DFDC4-EB15-4A8E-905F-065CEA907144}" name="Spalte11356"/>
    <tableColumn id="11374" xr3:uid="{DCF19EA8-4167-4340-9DF9-AE123CD7BADB}" name="Spalte11357"/>
    <tableColumn id="11375" xr3:uid="{04EC5B19-0A03-48AF-8D4B-4CC750327DF1}" name="Spalte11358"/>
    <tableColumn id="11376" xr3:uid="{812D39E7-3F0F-4DD8-AA51-6404DD376CFC}" name="Spalte11359"/>
    <tableColumn id="11377" xr3:uid="{E878FD66-031E-4881-A188-735731D0D094}" name="Spalte11360"/>
    <tableColumn id="11378" xr3:uid="{428BF026-2EEF-4BAF-8B3D-6F2FE4CD392F}" name="Spalte11361"/>
    <tableColumn id="11379" xr3:uid="{19EFC19A-0E22-4CCF-803F-E49CF962017C}" name="Spalte11362"/>
    <tableColumn id="11380" xr3:uid="{71B428F0-8697-41F2-9D58-D8FA947B88CD}" name="Spalte11363"/>
    <tableColumn id="11381" xr3:uid="{8CF916CD-A379-4D15-8B68-7DD3247F8A1E}" name="Spalte11364"/>
    <tableColumn id="11382" xr3:uid="{E5180E3C-36FF-4887-9BD0-1EAB1860AD66}" name="Spalte11365"/>
    <tableColumn id="11383" xr3:uid="{90A8D1FB-AB69-45BF-9D39-0CF89465351E}" name="Spalte11366"/>
    <tableColumn id="11384" xr3:uid="{3DF730F7-2B44-4CF9-A9F9-53F1B8D77E1B}" name="Spalte11367"/>
    <tableColumn id="11385" xr3:uid="{1D7966A7-834A-4A55-A23A-1A53DFCE993B}" name="Spalte11368"/>
    <tableColumn id="11386" xr3:uid="{C124D32E-E109-478D-89B0-8103628C713D}" name="Spalte11369"/>
    <tableColumn id="11387" xr3:uid="{0D013B4C-A51D-4FD0-8255-6F0DC7D02DC0}" name="Spalte11370"/>
    <tableColumn id="11388" xr3:uid="{C27B4347-AE12-405E-95ED-0AC74B18BF10}" name="Spalte11371"/>
    <tableColumn id="11389" xr3:uid="{9EDEB3D1-5B46-4B33-8768-1956C9FAD980}" name="Spalte11372"/>
    <tableColumn id="11390" xr3:uid="{16992E00-9B1B-421E-968D-550E3FD1776F}" name="Spalte11373"/>
    <tableColumn id="11391" xr3:uid="{D1FFBA4B-CD7F-4394-B53D-E51FDD14F596}" name="Spalte11374"/>
    <tableColumn id="11392" xr3:uid="{D660AF68-F3D7-4285-B0AE-B53D92442FDA}" name="Spalte11375"/>
    <tableColumn id="11393" xr3:uid="{8D23B903-889A-44ED-B2B9-5BA2E47ACAFE}" name="Spalte11376"/>
    <tableColumn id="11394" xr3:uid="{545159F0-4EA9-41F8-92E0-5D9E58E1CD35}" name="Spalte11377"/>
    <tableColumn id="11395" xr3:uid="{88F0C1DE-034E-4CD0-9274-2E9ACA039D70}" name="Spalte11378"/>
    <tableColumn id="11396" xr3:uid="{736F3F44-BEFB-45DD-9A9C-D5596984ECC2}" name="Spalte11379"/>
    <tableColumn id="11397" xr3:uid="{77A6917C-98A3-4A0D-A46E-6E6732BCBD14}" name="Spalte11380"/>
    <tableColumn id="11398" xr3:uid="{E006E494-E568-427D-AE4E-1F0926B41399}" name="Spalte11381"/>
    <tableColumn id="11399" xr3:uid="{3F1B926A-713B-4BCF-837F-C07BE8432DF7}" name="Spalte11382"/>
    <tableColumn id="11400" xr3:uid="{BAA865A0-949D-4825-A055-143BDC929EAB}" name="Spalte11383"/>
    <tableColumn id="11401" xr3:uid="{1AF4C92D-19ED-462F-ABDF-53FF0B052369}" name="Spalte11384"/>
    <tableColumn id="11402" xr3:uid="{CBEB9637-6B96-42B4-BE90-27DDB77317F7}" name="Spalte11385"/>
    <tableColumn id="11403" xr3:uid="{88CF1746-A650-438C-A202-D2576A0E5D3E}" name="Spalte11386"/>
    <tableColumn id="11404" xr3:uid="{31C0BACD-1AF1-4AF1-B656-90BA5CBCE8B7}" name="Spalte11387"/>
    <tableColumn id="11405" xr3:uid="{9CB96E84-4F1E-41D5-B02C-4391C05AFD8C}" name="Spalte11388"/>
    <tableColumn id="11406" xr3:uid="{301DCF5F-BEE1-4D2C-B667-E4A8490407BE}" name="Spalte11389"/>
    <tableColumn id="11407" xr3:uid="{2158E653-DB1F-42F3-9575-7643A832A65D}" name="Spalte11390"/>
    <tableColumn id="11408" xr3:uid="{94600316-EDBB-4C52-80DE-7EC0065AFE1D}" name="Spalte11391"/>
    <tableColumn id="11409" xr3:uid="{CAD5161C-4A7A-4881-9B43-A74C35143328}" name="Spalte11392"/>
    <tableColumn id="11410" xr3:uid="{3A810F16-A2C7-4028-A8D4-208CB3F35B3C}" name="Spalte11393"/>
    <tableColumn id="11411" xr3:uid="{A98BD59A-0FE6-473C-AB1B-CCF833AA98A2}" name="Spalte11394"/>
    <tableColumn id="11412" xr3:uid="{5892D1B1-3248-49B7-A3D6-9172C75A1EBF}" name="Spalte11395"/>
    <tableColumn id="11413" xr3:uid="{3CB18FCA-5D75-4375-9926-BF4A09D99355}" name="Spalte11396"/>
    <tableColumn id="11414" xr3:uid="{05440D49-8EA4-43AC-BAF2-90CC59FA1546}" name="Spalte11397"/>
    <tableColumn id="11415" xr3:uid="{DB851CEF-71BE-4D4A-8CD2-36F05A238B0E}" name="Spalte11398"/>
    <tableColumn id="11416" xr3:uid="{D6F7B5D4-4F55-4602-B5A6-B68DCE354494}" name="Spalte11399"/>
    <tableColumn id="11417" xr3:uid="{1A400600-AC8B-4B81-8C7E-250CD72CA589}" name="Spalte11400"/>
    <tableColumn id="11418" xr3:uid="{65CFB435-CA2C-4EFA-B168-D04EDE3FD761}" name="Spalte11401"/>
    <tableColumn id="11419" xr3:uid="{8855F190-6AB9-4750-88A9-947D0DC0D10A}" name="Spalte11402"/>
    <tableColumn id="11420" xr3:uid="{DE12DADA-9387-42F1-B6F7-805644AEE28A}" name="Spalte11403"/>
    <tableColumn id="11421" xr3:uid="{7B9A13FE-8D66-4E91-BED3-2EE5F736ECC6}" name="Spalte11404"/>
    <tableColumn id="11422" xr3:uid="{EA8AE11E-5728-442B-B6A1-68778EFC20E0}" name="Spalte11405"/>
    <tableColumn id="11423" xr3:uid="{43816625-0D6C-4845-B8FF-B5798DA5BF85}" name="Spalte11406"/>
    <tableColumn id="11424" xr3:uid="{95B823E4-D1F9-44D8-9882-C078B27CFF2E}" name="Spalte11407"/>
    <tableColumn id="11425" xr3:uid="{5AF67481-31CD-4662-92DC-C230E2410EE8}" name="Spalte11408"/>
    <tableColumn id="11426" xr3:uid="{10DBC054-6771-4E99-B9DE-72997082A996}" name="Spalte11409"/>
    <tableColumn id="11427" xr3:uid="{7C8384A0-A7CB-4340-ABFC-463036DAC557}" name="Spalte11410"/>
    <tableColumn id="11428" xr3:uid="{E14DF5A3-A72C-413E-8D9E-170829BFD1BA}" name="Spalte11411"/>
    <tableColumn id="11429" xr3:uid="{ECBFA1E9-5648-4761-815F-995E141B5E43}" name="Spalte11412"/>
    <tableColumn id="11430" xr3:uid="{404C1E19-8EC6-4BA2-AF78-C5D3A5B4252E}" name="Spalte11413"/>
    <tableColumn id="11431" xr3:uid="{FF63B254-7C9E-49D6-BEE5-E86CF5D8DAB1}" name="Spalte11414"/>
    <tableColumn id="11432" xr3:uid="{7587B25B-3035-44B5-8C1E-AE75FDC371FC}" name="Spalte11415"/>
    <tableColumn id="11433" xr3:uid="{BC4E5472-F2B4-4C96-B0EB-9F57A53E9209}" name="Spalte11416"/>
    <tableColumn id="11434" xr3:uid="{216B96D3-DE9B-4967-B5BF-11BBAB1F7A31}" name="Spalte11417"/>
    <tableColumn id="11435" xr3:uid="{4E690C5E-AFBC-4F0C-91B7-9E1C3B02BCC4}" name="Spalte11418"/>
    <tableColumn id="11436" xr3:uid="{55A27320-26A9-414F-A026-FBE3BEFE077F}" name="Spalte11419"/>
    <tableColumn id="11437" xr3:uid="{936CF9A5-2303-4E78-AB66-C36858E1CE22}" name="Spalte11420"/>
    <tableColumn id="11438" xr3:uid="{E53D4C64-B808-4CC4-BBBA-7E6350E0D066}" name="Spalte11421"/>
    <tableColumn id="11439" xr3:uid="{5E5739F3-B04E-405D-BCE3-F2DAEBAF920D}" name="Spalte11422"/>
    <tableColumn id="11440" xr3:uid="{18002BF4-716A-49CB-BAEE-69B0BEBC4B93}" name="Spalte11423"/>
    <tableColumn id="11441" xr3:uid="{5C6EEF1F-E73F-44D2-8080-96A56587434B}" name="Spalte11424"/>
    <tableColumn id="11442" xr3:uid="{EF4BF502-8B6C-454F-953A-78BFF12E327F}" name="Spalte11425"/>
    <tableColumn id="11443" xr3:uid="{B7ECFE41-CFCD-4D3D-9D4A-FADD8072C184}" name="Spalte11426"/>
    <tableColumn id="11444" xr3:uid="{D4D246BD-3A63-4005-8557-4CC783B6CE19}" name="Spalte11427"/>
    <tableColumn id="11445" xr3:uid="{B87AB888-B4CF-46B3-9338-B026B9BEC4BB}" name="Spalte11428"/>
    <tableColumn id="11446" xr3:uid="{6055CBED-BD4B-4F13-8734-236DE0F2BE12}" name="Spalte11429"/>
    <tableColumn id="11447" xr3:uid="{73A09103-F21E-4605-B927-3D534DED732A}" name="Spalte11430"/>
    <tableColumn id="11448" xr3:uid="{13E2CA09-E181-482D-9AA4-E6B0F0AD7412}" name="Spalte11431"/>
    <tableColumn id="11449" xr3:uid="{6AB8F3D4-FF92-48F9-A7E3-1CADF1971FCA}" name="Spalte11432"/>
    <tableColumn id="11450" xr3:uid="{D51736B1-2AE3-41E6-9952-E539781A2147}" name="Spalte11433"/>
    <tableColumn id="11451" xr3:uid="{9B7A26A3-8A61-47E0-BD69-36D4873A3236}" name="Spalte11434"/>
    <tableColumn id="11452" xr3:uid="{0F11F5A2-0D07-4151-806B-A1037A3F1F69}" name="Spalte11435"/>
    <tableColumn id="11453" xr3:uid="{36803E29-9B6F-4DB3-857A-16BF587D1A69}" name="Spalte11436"/>
    <tableColumn id="11454" xr3:uid="{3025891B-3B2E-450C-8898-8FBFAC0B19A6}" name="Spalte11437"/>
    <tableColumn id="11455" xr3:uid="{DB95BBF9-0888-4F1F-9F1E-579CBD8DFE3B}" name="Spalte11438"/>
    <tableColumn id="11456" xr3:uid="{3AC49764-3EB7-447C-9AAF-35CAB1F28FE4}" name="Spalte11439"/>
    <tableColumn id="11457" xr3:uid="{230227B9-C9F8-4CA4-B62D-6837D00E2245}" name="Spalte11440"/>
    <tableColumn id="11458" xr3:uid="{39CA96F0-8E82-4D6F-9FC4-C835FE68158E}" name="Spalte11441"/>
    <tableColumn id="11459" xr3:uid="{91087FE6-7713-478D-8C1A-EA4BB7596E64}" name="Spalte11442"/>
    <tableColumn id="11460" xr3:uid="{D8C3D3D4-EC3B-4030-9235-F24E71954A33}" name="Spalte11443"/>
    <tableColumn id="11461" xr3:uid="{4FD0E66E-A03E-47B3-A531-64265CA25545}" name="Spalte11444"/>
    <tableColumn id="11462" xr3:uid="{C6864340-D68A-4231-8281-A7AA8B021D71}" name="Spalte11445"/>
    <tableColumn id="11463" xr3:uid="{EDD440C6-7E2E-4FE5-848A-C47032439704}" name="Spalte11446"/>
    <tableColumn id="11464" xr3:uid="{E30C3550-7530-4B09-9417-23D4DED66B48}" name="Spalte11447"/>
    <tableColumn id="11465" xr3:uid="{C3B38D8A-8BFD-4A2C-B664-AAB0B0213D48}" name="Spalte11448"/>
    <tableColumn id="11466" xr3:uid="{11719D93-1279-46A1-9389-EFA54A8E9149}" name="Spalte11449"/>
    <tableColumn id="11467" xr3:uid="{5C0ED893-CD5B-4D36-82A4-9758AC6B18C9}" name="Spalte11450"/>
    <tableColumn id="11468" xr3:uid="{87509273-DDE9-475B-B1C2-A357F30CCFD0}" name="Spalte11451"/>
    <tableColumn id="11469" xr3:uid="{B32C7DEA-B1FB-41BD-BC3C-6257ECA4B7E4}" name="Spalte11452"/>
    <tableColumn id="11470" xr3:uid="{CD488DDB-FFDC-460E-861A-5FD10320798C}" name="Spalte11453"/>
    <tableColumn id="11471" xr3:uid="{4E09025F-EC1C-4354-A567-CC355008545B}" name="Spalte11454"/>
    <tableColumn id="11472" xr3:uid="{7B05E5A0-CAA2-4425-8E71-D4F0B399F3DB}" name="Spalte11455"/>
    <tableColumn id="11473" xr3:uid="{C5691A76-FD68-4595-A3A6-2DBB3ECEE801}" name="Spalte11456"/>
    <tableColumn id="11474" xr3:uid="{47C9439A-D288-460C-92CF-0814CD5B9208}" name="Spalte11457"/>
    <tableColumn id="11475" xr3:uid="{E82F9BB6-19DF-4651-86E1-4D6347BE3652}" name="Spalte11458"/>
    <tableColumn id="11476" xr3:uid="{AE437AE5-8521-4B8D-A174-CA415497783C}" name="Spalte11459"/>
    <tableColumn id="11477" xr3:uid="{CDA58734-5209-46AE-9C1F-2B3559E75D3C}" name="Spalte11460"/>
    <tableColumn id="11478" xr3:uid="{1710AC0B-305E-4FCE-A553-26F406F9A7D6}" name="Spalte11461"/>
    <tableColumn id="11479" xr3:uid="{DF4B31D5-CAAA-4FE8-B18A-905C246F96FD}" name="Spalte11462"/>
    <tableColumn id="11480" xr3:uid="{5AB8BE83-4CE4-40C9-8BDB-BBCDA06CE762}" name="Spalte11463"/>
    <tableColumn id="11481" xr3:uid="{E4DD5AD6-4A32-425B-8984-0BF0AE175E35}" name="Spalte11464"/>
    <tableColumn id="11482" xr3:uid="{C5FA564F-3158-43B1-A936-C0C14E0AB991}" name="Spalte11465"/>
    <tableColumn id="11483" xr3:uid="{419FEBBF-D53A-410B-9643-14ED550C9DC9}" name="Spalte11466"/>
    <tableColumn id="11484" xr3:uid="{508CBEC3-F0AC-44C6-8940-3CF64309898A}" name="Spalte11467"/>
    <tableColumn id="11485" xr3:uid="{93640755-A1C2-4580-B9CD-9B7C535D1CAB}" name="Spalte11468"/>
    <tableColumn id="11486" xr3:uid="{330B9A87-B80E-443D-B96F-7B43D2901522}" name="Spalte11469"/>
    <tableColumn id="11487" xr3:uid="{A38157D3-EC02-40C4-B11F-EEC01690A1E5}" name="Spalte11470"/>
    <tableColumn id="11488" xr3:uid="{C5EF37AE-2A60-41B4-B16B-31B1C68CE5C1}" name="Spalte11471"/>
    <tableColumn id="11489" xr3:uid="{D5B09BF6-CFF8-472D-AF5E-379384714891}" name="Spalte11472"/>
    <tableColumn id="11490" xr3:uid="{E63C0A7E-B6D0-486B-9FEA-783FCAB02611}" name="Spalte11473"/>
    <tableColumn id="11491" xr3:uid="{8A5E6B90-C91D-432B-8D98-41B1F97664E6}" name="Spalte11474"/>
    <tableColumn id="11492" xr3:uid="{CD728CDC-09FF-4226-B95C-65193B03AB14}" name="Spalte11475"/>
    <tableColumn id="11493" xr3:uid="{FAEC22DA-1FB5-46F3-A797-08901B55AAE4}" name="Spalte11476"/>
    <tableColumn id="11494" xr3:uid="{31B6D84A-BA77-439B-8AD9-F9FE17F4AEFD}" name="Spalte11477"/>
    <tableColumn id="11495" xr3:uid="{61660BCF-2A25-45CD-9DDA-04E15977DE58}" name="Spalte11478"/>
    <tableColumn id="11496" xr3:uid="{B911E3A9-BE81-474A-8BD6-D801156D1E04}" name="Spalte11479"/>
    <tableColumn id="11497" xr3:uid="{F63CE095-751F-472C-B02C-1A8B967A7780}" name="Spalte11480"/>
    <tableColumn id="11498" xr3:uid="{90CE4361-5D25-4E34-BD97-9D51D205033F}" name="Spalte11481"/>
    <tableColumn id="11499" xr3:uid="{C32EDF07-EF22-429C-ADEC-830C089673DF}" name="Spalte11482"/>
    <tableColumn id="11500" xr3:uid="{42303370-7147-4EA2-85E6-5DF9C048FF3D}" name="Spalte11483"/>
    <tableColumn id="11501" xr3:uid="{B98613CA-FBEC-4AA9-851E-6FC391C9BC94}" name="Spalte11484"/>
    <tableColumn id="11502" xr3:uid="{D171FFAF-073A-4D85-96D9-C6775BFD1D3F}" name="Spalte11485"/>
    <tableColumn id="11503" xr3:uid="{B29E23C5-887E-4037-85DF-D70530056187}" name="Spalte11486"/>
    <tableColumn id="11504" xr3:uid="{F5B06D0A-8B27-4CA6-A2E0-0D13B871C5F1}" name="Spalte11487"/>
    <tableColumn id="11505" xr3:uid="{45E47CB9-81FA-415E-9AE0-B651D2E94D44}" name="Spalte11488"/>
    <tableColumn id="11506" xr3:uid="{C959C9C7-FB08-4C66-AB81-535139457620}" name="Spalte11489"/>
    <tableColumn id="11507" xr3:uid="{B7030B94-00CA-46C9-87CF-F97931884CC1}" name="Spalte11490"/>
    <tableColumn id="11508" xr3:uid="{9DE75EA9-E722-42B7-A1B0-9F5CAA92CD56}" name="Spalte11491"/>
    <tableColumn id="11509" xr3:uid="{719B43CE-1CBF-457D-94E6-AAB4CB2D38FB}" name="Spalte11492"/>
    <tableColumn id="11510" xr3:uid="{DF8D4D5B-6F79-470E-B50F-2426BFDACF79}" name="Spalte11493"/>
    <tableColumn id="11511" xr3:uid="{99807333-E2E5-4DD1-9EB6-AFF0EF331960}" name="Spalte11494"/>
    <tableColumn id="11512" xr3:uid="{F564F498-91EA-49EB-B1CA-4F2509E82F91}" name="Spalte11495"/>
    <tableColumn id="11513" xr3:uid="{00426F1A-41E9-45DC-9ECB-0713A3CA3DC9}" name="Spalte11496"/>
    <tableColumn id="11514" xr3:uid="{92EDFBA5-233E-48A4-A260-3E19C7EEC7E5}" name="Spalte11497"/>
    <tableColumn id="11515" xr3:uid="{864EFEF2-29D7-4B96-B502-BE79D09B8ABD}" name="Spalte11498"/>
    <tableColumn id="11516" xr3:uid="{0DA27A4E-BD73-4F4D-B3A1-F16F8E0757B2}" name="Spalte11499"/>
    <tableColumn id="11517" xr3:uid="{464ED3C1-9422-439B-BDF7-4E059265E709}" name="Spalte11500"/>
    <tableColumn id="11518" xr3:uid="{0FABA8F3-9373-49A1-B4E5-4C29A20875DE}" name="Spalte11501"/>
    <tableColumn id="11519" xr3:uid="{23DA4BC8-5E9E-4D8A-9F15-F297BC194B93}" name="Spalte11502"/>
    <tableColumn id="11520" xr3:uid="{CA32E5FD-5379-449D-83F2-919B61E4330D}" name="Spalte11503"/>
    <tableColumn id="11521" xr3:uid="{161C42B6-F8C6-46BA-A66C-F0040F54AA35}" name="Spalte11504"/>
    <tableColumn id="11522" xr3:uid="{2D72B75B-A9F3-4D54-8041-AE59711F69ED}" name="Spalte11505"/>
    <tableColumn id="11523" xr3:uid="{E9B27DC9-D22D-4ED6-8151-720AFF046818}" name="Spalte11506"/>
    <tableColumn id="11524" xr3:uid="{F747D891-3CB1-46FD-B8A4-33F2409FB686}" name="Spalte11507"/>
    <tableColumn id="11525" xr3:uid="{F386622B-2CEB-4842-A348-76FD45A710D5}" name="Spalte11508"/>
    <tableColumn id="11526" xr3:uid="{33649220-09B1-48EC-AAEA-DC3EEFFF9094}" name="Spalte11509"/>
    <tableColumn id="11527" xr3:uid="{28FF6446-D20D-4416-A0DA-0384C1A8C756}" name="Spalte11510"/>
    <tableColumn id="11528" xr3:uid="{45AB4E2C-D2C0-4086-B11E-D03257BAAC3E}" name="Spalte11511"/>
    <tableColumn id="11529" xr3:uid="{FFAEE778-559B-45D1-95B8-61BBAB9EC48C}" name="Spalte11512"/>
    <tableColumn id="11530" xr3:uid="{C879581F-15F9-4247-A9B7-90DE12FF3021}" name="Spalte11513"/>
    <tableColumn id="11531" xr3:uid="{2426F6C0-D3A9-4D89-8FFC-D42B6BB3318A}" name="Spalte11514"/>
    <tableColumn id="11532" xr3:uid="{23A410A6-F54B-4D17-AB1B-DC32D860748B}" name="Spalte11515"/>
    <tableColumn id="11533" xr3:uid="{1C57523D-66D4-482C-8F9D-6901A4080720}" name="Spalte11516"/>
    <tableColumn id="11534" xr3:uid="{BFAD4316-E289-4CEE-8D05-84BCE641CA66}" name="Spalte11517"/>
    <tableColumn id="11535" xr3:uid="{384D4A3A-B069-4CE6-9437-AB8191791A81}" name="Spalte11518"/>
    <tableColumn id="11536" xr3:uid="{4484E0FE-08F6-4BC7-85FA-A488E61E3D3D}" name="Spalte11519"/>
    <tableColumn id="11537" xr3:uid="{3B51B016-9546-4CD8-BC70-DEA04CE2E22A}" name="Spalte11520"/>
    <tableColumn id="11538" xr3:uid="{18807888-6935-44E7-B973-215B802D98CA}" name="Spalte11521"/>
    <tableColumn id="11539" xr3:uid="{14BC804F-094E-42A4-A562-D4E9ABD06D9A}" name="Spalte11522"/>
    <tableColumn id="11540" xr3:uid="{511E5699-7F7E-4013-88CD-6DB0965D4202}" name="Spalte11523"/>
    <tableColumn id="11541" xr3:uid="{891618AF-9A38-47B9-BFC7-5F853493DAD6}" name="Spalte11524"/>
    <tableColumn id="11542" xr3:uid="{0EA1B481-F520-4E44-8351-61FABB070097}" name="Spalte11525"/>
    <tableColumn id="11543" xr3:uid="{1879FFB8-8AA2-4274-9AD5-21FD54FDE3E0}" name="Spalte11526"/>
    <tableColumn id="11544" xr3:uid="{EB5DFE8C-CE08-40D9-919D-AFEB82DAA688}" name="Spalte11527"/>
    <tableColumn id="11545" xr3:uid="{A024B72D-9209-4AB1-9D4D-C9B12FBC30D3}" name="Spalte11528"/>
    <tableColumn id="11546" xr3:uid="{71B08071-9B3F-4468-91C2-BF6BFB378590}" name="Spalte11529"/>
    <tableColumn id="11547" xr3:uid="{3DE58DF7-2C1B-4D23-AAF7-A6B96C30C0BC}" name="Spalte11530"/>
    <tableColumn id="11548" xr3:uid="{715C037F-A80D-4A0B-AE81-3FD584783A16}" name="Spalte11531"/>
    <tableColumn id="11549" xr3:uid="{EDE4E230-88E4-46AC-B3A2-D8578F95B5E8}" name="Spalte11532"/>
    <tableColumn id="11550" xr3:uid="{2B7B431E-B68B-48A5-839F-243A891971B7}" name="Spalte11533"/>
    <tableColumn id="11551" xr3:uid="{CC5C1FF8-4EA1-468B-B0B2-2ECB1F9BE5C6}" name="Spalte11534"/>
    <tableColumn id="11552" xr3:uid="{1022F4CC-7D87-4090-8B77-A3BFDB4E5797}" name="Spalte11535"/>
    <tableColumn id="11553" xr3:uid="{7BEE2EEA-AA97-43F5-8A5F-078C3E9F200D}" name="Spalte11536"/>
    <tableColumn id="11554" xr3:uid="{4BEF400A-8767-4FE2-863C-DCDC800BFE4A}" name="Spalte11537"/>
    <tableColumn id="11555" xr3:uid="{05FE8A6D-62F4-4059-AFCF-EC733C489061}" name="Spalte11538"/>
    <tableColumn id="11556" xr3:uid="{30B0700B-78CC-42FC-8853-4CABBAB3F44B}" name="Spalte11539"/>
    <tableColumn id="11557" xr3:uid="{AC97A8FF-0F2E-46BE-A5B7-6D821A2EB1C9}" name="Spalte11540"/>
    <tableColumn id="11558" xr3:uid="{46F9F0D4-D7F9-42D2-9777-C96BB69F3A0C}" name="Spalte11541"/>
    <tableColumn id="11559" xr3:uid="{16402F69-6C0D-4CE4-A790-0E61064ECE06}" name="Spalte11542"/>
    <tableColumn id="11560" xr3:uid="{82C2ACAC-0B44-43AD-B1FC-83BAE110ED3D}" name="Spalte11543"/>
    <tableColumn id="11561" xr3:uid="{40D42EB8-60C0-4B6D-B052-339FAAB04C0E}" name="Spalte11544"/>
    <tableColumn id="11562" xr3:uid="{17CE2DB8-CBC1-4DD7-88F7-25D20023E4E9}" name="Spalte11545"/>
    <tableColumn id="11563" xr3:uid="{B8897CD1-3AED-43AC-8BAB-1668EC455B21}" name="Spalte11546"/>
    <tableColumn id="11564" xr3:uid="{D7BCC6D6-2F3C-4462-9148-AF3D42B2C3DD}" name="Spalte11547"/>
    <tableColumn id="11565" xr3:uid="{E37A8AB9-16F5-4E5C-AABA-42604E7AA56B}" name="Spalte11548"/>
    <tableColumn id="11566" xr3:uid="{0BF3EE6C-0D47-41F5-9506-BADAEC46AB07}" name="Spalte11549"/>
    <tableColumn id="11567" xr3:uid="{E4CAF881-398E-49E2-8C17-A403D20D2F97}" name="Spalte11550"/>
    <tableColumn id="11568" xr3:uid="{01922959-CC01-4DA3-A8D8-D5DFF8933D3B}" name="Spalte11551"/>
    <tableColumn id="11569" xr3:uid="{4E6BF312-252C-496F-864E-285C7145502A}" name="Spalte11552"/>
    <tableColumn id="11570" xr3:uid="{46D8BFC2-623F-440A-9AD3-7CD4967D4FF7}" name="Spalte11553"/>
    <tableColumn id="11571" xr3:uid="{7ACEC59D-C0F0-4A79-834B-531AFF5EDEBA}" name="Spalte11554"/>
    <tableColumn id="11572" xr3:uid="{AC6CB52C-4F69-457F-9FA3-00AE618B0313}" name="Spalte11555"/>
    <tableColumn id="11573" xr3:uid="{8E38CF5D-02A8-4DCA-BD47-23A75D4C4572}" name="Spalte11556"/>
    <tableColumn id="11574" xr3:uid="{B3DF376A-2E98-496B-B0EF-2C73EA5FD42A}" name="Spalte11557"/>
    <tableColumn id="11575" xr3:uid="{9098C55C-C20E-48C0-9911-EB0A093775DD}" name="Spalte11558"/>
    <tableColumn id="11576" xr3:uid="{05543EAB-30E5-4F9D-A14F-0EDFCB8B60D4}" name="Spalte11559"/>
    <tableColumn id="11577" xr3:uid="{4E9421D2-FA1C-4425-BEDA-3F7E45C9E151}" name="Spalte11560"/>
    <tableColumn id="11578" xr3:uid="{FB151D85-9AE5-4523-9A57-D076E579ACDF}" name="Spalte11561"/>
    <tableColumn id="11579" xr3:uid="{207D7627-897A-44EF-AC16-1034CB5C7159}" name="Spalte11562"/>
    <tableColumn id="11580" xr3:uid="{D20CB6EB-6BC7-447C-8F0B-54F3DE06438A}" name="Spalte11563"/>
    <tableColumn id="11581" xr3:uid="{A5C86696-9682-4BCF-8653-5F1732EC6135}" name="Spalte11564"/>
    <tableColumn id="11582" xr3:uid="{8F938A12-A6DC-4831-A92C-09D59E98A495}" name="Spalte11565"/>
    <tableColumn id="11583" xr3:uid="{92715E08-F897-467D-90BA-D0376496B0E3}" name="Spalte11566"/>
    <tableColumn id="11584" xr3:uid="{2936ED80-ABA2-436E-BDEF-7AF0F9C8AA17}" name="Spalte11567"/>
    <tableColumn id="11585" xr3:uid="{2C75E5C4-D7D4-48B5-800B-803A2AA3871E}" name="Spalte11568"/>
    <tableColumn id="11586" xr3:uid="{92E23633-16BA-425D-BC4B-AFA6F4B374D1}" name="Spalte11569"/>
    <tableColumn id="11587" xr3:uid="{C492C4A9-6AD5-4363-9BC8-19764ACCFC6E}" name="Spalte11570"/>
    <tableColumn id="11588" xr3:uid="{C9798339-4DC4-4069-BEC1-DE25C42B8D3C}" name="Spalte11571"/>
    <tableColumn id="11589" xr3:uid="{B5D3E21E-4A43-4313-A099-F2D52F4403D6}" name="Spalte11572"/>
    <tableColumn id="11590" xr3:uid="{98219899-3D16-430F-9452-DBD91D81BC71}" name="Spalte11573"/>
    <tableColumn id="11591" xr3:uid="{DB5FF90E-86DA-4FAC-9EB7-98F496707BCF}" name="Spalte11574"/>
    <tableColumn id="11592" xr3:uid="{F20B1869-7CEA-46F5-A58A-19B3105DB664}" name="Spalte11575"/>
    <tableColumn id="11593" xr3:uid="{372ECA6C-50A1-4D67-860E-98938058A424}" name="Spalte11576"/>
    <tableColumn id="11594" xr3:uid="{64233EC8-147F-4F2D-83FD-F366A878B39B}" name="Spalte11577"/>
    <tableColumn id="11595" xr3:uid="{5F514687-451A-47AA-A4DC-5AE9F650727A}" name="Spalte11578"/>
    <tableColumn id="11596" xr3:uid="{3F19FD7B-0B03-4FDD-85AE-638718FC7E1C}" name="Spalte11579"/>
    <tableColumn id="11597" xr3:uid="{00EE5FE2-908D-42D5-AA30-1954DF61611E}" name="Spalte11580"/>
    <tableColumn id="11598" xr3:uid="{92CF1D62-516C-46FB-A077-27CA07AF005E}" name="Spalte11581"/>
    <tableColumn id="11599" xr3:uid="{6349F80B-F640-4CE4-968A-1CB67AEDF18E}" name="Spalte11582"/>
    <tableColumn id="11600" xr3:uid="{99972CE2-68E4-4078-8809-F0DA12C3D9E5}" name="Spalte11583"/>
    <tableColumn id="11601" xr3:uid="{B037E8E1-882E-41E8-9E2B-0573AFC61335}" name="Spalte11584"/>
    <tableColumn id="11602" xr3:uid="{B3AFF9CF-D9A5-4CB6-9F9C-6C98A8DE04BE}" name="Spalte11585"/>
    <tableColumn id="11603" xr3:uid="{8A231765-3D84-4EFF-B8CC-BFD17C950269}" name="Spalte11586"/>
    <tableColumn id="11604" xr3:uid="{0B23D643-715A-4720-BA71-4115965522BB}" name="Spalte11587"/>
    <tableColumn id="11605" xr3:uid="{FF1C6739-65F5-4657-8CD6-B8A81410A286}" name="Spalte11588"/>
    <tableColumn id="11606" xr3:uid="{0E98860F-D2D6-4012-8174-3E7196FBCE90}" name="Spalte11589"/>
    <tableColumn id="11607" xr3:uid="{E7529DA8-B4A4-4673-A75B-A5728B26D7FB}" name="Spalte11590"/>
    <tableColumn id="11608" xr3:uid="{25934025-B422-4DDE-9B52-AC1EDBF8E83A}" name="Spalte11591"/>
    <tableColumn id="11609" xr3:uid="{A6793F31-9DA9-4BDD-A13D-1475B4E4B5E5}" name="Spalte11592"/>
    <tableColumn id="11610" xr3:uid="{991AFF9B-5F3C-474E-AA39-507CD3235633}" name="Spalte11593"/>
    <tableColumn id="11611" xr3:uid="{6D31CAA5-4315-4F92-93D0-972D5061CC9D}" name="Spalte11594"/>
    <tableColumn id="11612" xr3:uid="{CF29DC9B-CA8A-4270-8209-BD875094A9D6}" name="Spalte11595"/>
    <tableColumn id="11613" xr3:uid="{0EFDF5D0-D6DF-492D-B530-1A0B5CB49B06}" name="Spalte11596"/>
    <tableColumn id="11614" xr3:uid="{D98A26B5-822D-49F0-BF9D-1B38A4687FB0}" name="Spalte11597"/>
    <tableColumn id="11615" xr3:uid="{F3F0D510-B22C-432B-BAAF-666F2785ADDB}" name="Spalte11598"/>
    <tableColumn id="11616" xr3:uid="{7DCFF7FC-76EA-4C95-A8C7-DA354E8ACB8A}" name="Spalte11599"/>
    <tableColumn id="11617" xr3:uid="{C609EADF-0024-4C4A-95E5-AD795D5FCDC4}" name="Spalte11600"/>
    <tableColumn id="11618" xr3:uid="{BD65E6D4-75D4-401E-B0CD-AFA9803E0C0D}" name="Spalte11601"/>
    <tableColumn id="11619" xr3:uid="{38DCEDA9-EB86-4EDB-837A-3A2EBCCB1531}" name="Spalte11602"/>
    <tableColumn id="11620" xr3:uid="{6B2096E0-B174-4FCB-A920-81861A5AC82D}" name="Spalte11603"/>
    <tableColumn id="11621" xr3:uid="{ABD4C7CE-907D-4E63-86E8-1F756B873658}" name="Spalte11604"/>
    <tableColumn id="11622" xr3:uid="{915028C1-FE38-4CC2-9F71-008C76BABA7E}" name="Spalte11605"/>
    <tableColumn id="11623" xr3:uid="{14C044C9-2D8E-433C-ABE7-A92BFBDF1B0E}" name="Spalte11606"/>
    <tableColumn id="11624" xr3:uid="{8C20FAC2-3C38-45BA-827E-B6E0371C92A4}" name="Spalte11607"/>
    <tableColumn id="11625" xr3:uid="{C5455530-45FA-4894-8132-4C850243465B}" name="Spalte11608"/>
    <tableColumn id="11626" xr3:uid="{315D9F6B-BE64-49FC-9A88-EBA921797DA0}" name="Spalte11609"/>
    <tableColumn id="11627" xr3:uid="{D9D44B7E-936F-482D-9BDA-85F07083D012}" name="Spalte11610"/>
    <tableColumn id="11628" xr3:uid="{400464CC-58D4-48A5-B0E8-E823C915743A}" name="Spalte11611"/>
    <tableColumn id="11629" xr3:uid="{53FAC344-48F6-406D-8ADE-6F8E10643C55}" name="Spalte11612"/>
    <tableColumn id="11630" xr3:uid="{096FF885-C071-40FB-873C-2A724EC7B2D3}" name="Spalte11613"/>
    <tableColumn id="11631" xr3:uid="{1F47D249-AE00-431F-BD3E-E75E2EBBA5F9}" name="Spalte11614"/>
    <tableColumn id="11632" xr3:uid="{175AED30-E052-4DA4-BF98-640DA4DDB3FD}" name="Spalte11615"/>
    <tableColumn id="11633" xr3:uid="{53C01BB2-7637-4F60-98F0-F79F036210FB}" name="Spalte11616"/>
    <tableColumn id="11634" xr3:uid="{6E07DC49-70B8-4D28-B8BB-5764B528E072}" name="Spalte11617"/>
    <tableColumn id="11635" xr3:uid="{83962FBF-6DD6-4072-A723-EF139BE26006}" name="Spalte11618"/>
    <tableColumn id="11636" xr3:uid="{3B073F41-D7B3-498F-859C-B8E660F7E351}" name="Spalte11619"/>
    <tableColumn id="11637" xr3:uid="{24CECC6A-C25E-4859-B359-2D138DB218DD}" name="Spalte11620"/>
    <tableColumn id="11638" xr3:uid="{C416CA2D-93C8-44F0-BB30-C9FEF0B4EB07}" name="Spalte11621"/>
    <tableColumn id="11639" xr3:uid="{F6AFDB2E-F9B5-41FC-8674-6EB0A277C901}" name="Spalte11622"/>
    <tableColumn id="11640" xr3:uid="{ED1D7AD8-743B-4E26-8F12-43F02BBA7A36}" name="Spalte11623"/>
    <tableColumn id="11641" xr3:uid="{D1BD4123-4337-416D-9608-544B8E39A1DE}" name="Spalte11624"/>
    <tableColumn id="11642" xr3:uid="{057D3F8D-BBBE-40ED-80D1-03D8D38C5E2C}" name="Spalte11625"/>
    <tableColumn id="11643" xr3:uid="{F228ADED-017B-4A07-AD18-74BEC1B88C52}" name="Spalte11626"/>
    <tableColumn id="11644" xr3:uid="{543E3DB1-E501-42DE-B702-F286FABDB846}" name="Spalte11627"/>
    <tableColumn id="11645" xr3:uid="{41713BC8-1B95-4798-A990-E4ECEDE38A08}" name="Spalte11628"/>
    <tableColumn id="11646" xr3:uid="{9E861E45-2D08-4E03-BC7C-1AE0C7652CD4}" name="Spalte11629"/>
    <tableColumn id="11647" xr3:uid="{ADF8E234-4408-428A-A0B8-3DBC5F547E18}" name="Spalte11630"/>
    <tableColumn id="11648" xr3:uid="{698AFB4E-64A6-4FD3-93C8-3C68459BEF8F}" name="Spalte11631"/>
    <tableColumn id="11649" xr3:uid="{3899D8B1-5B65-4A49-A233-6BC1B33F0C26}" name="Spalte11632"/>
    <tableColumn id="11650" xr3:uid="{857051A0-4C09-4B21-AB79-498C201DAB5E}" name="Spalte11633"/>
    <tableColumn id="11651" xr3:uid="{07C2325D-8C8E-4D78-9572-30A88684D06D}" name="Spalte11634"/>
    <tableColumn id="11652" xr3:uid="{19A24361-4731-4924-894E-F41D33821D1A}" name="Spalte11635"/>
    <tableColumn id="11653" xr3:uid="{2618BEDB-9D9A-4080-A5FC-769B403F46E4}" name="Spalte11636"/>
    <tableColumn id="11654" xr3:uid="{E9B97221-20A3-4A6A-BE33-0576EBC1EF4D}" name="Spalte11637"/>
    <tableColumn id="11655" xr3:uid="{50944CC4-A70C-47D9-BFD3-2C8124499CBE}" name="Spalte11638"/>
    <tableColumn id="11656" xr3:uid="{D3862AAC-C5F8-4BB2-B66D-D0C99419B8BC}" name="Spalte11639"/>
    <tableColumn id="11657" xr3:uid="{BA8EB839-8A97-4040-8614-7F06CD749AB4}" name="Spalte11640"/>
    <tableColumn id="11658" xr3:uid="{7D34219A-EFBA-4FB3-A424-541097A3B188}" name="Spalte11641"/>
    <tableColumn id="11659" xr3:uid="{4149F654-6DF3-4DEE-A21E-A4EE2B602CE0}" name="Spalte11642"/>
    <tableColumn id="11660" xr3:uid="{93FBBD8F-0062-4C6A-BA02-9C6EA1428F43}" name="Spalte11643"/>
    <tableColumn id="11661" xr3:uid="{FD8AAD66-C1D7-4A6C-AF74-1A70BD3F1E6E}" name="Spalte11644"/>
    <tableColumn id="11662" xr3:uid="{92D22F60-B20F-4F89-83F4-4ED09F9CE85E}" name="Spalte11645"/>
    <tableColumn id="11663" xr3:uid="{4052B4DC-255B-4670-B8DF-3330380A6C55}" name="Spalte11646"/>
    <tableColumn id="11664" xr3:uid="{495E1368-22C3-40BD-B724-CADD7F8B7E9F}" name="Spalte11647"/>
    <tableColumn id="11665" xr3:uid="{8A86B689-121D-467A-AB7D-2138ABE27B07}" name="Spalte11648"/>
    <tableColumn id="11666" xr3:uid="{5B0EA33B-0DF7-4560-AE08-FA6E03BDBCBC}" name="Spalte11649"/>
    <tableColumn id="11667" xr3:uid="{716CEB03-8D82-4EC3-AE1F-2A0D311F0DFA}" name="Spalte11650"/>
    <tableColumn id="11668" xr3:uid="{C0DEF509-AD5E-41D6-9FCA-603B7C0E6AFA}" name="Spalte11651"/>
    <tableColumn id="11669" xr3:uid="{22BEB564-05F6-4874-9355-DB777013BBC1}" name="Spalte11652"/>
    <tableColumn id="11670" xr3:uid="{D5BA1F8D-8E5F-4EDB-840A-2E399D8F71C7}" name="Spalte11653"/>
    <tableColumn id="11671" xr3:uid="{5A89903B-800B-4BAA-BCFB-18194519073F}" name="Spalte11654"/>
    <tableColumn id="11672" xr3:uid="{E33276CF-5873-4159-9B98-586CAB154E41}" name="Spalte11655"/>
    <tableColumn id="11673" xr3:uid="{AE38B20A-11AB-4304-B77D-2260F24D3458}" name="Spalte11656"/>
    <tableColumn id="11674" xr3:uid="{ED77926C-4CD7-40FD-802D-9DE807215716}" name="Spalte11657"/>
    <tableColumn id="11675" xr3:uid="{1794DCF7-0728-4535-9CB0-FCD4B4699101}" name="Spalte11658"/>
    <tableColumn id="11676" xr3:uid="{4637CDDC-9C9B-4AA8-A957-45593D5A218B}" name="Spalte11659"/>
    <tableColumn id="11677" xr3:uid="{71A69547-D1F0-461A-B3BF-2BBA79A2A841}" name="Spalte11660"/>
    <tableColumn id="11678" xr3:uid="{EA8421EA-6D88-47E8-BB8C-7040CE69E8B7}" name="Spalte11661"/>
    <tableColumn id="11679" xr3:uid="{418645B8-434C-479F-965B-502698D1F2C3}" name="Spalte11662"/>
    <tableColumn id="11680" xr3:uid="{DAB8633D-C643-42FE-8434-117BA0D7C698}" name="Spalte11663"/>
    <tableColumn id="11681" xr3:uid="{6F41E0B6-AF5E-425F-B887-EAFC67E9B9A9}" name="Spalte11664"/>
    <tableColumn id="11682" xr3:uid="{C13257E7-D3C4-4C8D-AE37-AB3011D79E53}" name="Spalte11665"/>
    <tableColumn id="11683" xr3:uid="{EC6DD4EB-DB3D-4059-AE59-E999B9E5FF8A}" name="Spalte11666"/>
    <tableColumn id="11684" xr3:uid="{7232E9EE-19F7-4D09-B5AB-A8A4E0F7851A}" name="Spalte11667"/>
    <tableColumn id="11685" xr3:uid="{D5FD4F80-1ABE-40E5-A7FD-FE4EFF05B63D}" name="Spalte11668"/>
    <tableColumn id="11686" xr3:uid="{35755142-DF02-4E17-88B1-59B1D7249673}" name="Spalte11669"/>
    <tableColumn id="11687" xr3:uid="{DE406261-CD54-4124-8287-3F32FF655BCC}" name="Spalte11670"/>
    <tableColumn id="11688" xr3:uid="{34156C98-5C50-4A63-9CF7-4C2B280FA914}" name="Spalte11671"/>
    <tableColumn id="11689" xr3:uid="{4F7BD8D3-3D20-4BF2-BFE9-A726C27AD811}" name="Spalte11672"/>
    <tableColumn id="11690" xr3:uid="{8020C7D7-1CE7-4C53-9C3B-3DA6235859D6}" name="Spalte11673"/>
    <tableColumn id="11691" xr3:uid="{DA718439-9EBB-4B7B-B1BB-61C2F39B35D8}" name="Spalte11674"/>
    <tableColumn id="11692" xr3:uid="{13B5A704-F402-4F06-B91B-3E7045E4139C}" name="Spalte11675"/>
    <tableColumn id="11693" xr3:uid="{2A488C16-F7FF-4F02-A6F8-54F4E6BAF197}" name="Spalte11676"/>
    <tableColumn id="11694" xr3:uid="{FE4E7424-ED42-4780-95BC-FBFD0809E8AA}" name="Spalte11677"/>
    <tableColumn id="11695" xr3:uid="{91DE1DB3-6E80-4071-ABD5-674F19AB0C56}" name="Spalte11678"/>
    <tableColumn id="11696" xr3:uid="{9A48F2E5-98FC-4C63-805F-28E764ED0ED6}" name="Spalte11679"/>
    <tableColumn id="11697" xr3:uid="{8A1C5BB9-4DF0-4288-928E-F46CF850F811}" name="Spalte11680"/>
    <tableColumn id="11698" xr3:uid="{C4AAD23F-CC16-4BD5-B81D-57559B3A2CF8}" name="Spalte11681"/>
    <tableColumn id="11699" xr3:uid="{6F346F15-5D7A-42CE-8977-B7DD4CC22514}" name="Spalte11682"/>
    <tableColumn id="11700" xr3:uid="{2AC81420-DA57-45D0-8E61-893CD69B98B7}" name="Spalte11683"/>
    <tableColumn id="11701" xr3:uid="{C321651A-0AC4-4F4B-8C4A-8B912059C880}" name="Spalte11684"/>
    <tableColumn id="11702" xr3:uid="{A986687D-FE7D-4F15-8034-C92E40303040}" name="Spalte11685"/>
    <tableColumn id="11703" xr3:uid="{8E0DF627-5ED7-4878-AA17-241D351A451A}" name="Spalte11686"/>
    <tableColumn id="11704" xr3:uid="{F3249FF8-3718-4829-BE1B-28358EE9B401}" name="Spalte11687"/>
    <tableColumn id="11705" xr3:uid="{6DD4027F-B5A4-4C8A-9058-F11E50E1AA34}" name="Spalte11688"/>
    <tableColumn id="11706" xr3:uid="{A1BE9C09-22DD-43CD-BB7E-8D605B0FCEC2}" name="Spalte11689"/>
    <tableColumn id="11707" xr3:uid="{1BABF253-C2C0-4BE3-850A-82819C78BF3E}" name="Spalte11690"/>
    <tableColumn id="11708" xr3:uid="{3FD2F72F-5207-4B01-BCD6-2F17C83E0E05}" name="Spalte11691"/>
    <tableColumn id="11709" xr3:uid="{18794B23-EA43-4F32-95B5-0169AA4DE7B8}" name="Spalte11692"/>
    <tableColumn id="11710" xr3:uid="{00C64A25-464D-4ED6-A873-CD6C0D31F5B7}" name="Spalte11693"/>
    <tableColumn id="11711" xr3:uid="{742CBB40-3AE8-4369-B748-5D212A83E963}" name="Spalte11694"/>
    <tableColumn id="11712" xr3:uid="{5E73298B-A9F8-4E80-966F-E13BF5A5F756}" name="Spalte11695"/>
    <tableColumn id="11713" xr3:uid="{0C590ADB-C7D8-4466-B605-56BDD7791C04}" name="Spalte11696"/>
    <tableColumn id="11714" xr3:uid="{D29F53E1-EC9F-4D46-AE14-34ED5B285482}" name="Spalte11697"/>
    <tableColumn id="11715" xr3:uid="{235E434D-F1DA-4D89-8CC4-A4284AC7F3E9}" name="Spalte11698"/>
    <tableColumn id="11716" xr3:uid="{8C1F774C-C957-4213-8073-4AF88121243C}" name="Spalte11699"/>
    <tableColumn id="11717" xr3:uid="{117FAD14-3AD9-44EC-A835-D91E2356C6A7}" name="Spalte11700"/>
    <tableColumn id="11718" xr3:uid="{96237732-1874-4249-81D7-721C1415D8E8}" name="Spalte11701"/>
    <tableColumn id="11719" xr3:uid="{830E8034-AB91-4502-97B0-EF46D2A5E1FA}" name="Spalte11702"/>
    <tableColumn id="11720" xr3:uid="{71B3C743-806B-4570-B456-6FA8CCA40154}" name="Spalte11703"/>
    <tableColumn id="11721" xr3:uid="{A32065DA-55C4-42A3-A280-A436690D4A6B}" name="Spalte11704"/>
    <tableColumn id="11722" xr3:uid="{841996F5-A1CB-42EA-B4CC-F672D8C7031F}" name="Spalte11705"/>
    <tableColumn id="11723" xr3:uid="{29C982B2-4760-495B-906B-45C698717761}" name="Spalte11706"/>
    <tableColumn id="11724" xr3:uid="{6E7C39C0-B73A-4F4A-A07A-BEBC51863447}" name="Spalte11707"/>
    <tableColumn id="11725" xr3:uid="{0ABBA1A1-76E2-43C6-92FA-ACBC1D705188}" name="Spalte11708"/>
    <tableColumn id="11726" xr3:uid="{874C496F-2F73-4E27-8F2F-60C38CE7404F}" name="Spalte11709"/>
    <tableColumn id="11727" xr3:uid="{7E792562-53B6-4327-B2A1-491A14378C26}" name="Spalte11710"/>
    <tableColumn id="11728" xr3:uid="{4BFDDC52-51F1-4744-A3BB-8E4419FFC18B}" name="Spalte11711"/>
    <tableColumn id="11729" xr3:uid="{1E8A120C-634E-47AD-B956-553485E5C358}" name="Spalte11712"/>
    <tableColumn id="11730" xr3:uid="{AE8B8991-8343-49DE-837D-04CE31193F3C}" name="Spalte11713"/>
    <tableColumn id="11731" xr3:uid="{5285F1CA-C6C4-4072-8DE2-34EDFD019F8B}" name="Spalte11714"/>
    <tableColumn id="11732" xr3:uid="{5BE8DB05-A49B-433D-B2E5-89A2E86EF270}" name="Spalte11715"/>
    <tableColumn id="11733" xr3:uid="{F1284980-E88B-48B2-95E7-A804F1499740}" name="Spalte11716"/>
    <tableColumn id="11734" xr3:uid="{F739DA24-C2D3-4F89-B253-8E065B2D7CFC}" name="Spalte11717"/>
    <tableColumn id="11735" xr3:uid="{75062527-C224-45FB-9DA8-E1182E8BD71A}" name="Spalte11718"/>
    <tableColumn id="11736" xr3:uid="{DB96EAE6-EBB0-4A1E-972A-109FD14CA1FE}" name="Spalte11719"/>
    <tableColumn id="11737" xr3:uid="{5672E775-5AC5-4B18-950F-2B91FE944C7C}" name="Spalte11720"/>
    <tableColumn id="11738" xr3:uid="{CA56DE60-B1B4-4762-BBF1-80A3A7AEFF57}" name="Spalte11721"/>
    <tableColumn id="11739" xr3:uid="{7C9CF297-E7D5-4A4B-8D44-C28F79330DEA}" name="Spalte11722"/>
    <tableColumn id="11740" xr3:uid="{71F7EAE2-8927-40CF-A899-238D96DB14DE}" name="Spalte11723"/>
    <tableColumn id="11741" xr3:uid="{72CC9756-B782-4927-A29D-7F3CAC2DA441}" name="Spalte11724"/>
    <tableColumn id="11742" xr3:uid="{D1E7F839-ABFB-43A6-99B9-4443B072EA01}" name="Spalte11725"/>
    <tableColumn id="11743" xr3:uid="{8EE91CC7-5F6B-499E-916C-7DE251F2EF6D}" name="Spalte11726"/>
    <tableColumn id="11744" xr3:uid="{ADFF4ED7-053C-4415-929B-91C443677AE4}" name="Spalte11727"/>
    <tableColumn id="11745" xr3:uid="{1113E9C6-04E4-4105-879D-EA2AD08FF057}" name="Spalte11728"/>
    <tableColumn id="11746" xr3:uid="{D009DA17-78D9-40C5-AE8D-40968AE19CF2}" name="Spalte11729"/>
    <tableColumn id="11747" xr3:uid="{9BBAE99F-5845-4F8B-9CFA-AEB31E57DC2C}" name="Spalte11730"/>
    <tableColumn id="11748" xr3:uid="{77324DB8-2816-4513-A7A6-8481BC27C4FB}" name="Spalte11731"/>
    <tableColumn id="11749" xr3:uid="{1F201609-F7EC-4FD3-94E6-E14DD1C30D24}" name="Spalte11732"/>
    <tableColumn id="11750" xr3:uid="{A091670B-1DB6-4933-BE90-0BFA4B85A24E}" name="Spalte11733"/>
    <tableColumn id="11751" xr3:uid="{E2DC7BB8-F1B7-48B4-B743-F8D369025CB3}" name="Spalte11734"/>
    <tableColumn id="11752" xr3:uid="{BEB24726-4B42-43F2-8F76-57A28DF1F83B}" name="Spalte11735"/>
    <tableColumn id="11753" xr3:uid="{774F43D1-3942-499A-95E0-2D1CBE4BC252}" name="Spalte11736"/>
    <tableColumn id="11754" xr3:uid="{CF532DE9-09DB-47F9-AE5E-67607ABF2FFB}" name="Spalte11737"/>
    <tableColumn id="11755" xr3:uid="{BBF32025-F7D4-491E-9097-521791F345E1}" name="Spalte11738"/>
    <tableColumn id="11756" xr3:uid="{29FD9D94-84BD-440E-8704-6F517FE77F94}" name="Spalte11739"/>
    <tableColumn id="11757" xr3:uid="{E0208EAE-76C0-450F-BB5F-98F041F00905}" name="Spalte11740"/>
    <tableColumn id="11758" xr3:uid="{66D6C2FB-6E8E-45F9-9275-E270C7CCBF0D}" name="Spalte11741"/>
    <tableColumn id="11759" xr3:uid="{F865B3D6-2B57-4D94-B9FC-649763517B74}" name="Spalte11742"/>
    <tableColumn id="11760" xr3:uid="{B31B0863-BB44-4028-9242-901751E8B0BF}" name="Spalte11743"/>
    <tableColumn id="11761" xr3:uid="{7B8663D1-8229-4B1E-8D71-1FFAC707B0C0}" name="Spalte11744"/>
    <tableColumn id="11762" xr3:uid="{1FCBA3F5-E50D-485C-87F5-86E4BC166B58}" name="Spalte11745"/>
    <tableColumn id="11763" xr3:uid="{21EC33B3-BD13-42C8-AF97-C151A1CE1584}" name="Spalte11746"/>
    <tableColumn id="11764" xr3:uid="{22031757-160F-467A-8C6A-E52E51A44C33}" name="Spalte11747"/>
    <tableColumn id="11765" xr3:uid="{0D6A509F-D2CF-4294-9F5E-AE6BF41F3DB4}" name="Spalte11748"/>
    <tableColumn id="11766" xr3:uid="{176F4B03-5424-4AD1-A60E-FD47EB41AE4A}" name="Spalte11749"/>
    <tableColumn id="11767" xr3:uid="{8BF30DCD-B84B-48CA-8443-B45063909A44}" name="Spalte11750"/>
    <tableColumn id="11768" xr3:uid="{5A208379-F41F-4A4E-83B9-21907E6FEE0B}" name="Spalte11751"/>
    <tableColumn id="11769" xr3:uid="{62048D96-C265-4F41-9EF1-70BA8D24D37C}" name="Spalte11752"/>
    <tableColumn id="11770" xr3:uid="{496A3EE5-804B-4FAC-968D-21521D182EF7}" name="Spalte11753"/>
    <tableColumn id="11771" xr3:uid="{B9E8499D-F645-42BB-8008-B3FF170D0B23}" name="Spalte11754"/>
    <tableColumn id="11772" xr3:uid="{D7C38622-5B92-453B-AE3E-3E1616006080}" name="Spalte11755"/>
    <tableColumn id="11773" xr3:uid="{475E1CC6-0EA1-4D51-BB88-A3099E63A97D}" name="Spalte11756"/>
    <tableColumn id="11774" xr3:uid="{10F363F8-BFD7-44F8-954A-10CBAE821F72}" name="Spalte11757"/>
    <tableColumn id="11775" xr3:uid="{3FC1B964-A222-4815-B7A0-3FC17BAAE483}" name="Spalte11758"/>
    <tableColumn id="11776" xr3:uid="{4667D628-E64D-448C-A979-690B2845315B}" name="Spalte11759"/>
    <tableColumn id="11777" xr3:uid="{F3B7CB6C-60AD-42B6-A1BF-A2257E3A9FE6}" name="Spalte11760"/>
    <tableColumn id="11778" xr3:uid="{A8FFBCF9-65E7-408E-B5C9-9821B4E1E71E}" name="Spalte11761"/>
    <tableColumn id="11779" xr3:uid="{94A37642-3E29-44F6-A3FA-CD4EAE81FF24}" name="Spalte11762"/>
    <tableColumn id="11780" xr3:uid="{F870AEC1-9597-4CAF-A554-E5786E3A98B2}" name="Spalte11763"/>
    <tableColumn id="11781" xr3:uid="{9D9A15AE-77B3-46AE-9528-F65F25F2A432}" name="Spalte11764"/>
    <tableColumn id="11782" xr3:uid="{3F3F5786-88D7-4F87-85BA-4108BE3654B4}" name="Spalte11765"/>
    <tableColumn id="11783" xr3:uid="{630EF0BE-1463-482F-89EC-088D5B9F1F06}" name="Spalte11766"/>
    <tableColumn id="11784" xr3:uid="{B5233B86-5786-42C4-BAAE-7161FEAF1232}" name="Spalte11767"/>
    <tableColumn id="11785" xr3:uid="{2FA7DC5B-B330-4B20-95A9-5D2B48751A93}" name="Spalte11768"/>
    <tableColumn id="11786" xr3:uid="{0D909BDB-5F68-4BE6-8FE2-833098A6FED9}" name="Spalte11769"/>
    <tableColumn id="11787" xr3:uid="{D40B23C1-8ACF-4471-B528-4C3400527CCF}" name="Spalte11770"/>
    <tableColumn id="11788" xr3:uid="{86B97415-D576-493A-BE93-717D494A9B22}" name="Spalte11771"/>
    <tableColumn id="11789" xr3:uid="{B2751AFD-D825-4F0D-9003-4E0AE019C408}" name="Spalte11772"/>
    <tableColumn id="11790" xr3:uid="{10F7E4A4-3BAA-4AA3-B653-E28631250398}" name="Spalte11773"/>
    <tableColumn id="11791" xr3:uid="{67EBD553-12B1-4D59-9DE4-F51A603D220E}" name="Spalte11774"/>
    <tableColumn id="11792" xr3:uid="{AECBF2F0-59CB-498B-B17E-F625EC8C0AE9}" name="Spalte11775"/>
    <tableColumn id="11793" xr3:uid="{E62745B0-3D80-4A2B-8250-35775A98B983}" name="Spalte11776"/>
    <tableColumn id="11794" xr3:uid="{F2FDB4F1-3A76-496C-80FA-7D389862C774}" name="Spalte11777"/>
    <tableColumn id="11795" xr3:uid="{AB677421-F4D6-42D2-A531-E2AAE3C90BC3}" name="Spalte11778"/>
    <tableColumn id="11796" xr3:uid="{FE6915D5-20E9-42CB-A9AA-0FD163112550}" name="Spalte11779"/>
    <tableColumn id="11797" xr3:uid="{0DEDAF66-47B3-408A-AB66-78920305C80F}" name="Spalte11780"/>
    <tableColumn id="11798" xr3:uid="{F1570D5C-7801-49EB-849D-AD54F9166A39}" name="Spalte11781"/>
    <tableColumn id="11799" xr3:uid="{078AD288-122E-4983-9FD5-912B5BB03E4D}" name="Spalte11782"/>
    <tableColumn id="11800" xr3:uid="{F39EA775-69D9-4B4C-A3B6-FD877E88AD65}" name="Spalte11783"/>
    <tableColumn id="11801" xr3:uid="{A781CC31-30C3-40C1-8076-153AED970C59}" name="Spalte11784"/>
    <tableColumn id="11802" xr3:uid="{551363E8-A9EE-486B-B742-43A19F7750CD}" name="Spalte11785"/>
    <tableColumn id="11803" xr3:uid="{B19D1F1A-0A22-4271-8937-A463C4A1D3A7}" name="Spalte11786"/>
    <tableColumn id="11804" xr3:uid="{F1572072-2BD5-4787-81B6-EAB4FFD47C0F}" name="Spalte11787"/>
    <tableColumn id="11805" xr3:uid="{25C7F050-692C-491C-B555-A76C8B485C79}" name="Spalte11788"/>
    <tableColumn id="11806" xr3:uid="{2F4456BA-F749-4D35-BAC5-23B9ED5A16D5}" name="Spalte11789"/>
    <tableColumn id="11807" xr3:uid="{F5C5F019-84E1-427D-B264-D33CDF966182}" name="Spalte11790"/>
    <tableColumn id="11808" xr3:uid="{599E4F2A-8FA2-4B57-8AEE-C881407A1942}" name="Spalte11791"/>
    <tableColumn id="11809" xr3:uid="{DDBC49E4-F331-40AC-988E-FF4F68964EE5}" name="Spalte11792"/>
    <tableColumn id="11810" xr3:uid="{F9FB6501-6734-48BF-B9D6-3D55F43ACE7A}" name="Spalte11793"/>
    <tableColumn id="11811" xr3:uid="{2A6BB6AC-7CE8-4E44-A1A5-8F0D866B67B5}" name="Spalte11794"/>
    <tableColumn id="11812" xr3:uid="{ACFCE24A-60B9-4C62-883D-2FC7AD2646D2}" name="Spalte11795"/>
    <tableColumn id="11813" xr3:uid="{E63AE7DF-DD19-4432-B696-BDAE46D8CB06}" name="Spalte11796"/>
    <tableColumn id="11814" xr3:uid="{BE97E43D-B32E-4CF3-9645-D055AF7F6003}" name="Spalte11797"/>
    <tableColumn id="11815" xr3:uid="{73F24E7F-D0B7-4966-BE33-8E165628BA12}" name="Spalte11798"/>
    <tableColumn id="11816" xr3:uid="{974AF9A7-AC0D-459B-9B10-510DE640C48A}" name="Spalte11799"/>
    <tableColumn id="11817" xr3:uid="{E4A0DC46-0104-49E7-9A54-52DD3B3D0BF4}" name="Spalte11800"/>
    <tableColumn id="11818" xr3:uid="{A9BFB169-F9C6-4643-8D45-86E6678FA6B4}" name="Spalte11801"/>
    <tableColumn id="11819" xr3:uid="{0D3FFE33-9C05-40EC-B9EB-9CDAEAF88069}" name="Spalte11802"/>
    <tableColumn id="11820" xr3:uid="{EAE0D6EE-E854-488C-9611-A41E9E647CE1}" name="Spalte11803"/>
    <tableColumn id="11821" xr3:uid="{F559BB80-7E6E-4C2B-8B17-EABD8122D7BA}" name="Spalte11804"/>
    <tableColumn id="11822" xr3:uid="{288841F1-869A-454D-847D-1C54082CC009}" name="Spalte11805"/>
    <tableColumn id="11823" xr3:uid="{3C3FD93D-C6EF-4CF3-A2D6-F98C3B03138E}" name="Spalte11806"/>
    <tableColumn id="11824" xr3:uid="{45E8ECE7-1A68-45C5-AF31-9EBD43EEE00A}" name="Spalte11807"/>
    <tableColumn id="11825" xr3:uid="{F3C533A0-5DFA-4307-B43B-A80140D38DAB}" name="Spalte11808"/>
    <tableColumn id="11826" xr3:uid="{FD070607-68EC-4A6C-A4EC-F9F231A9C41D}" name="Spalte11809"/>
    <tableColumn id="11827" xr3:uid="{66A6B30F-66C6-4BA7-9481-D911274AD83E}" name="Spalte11810"/>
    <tableColumn id="11828" xr3:uid="{15DFACD7-2221-4FE4-8703-CC09B4345672}" name="Spalte11811"/>
    <tableColumn id="11829" xr3:uid="{8E63EE44-3246-4885-ABB7-600A4E2B2F6C}" name="Spalte11812"/>
    <tableColumn id="11830" xr3:uid="{77766733-D0D7-41CF-999F-3F04C5CE7D2A}" name="Spalte11813"/>
    <tableColumn id="11831" xr3:uid="{16BE01CF-F235-4F7E-80B6-88D5198FA566}" name="Spalte11814"/>
    <tableColumn id="11832" xr3:uid="{B1578F3B-FF85-4150-ADE5-39E79DA93338}" name="Spalte11815"/>
    <tableColumn id="11833" xr3:uid="{73FF5969-18CF-4531-9263-EFA7A7DFDD17}" name="Spalte11816"/>
    <tableColumn id="11834" xr3:uid="{E6D2C546-0676-4FAA-95CD-94CA4C4EA02F}" name="Spalte11817"/>
    <tableColumn id="11835" xr3:uid="{4E378FAB-0AA9-4E8D-9510-7AFE43D59501}" name="Spalte11818"/>
    <tableColumn id="11836" xr3:uid="{56B0AA64-F95B-496D-A754-02AA1C7EBCAD}" name="Spalte11819"/>
    <tableColumn id="11837" xr3:uid="{DB4424D7-0E86-4178-BC46-41BD1E97065E}" name="Spalte11820"/>
    <tableColumn id="11838" xr3:uid="{C1511F45-D00B-46D4-ADBC-ACD5DEBE7FED}" name="Spalte11821"/>
    <tableColumn id="11839" xr3:uid="{1ABEF120-A95B-4DDB-A0AD-EA3D22D6B271}" name="Spalte11822"/>
    <tableColumn id="11840" xr3:uid="{9A863778-326B-426E-B29C-C017FF84A4BB}" name="Spalte11823"/>
    <tableColumn id="11841" xr3:uid="{E5A5F275-CFCA-4C9A-8FC6-A75BA8FA02C7}" name="Spalte11824"/>
    <tableColumn id="11842" xr3:uid="{39419007-F081-4E99-B3E7-0AD5683E20EA}" name="Spalte11825"/>
    <tableColumn id="11843" xr3:uid="{2776804E-86BB-4D74-A805-A7768D2EE146}" name="Spalte11826"/>
    <tableColumn id="11844" xr3:uid="{A88BF5BF-BEDC-4B86-919C-D1CB9C2EB942}" name="Spalte11827"/>
    <tableColumn id="11845" xr3:uid="{3738A82E-A0A1-4D5C-A9ED-78CF02BD41A4}" name="Spalte11828"/>
    <tableColumn id="11846" xr3:uid="{1FB94E25-FB93-4521-A4EF-9339F0917A40}" name="Spalte11829"/>
    <tableColumn id="11847" xr3:uid="{815DCCB6-7B05-4584-A385-E09B21789D1D}" name="Spalte11830"/>
    <tableColumn id="11848" xr3:uid="{DD9E31CA-D190-44E8-AD70-24FFE255C548}" name="Spalte11831"/>
    <tableColumn id="11849" xr3:uid="{30AEB25B-1EAD-4AEA-BE6F-4A39C18B4945}" name="Spalte11832"/>
    <tableColumn id="11850" xr3:uid="{CDD347DD-DFE8-4EA5-8C0E-061EE0F6F4DE}" name="Spalte11833"/>
    <tableColumn id="11851" xr3:uid="{C8CA82CA-0327-44D2-AF4A-4035D00724FE}" name="Spalte11834"/>
    <tableColumn id="11852" xr3:uid="{8531E1F5-1C00-44E3-AD7F-503DE796353E}" name="Spalte11835"/>
    <tableColumn id="11853" xr3:uid="{01608E0D-3262-47C3-AE80-76048E4D4515}" name="Spalte11836"/>
    <tableColumn id="11854" xr3:uid="{10DABDC8-272A-4F3D-9BE4-DB383AD0CFB2}" name="Spalte11837"/>
    <tableColumn id="11855" xr3:uid="{B42EDD2F-AA97-4845-83AF-5A543FE01841}" name="Spalte11838"/>
    <tableColumn id="11856" xr3:uid="{06576DEC-0B9C-434B-8BC6-7FDE13519236}" name="Spalte11839"/>
    <tableColumn id="11857" xr3:uid="{07C86870-56F1-4CF9-817C-F1EEA6E903F5}" name="Spalte11840"/>
    <tableColumn id="11858" xr3:uid="{D659A9F2-869E-4106-861C-6EF11BB40286}" name="Spalte11841"/>
    <tableColumn id="11859" xr3:uid="{F8407D39-11C7-46AF-B0FD-AA217A70074B}" name="Spalte11842"/>
    <tableColumn id="11860" xr3:uid="{F14CFDF1-D3C4-46B2-BB80-B423070CB293}" name="Spalte11843"/>
    <tableColumn id="11861" xr3:uid="{8FAEFC91-C949-43E6-82AB-E1BAF121E705}" name="Spalte11844"/>
    <tableColumn id="11862" xr3:uid="{1F410AEF-CD5F-48C5-8780-43492B7148B8}" name="Spalte11845"/>
    <tableColumn id="11863" xr3:uid="{AC3157EF-8A80-4E01-9B4D-A2FB6D1DD51D}" name="Spalte11846"/>
    <tableColumn id="11864" xr3:uid="{F9B5DBD2-80E4-4D97-8C15-DFA6DB2E9EA1}" name="Spalte11847"/>
    <tableColumn id="11865" xr3:uid="{C705B283-33B3-447F-9BE2-17B6AC91DC11}" name="Spalte11848"/>
    <tableColumn id="11866" xr3:uid="{7F2BD620-95CF-44C9-B746-4CA9ECF30E17}" name="Spalte11849"/>
    <tableColumn id="11867" xr3:uid="{F7E70775-EC0A-4586-9070-890D24368375}" name="Spalte11850"/>
    <tableColumn id="11868" xr3:uid="{CDAC4A32-0D9A-42A4-9F5A-D7DA0280A685}" name="Spalte11851"/>
    <tableColumn id="11869" xr3:uid="{7486AFA3-8300-4888-8AAA-06C7E768315B}" name="Spalte11852"/>
    <tableColumn id="11870" xr3:uid="{83D9D8F1-AEA0-40B6-8D9F-1AD7197FD9AD}" name="Spalte11853"/>
    <tableColumn id="11871" xr3:uid="{76D53255-2C8E-4771-B1EA-747B2AB75760}" name="Spalte11854"/>
    <tableColumn id="11872" xr3:uid="{C479E5CB-2C02-4533-9D08-909C6DA01116}" name="Spalte11855"/>
    <tableColumn id="11873" xr3:uid="{A6F7F45F-871B-4344-AC5B-EA5A155BB9AE}" name="Spalte11856"/>
    <tableColumn id="11874" xr3:uid="{DD9BF38A-C1D7-47FF-BD06-7AF1349C77F8}" name="Spalte11857"/>
    <tableColumn id="11875" xr3:uid="{41574D43-F791-4992-A079-C78EC10CACB8}" name="Spalte11858"/>
    <tableColumn id="11876" xr3:uid="{C86A38FF-8F1F-4CF2-B90F-916E95F95405}" name="Spalte11859"/>
    <tableColumn id="11877" xr3:uid="{565C741F-6EEF-4370-9D03-75F70786F43A}" name="Spalte11860"/>
    <tableColumn id="11878" xr3:uid="{F66CBDCC-AAD9-4547-A70D-04FCDB29F746}" name="Spalte11861"/>
    <tableColumn id="11879" xr3:uid="{B4991DEF-D671-48C4-ADA4-E82E6AF3CE2E}" name="Spalte11862"/>
    <tableColumn id="11880" xr3:uid="{34CB2307-EE60-49D9-A6D5-23C51A31A17E}" name="Spalte11863"/>
    <tableColumn id="11881" xr3:uid="{DB9BCE05-45EA-4844-9A22-629602E882CA}" name="Spalte11864"/>
    <tableColumn id="11882" xr3:uid="{2EFAE991-FBF7-4E7A-9E63-CA2D6D579479}" name="Spalte11865"/>
    <tableColumn id="11883" xr3:uid="{9EBEC95B-2BC4-44EF-9BC5-0B8FDF2AD4CD}" name="Spalte11866"/>
    <tableColumn id="11884" xr3:uid="{A0396C8D-2EA2-4CC6-8551-8752C57742AF}" name="Spalte11867"/>
    <tableColumn id="11885" xr3:uid="{A4674170-3AEA-41AC-B9D6-BACCB4D80C52}" name="Spalte11868"/>
    <tableColumn id="11886" xr3:uid="{33F7AF37-9D7E-4C41-96FB-6C0639A52039}" name="Spalte11869"/>
    <tableColumn id="11887" xr3:uid="{232236DE-8B4C-412C-9707-553023F51204}" name="Spalte11870"/>
    <tableColumn id="11888" xr3:uid="{8A6D1497-95F2-4924-A2D3-B7DA4D694675}" name="Spalte11871"/>
    <tableColumn id="11889" xr3:uid="{C1EE4C6C-4369-4A0C-AE18-7514BA58DD69}" name="Spalte11872"/>
    <tableColumn id="11890" xr3:uid="{1F012F0F-7DAB-4F28-A665-AA5E77199D06}" name="Spalte11873"/>
    <tableColumn id="11891" xr3:uid="{FD6226CE-2471-4EEB-9E0E-8F4D87FB69D2}" name="Spalte11874"/>
    <tableColumn id="11892" xr3:uid="{CF43F058-8E0A-4876-9500-EA207521E448}" name="Spalte11875"/>
    <tableColumn id="11893" xr3:uid="{860789B8-406F-4507-BC0E-04F5125B4D1F}" name="Spalte11876"/>
    <tableColumn id="11894" xr3:uid="{78192538-AB5B-4ADD-8E48-DC31DB46CA91}" name="Spalte11877"/>
    <tableColumn id="11895" xr3:uid="{25B19918-960F-4904-B0D8-1FC5B40429B4}" name="Spalte11878"/>
    <tableColumn id="11896" xr3:uid="{812410E2-8A59-436A-93A8-F7AB571E7A76}" name="Spalte11879"/>
    <tableColumn id="11897" xr3:uid="{E5261026-B6ED-4ED0-B011-DC22F3FF5AE7}" name="Spalte11880"/>
    <tableColumn id="11898" xr3:uid="{0DC6EB8C-9564-4EE2-945A-12A8D5A82AF4}" name="Spalte11881"/>
    <tableColumn id="11899" xr3:uid="{591EB5CB-62BF-49E1-91C4-38D05388C41F}" name="Spalte11882"/>
    <tableColumn id="11900" xr3:uid="{66BD0A97-74EE-4750-B9AE-2C1F405881A8}" name="Spalte11883"/>
    <tableColumn id="11901" xr3:uid="{E273FB00-4ABF-40B4-A77F-86517FE50387}" name="Spalte11884"/>
    <tableColumn id="11902" xr3:uid="{5E4BAEBA-62BB-40D6-9CEF-E0CC8FC3D4A9}" name="Spalte11885"/>
    <tableColumn id="11903" xr3:uid="{D2831A88-DCC9-49FA-B493-53AB9C860F9C}" name="Spalte11886"/>
    <tableColumn id="11904" xr3:uid="{168BE1BC-F798-43DF-B210-D0E7F4EB769E}" name="Spalte11887"/>
    <tableColumn id="11905" xr3:uid="{94C9E725-5C7B-4DD7-BECF-4316E8C3A1B4}" name="Spalte11888"/>
    <tableColumn id="11906" xr3:uid="{7B9C2999-D89D-4AEA-A961-63E8FA4E6D41}" name="Spalte11889"/>
    <tableColumn id="11907" xr3:uid="{7C030BD3-65CC-4A4B-B0D4-D6E93F03469D}" name="Spalte11890"/>
    <tableColumn id="11908" xr3:uid="{C740EDF4-78BA-414E-B3CD-11881D9A4D88}" name="Spalte11891"/>
    <tableColumn id="11909" xr3:uid="{931DAA80-F54D-40E5-B001-ED159889A268}" name="Spalte11892"/>
    <tableColumn id="11910" xr3:uid="{26D1FE49-1546-4353-9ADC-6511BAA51562}" name="Spalte11893"/>
    <tableColumn id="11911" xr3:uid="{4D2BBE69-F7A6-457A-90E4-899751BF317D}" name="Spalte11894"/>
    <tableColumn id="11912" xr3:uid="{699A9A3D-8144-42BC-8C31-BDCAABF9BC2E}" name="Spalte11895"/>
    <tableColumn id="11913" xr3:uid="{0C3168C0-1EC6-4530-A1E5-5FA4AAB449A0}" name="Spalte11896"/>
    <tableColumn id="11914" xr3:uid="{DD13D7F8-33A4-4DC8-84D3-A85318F137E0}" name="Spalte11897"/>
    <tableColumn id="11915" xr3:uid="{3783DDC9-E19A-4D74-B163-FD75D062DB05}" name="Spalte11898"/>
    <tableColumn id="11916" xr3:uid="{EA9DBE09-2C5B-4281-93E4-EDD3781A42AF}" name="Spalte11899"/>
    <tableColumn id="11917" xr3:uid="{C50E4A5B-8D87-4FAA-87E1-38C381A338E7}" name="Spalte11900"/>
    <tableColumn id="11918" xr3:uid="{59D48697-6C4B-4BDA-B70A-5FF3CA12E991}" name="Spalte11901"/>
    <tableColumn id="11919" xr3:uid="{E4CDEF49-7E70-4C00-AA8D-CD7352AAF911}" name="Spalte11902"/>
    <tableColumn id="11920" xr3:uid="{49EC736A-A0A4-4CB6-AFF9-B1DDEE8D04D7}" name="Spalte11903"/>
    <tableColumn id="11921" xr3:uid="{69B80FB1-244E-4E66-B33C-AD0B71526A6B}" name="Spalte11904"/>
    <tableColumn id="11922" xr3:uid="{8E27FC16-836C-4169-AA08-4BCCBA46D9D0}" name="Spalte11905"/>
    <tableColumn id="11923" xr3:uid="{D9C614E5-2FD7-4801-9091-56327F76B005}" name="Spalte11906"/>
    <tableColumn id="11924" xr3:uid="{5A62F7E1-D9B4-49F7-A755-9F3262312CE3}" name="Spalte11907"/>
    <tableColumn id="11925" xr3:uid="{7C74C2DF-B9B5-46E8-8832-6F43A70499D1}" name="Spalte11908"/>
    <tableColumn id="11926" xr3:uid="{035C9FA6-7F19-40EC-9FEE-22DCFCF1CC43}" name="Spalte11909"/>
    <tableColumn id="11927" xr3:uid="{CEBEDCAC-A3FE-467E-9DD0-B54F324D63C6}" name="Spalte11910"/>
    <tableColumn id="11928" xr3:uid="{576812B6-CFBF-4734-8EB1-764B35450050}" name="Spalte11911"/>
    <tableColumn id="11929" xr3:uid="{A3691356-458C-4469-907D-EF7183A4E37B}" name="Spalte11912"/>
    <tableColumn id="11930" xr3:uid="{1C9DC28A-E53D-4208-BBC8-E4A92C47A7D6}" name="Spalte11913"/>
    <tableColumn id="11931" xr3:uid="{F93D59CF-BAB0-4530-B809-0BB3C618714B}" name="Spalte11914"/>
    <tableColumn id="11932" xr3:uid="{D83ECAC9-A817-4979-A76C-9F4612747938}" name="Spalte11915"/>
    <tableColumn id="11933" xr3:uid="{795D816B-10C0-48D5-9266-08ED140CF623}" name="Spalte11916"/>
    <tableColumn id="11934" xr3:uid="{E2E715D2-B4CA-4DF6-B10A-96AB411C25C6}" name="Spalte11917"/>
    <tableColumn id="11935" xr3:uid="{09A60FC0-F1A9-414D-9135-BB0F10E37895}" name="Spalte11918"/>
    <tableColumn id="11936" xr3:uid="{613629DD-8289-4A40-BBBB-0507D79AE69E}" name="Spalte11919"/>
    <tableColumn id="11937" xr3:uid="{5B973873-7D22-44D2-A63F-737D896BDAA5}" name="Spalte11920"/>
    <tableColumn id="11938" xr3:uid="{82828853-2123-4921-BE7E-C651A0F00A34}" name="Spalte11921"/>
    <tableColumn id="11939" xr3:uid="{A7480561-5A02-4AAE-A514-75228A9AF133}" name="Spalte11922"/>
    <tableColumn id="11940" xr3:uid="{874C8596-79AD-4174-9EB2-55D5124E26E6}" name="Spalte11923"/>
    <tableColumn id="11941" xr3:uid="{1F5B1A2A-E234-474E-9D78-4786FA40D7AD}" name="Spalte11924"/>
    <tableColumn id="11942" xr3:uid="{49165C6E-478E-482B-A1B0-BC848A54C780}" name="Spalte11925"/>
    <tableColumn id="11943" xr3:uid="{B9CA50B0-D48F-4629-A76A-15FBDFA10826}" name="Spalte11926"/>
    <tableColumn id="11944" xr3:uid="{3D402927-1592-404C-9237-7FAB1215FE81}" name="Spalte11927"/>
    <tableColumn id="11945" xr3:uid="{D4537117-1D67-4A4E-A47B-BBDD78BA242B}" name="Spalte11928"/>
    <tableColumn id="11946" xr3:uid="{CF61D422-A75F-4E4F-8D9E-80E6A9371103}" name="Spalte11929"/>
    <tableColumn id="11947" xr3:uid="{7A502E89-5825-4253-9DF9-D9BB23E8E62E}" name="Spalte11930"/>
    <tableColumn id="11948" xr3:uid="{249F2077-7BD0-452A-955C-DF754CD2AAAC}" name="Spalte11931"/>
    <tableColumn id="11949" xr3:uid="{D75D79FB-B4CB-4515-9980-6130BA9B9D45}" name="Spalte11932"/>
    <tableColumn id="11950" xr3:uid="{ACF65F3C-6272-44A1-9D64-A62415063204}" name="Spalte11933"/>
    <tableColumn id="11951" xr3:uid="{B96DD121-2927-4497-8307-7292E3EFBB23}" name="Spalte11934"/>
    <tableColumn id="11952" xr3:uid="{D647D60D-4641-4A5A-B09C-E9070CD4470E}" name="Spalte11935"/>
    <tableColumn id="11953" xr3:uid="{5EE4ADE8-8334-44CF-A650-04002D649B92}" name="Spalte11936"/>
    <tableColumn id="11954" xr3:uid="{87DB9228-E711-4389-B0B4-053A5C2D81B0}" name="Spalte11937"/>
    <tableColumn id="11955" xr3:uid="{54CE523C-B4DC-4E50-B1FF-4A9484862F94}" name="Spalte11938"/>
    <tableColumn id="11956" xr3:uid="{D28C915A-21E2-418B-AA6C-286FDC264E5F}" name="Spalte11939"/>
    <tableColumn id="11957" xr3:uid="{3EC2708B-065F-41BD-91F5-393A40AEA66F}" name="Spalte11940"/>
    <tableColumn id="11958" xr3:uid="{4D68E979-971E-4B24-8583-4A55B712C115}" name="Spalte11941"/>
    <tableColumn id="11959" xr3:uid="{6D315B70-4A2C-4265-A769-58EB6716D019}" name="Spalte11942"/>
    <tableColumn id="11960" xr3:uid="{6E74F930-1C81-4505-A975-2C20818A7FBF}" name="Spalte11943"/>
    <tableColumn id="11961" xr3:uid="{2E3E5B6D-0C13-4F4B-B459-EC243616B7A4}" name="Spalte11944"/>
    <tableColumn id="11962" xr3:uid="{051D1642-B843-46A4-BCCD-70BD25D42A9A}" name="Spalte11945"/>
    <tableColumn id="11963" xr3:uid="{960A60EE-CAE8-41AC-B38E-0057F3152333}" name="Spalte11946"/>
    <tableColumn id="11964" xr3:uid="{D028102B-89F4-4EEA-A7AB-0E730117A61D}" name="Spalte11947"/>
    <tableColumn id="11965" xr3:uid="{0E15ACFB-E481-470A-A5BC-D53434A74775}" name="Spalte11948"/>
    <tableColumn id="11966" xr3:uid="{0E16F325-CCED-4F85-8C83-39E249919D53}" name="Spalte11949"/>
    <tableColumn id="11967" xr3:uid="{3A63D3A2-C8B8-4BDA-A701-B4AB1C725D7F}" name="Spalte11950"/>
    <tableColumn id="11968" xr3:uid="{5375B1F8-F5EA-419B-94B8-D00227C38E6D}" name="Spalte11951"/>
    <tableColumn id="11969" xr3:uid="{99B5B472-6795-4E5B-B596-484BACF8D961}" name="Spalte11952"/>
    <tableColumn id="11970" xr3:uid="{C7037A3F-B227-4E65-9718-77259774C1E8}" name="Spalte11953"/>
    <tableColumn id="11971" xr3:uid="{9B7CFCFE-32F7-481D-BD7E-D5D0D130A479}" name="Spalte11954"/>
    <tableColumn id="11972" xr3:uid="{3700C8AD-C6BB-4734-A95A-6C6ECA73E0D1}" name="Spalte11955"/>
    <tableColumn id="11973" xr3:uid="{42D75006-ADDB-49DA-91DC-E790B40A4C50}" name="Spalte11956"/>
    <tableColumn id="11974" xr3:uid="{AD8F1268-33F3-4566-90D6-D2B8F4869D16}" name="Spalte11957"/>
    <tableColumn id="11975" xr3:uid="{CDBEE0DD-09BC-4750-BAE6-37C459F516C3}" name="Spalte11958"/>
    <tableColumn id="11976" xr3:uid="{980C1C85-69C1-4A54-AFDA-300D436EB46E}" name="Spalte11959"/>
    <tableColumn id="11977" xr3:uid="{6A62042D-A893-4A06-9DF5-7A960C14A238}" name="Spalte11960"/>
    <tableColumn id="11978" xr3:uid="{DF06ED33-961C-49A9-B263-2E057C64A5EA}" name="Spalte11961"/>
    <tableColumn id="11979" xr3:uid="{E05C261C-9186-4C08-8EC1-EEB79CF1657A}" name="Spalte11962"/>
    <tableColumn id="11980" xr3:uid="{A238A286-CA3F-48D0-8306-3FBD1DB42120}" name="Spalte11963"/>
    <tableColumn id="11981" xr3:uid="{E8C07DAB-830D-4144-AA06-924D63F92DEC}" name="Spalte11964"/>
    <tableColumn id="11982" xr3:uid="{5DE7CC12-9285-445C-AD7A-A2AFAFB39D5A}" name="Spalte11965"/>
    <tableColumn id="11983" xr3:uid="{16D9E397-2593-4D69-9C36-8D83B343A1B8}" name="Spalte11966"/>
    <tableColumn id="11984" xr3:uid="{F6322473-15E7-4EE2-A531-549F0151D265}" name="Spalte11967"/>
    <tableColumn id="11985" xr3:uid="{B8DAC0F5-C97B-4558-904A-1E31CDAC2075}" name="Spalte11968"/>
    <tableColumn id="11986" xr3:uid="{5A93EF24-1F6A-46E5-B10A-CCDF7347BE69}" name="Spalte11969"/>
    <tableColumn id="11987" xr3:uid="{346C66C3-6ACF-4D74-B6F7-E3448A126A41}" name="Spalte11970"/>
    <tableColumn id="11988" xr3:uid="{65676323-8B04-4BA5-B318-3E179BB63EB9}" name="Spalte11971"/>
    <tableColumn id="11989" xr3:uid="{2EAEF647-C0D5-48BD-AF03-1D2E84FC3984}" name="Spalte11972"/>
    <tableColumn id="11990" xr3:uid="{19DD52F1-F854-4FB7-8134-58444F5F3BAE}" name="Spalte11973"/>
    <tableColumn id="11991" xr3:uid="{AFA92FC1-46C6-45BE-85FE-7AC563735839}" name="Spalte11974"/>
    <tableColumn id="11992" xr3:uid="{998F24E5-EE20-4A28-8CED-FF33FDEC5497}" name="Spalte11975"/>
    <tableColumn id="11993" xr3:uid="{3201E437-79E7-4CB9-BF9C-04458E1F964C}" name="Spalte11976"/>
    <tableColumn id="11994" xr3:uid="{F2F3DF4D-6F89-420B-90AF-28D8B0C3728D}" name="Spalte11977"/>
    <tableColumn id="11995" xr3:uid="{E766D782-040C-42A9-9DBB-FFE13FEAA4F5}" name="Spalte11978"/>
    <tableColumn id="11996" xr3:uid="{43427139-165D-4A2A-BC99-B2A5A3434481}" name="Spalte11979"/>
    <tableColumn id="11997" xr3:uid="{745BB43B-373B-438A-AD2A-FC62217A0947}" name="Spalte11980"/>
    <tableColumn id="11998" xr3:uid="{2B2943C5-14B5-4A70-9DCF-B64B38060D6F}" name="Spalte11981"/>
    <tableColumn id="11999" xr3:uid="{4023B5EE-09B7-4344-98BC-B5B38066E05F}" name="Spalte11982"/>
    <tableColumn id="12000" xr3:uid="{1A83EEAC-56D5-46D2-9A3B-E4B8F386B1A5}" name="Spalte11983"/>
    <tableColumn id="12001" xr3:uid="{389267BB-8226-46EC-9841-4A1EB09D8C15}" name="Spalte11984"/>
    <tableColumn id="12002" xr3:uid="{A274DE20-0EE8-43EC-B7F1-B604C73DE924}" name="Spalte11985"/>
    <tableColumn id="12003" xr3:uid="{F7BE0526-8E45-4145-8AF6-4CFA7B3DCAF4}" name="Spalte11986"/>
    <tableColumn id="12004" xr3:uid="{1882E92A-A533-4EE1-9BF6-F13A780A0CA0}" name="Spalte11987"/>
    <tableColumn id="12005" xr3:uid="{E47DC9C3-5368-418E-BF60-1607437701BA}" name="Spalte11988"/>
    <tableColumn id="12006" xr3:uid="{AE1E9EF6-21B7-41DF-9438-E8B1CBC0CCBF}" name="Spalte11989"/>
    <tableColumn id="12007" xr3:uid="{E6711606-0620-4817-A716-64A8C0E28324}" name="Spalte11990"/>
    <tableColumn id="12008" xr3:uid="{09774A2B-8E33-42AB-948B-8B70CDB57FC0}" name="Spalte11991"/>
    <tableColumn id="12009" xr3:uid="{2838C633-5B58-4352-9C2E-3E6A894AA8AC}" name="Spalte11992"/>
    <tableColumn id="12010" xr3:uid="{BBFFE01D-967E-46D3-BE23-9B4F36E6D5D3}" name="Spalte11993"/>
    <tableColumn id="12011" xr3:uid="{8701CE8E-4AE3-4DC9-93BA-FB33BD200F07}" name="Spalte11994"/>
    <tableColumn id="12012" xr3:uid="{9A68A9B1-2A8E-48E6-A3DF-ECF88AE6AD0F}" name="Spalte11995"/>
    <tableColumn id="12013" xr3:uid="{8F92A554-4B58-4EBE-801A-507EDAFF73AD}" name="Spalte11996"/>
    <tableColumn id="12014" xr3:uid="{EBA63C30-FD2E-4262-805C-7E81D0990B24}" name="Spalte11997"/>
    <tableColumn id="12015" xr3:uid="{3265295C-2C2F-4199-9265-91EE54FCB663}" name="Spalte11998"/>
    <tableColumn id="12016" xr3:uid="{AF843E2C-492F-462B-BAC5-704F3806D313}" name="Spalte11999"/>
    <tableColumn id="12017" xr3:uid="{073196B0-5FCE-4429-87F6-01CAD95F725D}" name="Spalte12000"/>
    <tableColumn id="12018" xr3:uid="{7F17D7A9-CDA9-4E09-9DCB-459799A1FADD}" name="Spalte12001"/>
    <tableColumn id="12019" xr3:uid="{C891F877-8D49-4C51-93E5-84800C212A2C}" name="Spalte12002"/>
    <tableColumn id="12020" xr3:uid="{388441FC-FABC-4738-BF8E-2D90DAF89AEA}" name="Spalte12003"/>
    <tableColumn id="12021" xr3:uid="{A23B8F97-3299-48B9-BE94-A6CCFF8FE9DA}" name="Spalte12004"/>
    <tableColumn id="12022" xr3:uid="{294F9B73-32FD-496B-B9A0-192505FE1D9F}" name="Spalte12005"/>
    <tableColumn id="12023" xr3:uid="{0AA6AF4B-3AD0-4EC9-B267-990F9CAA65C1}" name="Spalte12006"/>
    <tableColumn id="12024" xr3:uid="{375F5FB5-26E4-47C3-8779-51EF7C27CD4B}" name="Spalte12007"/>
    <tableColumn id="12025" xr3:uid="{AA926BE1-9AFB-4D23-90A1-DCB72357834F}" name="Spalte12008"/>
    <tableColumn id="12026" xr3:uid="{98C36249-DA42-434C-A4A4-3FDE33CF8583}" name="Spalte12009"/>
    <tableColumn id="12027" xr3:uid="{A95315C6-00DC-4C47-8E63-C97FF2FB1760}" name="Spalte12010"/>
    <tableColumn id="12028" xr3:uid="{5B14C70B-541B-4A5E-9D6B-5A2F81B0E002}" name="Spalte12011"/>
    <tableColumn id="12029" xr3:uid="{7904D2E5-F94D-42ED-886C-EF556072D94E}" name="Spalte12012"/>
    <tableColumn id="12030" xr3:uid="{5C7EC37B-EA58-4BF1-ADFE-2C196FC7C9C4}" name="Spalte12013"/>
    <tableColumn id="12031" xr3:uid="{C49B6BF5-F022-44AF-B883-D0D2F080292A}" name="Spalte12014"/>
    <tableColumn id="12032" xr3:uid="{EC376174-226A-48F2-8D35-2F1B16F9693A}" name="Spalte12015"/>
    <tableColumn id="12033" xr3:uid="{0009A165-089F-4DAA-A600-84F7B371E1BC}" name="Spalte12016"/>
    <tableColumn id="12034" xr3:uid="{2180BC75-3E35-46E7-BAC8-9AF7C4877DDC}" name="Spalte12017"/>
    <tableColumn id="12035" xr3:uid="{84E1D3F5-B798-45D1-AC1E-130931BD929D}" name="Spalte12018"/>
    <tableColumn id="12036" xr3:uid="{8D7F56A9-953C-41A9-8FD4-374FB8EECD1B}" name="Spalte12019"/>
    <tableColumn id="12037" xr3:uid="{F6444384-C512-48E7-B2E7-1F8785CC5BE2}" name="Spalte12020"/>
    <tableColumn id="12038" xr3:uid="{D526FA92-4AFA-4F85-829B-664E6B896037}" name="Spalte12021"/>
    <tableColumn id="12039" xr3:uid="{CB9A2A11-FD36-472A-8723-542EEFE76289}" name="Spalte12022"/>
    <tableColumn id="12040" xr3:uid="{7FA6EACC-2E9C-4D3D-A31C-A5999CA519F2}" name="Spalte12023"/>
    <tableColumn id="12041" xr3:uid="{2CA4FF6B-5835-4F7E-A1EB-5194F6565B97}" name="Spalte12024"/>
    <tableColumn id="12042" xr3:uid="{846D536A-D3AC-4714-8775-F4C3F62E83AE}" name="Spalte12025"/>
    <tableColumn id="12043" xr3:uid="{48D9E322-08AD-4334-BA81-0737CBBC629B}" name="Spalte12026"/>
    <tableColumn id="12044" xr3:uid="{72B1E201-6E55-4E65-A2D4-6821E91001D2}" name="Spalte12027"/>
    <tableColumn id="12045" xr3:uid="{A1EF741B-AD73-4E41-9522-28F88B86E8D2}" name="Spalte12028"/>
    <tableColumn id="12046" xr3:uid="{53921B71-F3F6-45B9-B97B-6C55BB5EE138}" name="Spalte12029"/>
    <tableColumn id="12047" xr3:uid="{683F72C5-7C73-4680-8B20-D9C0DB7DDC7F}" name="Spalte12030"/>
    <tableColumn id="12048" xr3:uid="{E2043245-2999-4B69-BCC8-433AB5167E20}" name="Spalte12031"/>
    <tableColumn id="12049" xr3:uid="{357D7545-3AD7-4649-80DA-2C322F3B6825}" name="Spalte12032"/>
    <tableColumn id="12050" xr3:uid="{543EECEA-042A-4658-BC71-59D426187D06}" name="Spalte12033"/>
    <tableColumn id="12051" xr3:uid="{EF91EDD4-3E46-417D-A77E-5897B43EBC1A}" name="Spalte12034"/>
    <tableColumn id="12052" xr3:uid="{4A795855-235D-46B9-AA8B-9EE0D3A0F9C2}" name="Spalte12035"/>
    <tableColumn id="12053" xr3:uid="{4061D5D9-B034-4544-8321-7E94B8A19F74}" name="Spalte12036"/>
    <tableColumn id="12054" xr3:uid="{2C402B77-E8DD-48C5-BDC1-E5EB5D2127F7}" name="Spalte12037"/>
    <tableColumn id="12055" xr3:uid="{FF51DD5F-3E0C-4886-955D-FC392BB23878}" name="Spalte12038"/>
    <tableColumn id="12056" xr3:uid="{7E517B0B-49CD-405E-9C77-045D81DF0D10}" name="Spalte12039"/>
    <tableColumn id="12057" xr3:uid="{04426D79-97DD-4D82-9F3E-72EA5BEB3F43}" name="Spalte12040"/>
    <tableColumn id="12058" xr3:uid="{69BF0763-5CDD-4A06-8126-81F83CBA609E}" name="Spalte12041"/>
    <tableColumn id="12059" xr3:uid="{9A9644AE-F2B5-4760-9E9F-DAC8682C48C9}" name="Spalte12042"/>
    <tableColumn id="12060" xr3:uid="{DAAE3294-D550-4826-84AB-7AF1B5B3922E}" name="Spalte12043"/>
    <tableColumn id="12061" xr3:uid="{8D898306-309C-4918-A4EF-94844EEECC6C}" name="Spalte12044"/>
    <tableColumn id="12062" xr3:uid="{5E4C010A-B198-4AD0-837D-12591251B32C}" name="Spalte12045"/>
    <tableColumn id="12063" xr3:uid="{5DEE4736-E2A6-4FC6-BD37-D7DD9E852EF1}" name="Spalte12046"/>
    <tableColumn id="12064" xr3:uid="{693020FE-5C89-478D-BE5A-9D6A187E6784}" name="Spalte12047"/>
    <tableColumn id="12065" xr3:uid="{69599BBE-B770-47B2-B9C3-EDDBA575CA03}" name="Spalte12048"/>
    <tableColumn id="12066" xr3:uid="{5D13CE02-4728-45FB-B5C0-0BEC57942CEE}" name="Spalte12049"/>
    <tableColumn id="12067" xr3:uid="{7761B9C2-EB9B-48B3-8A34-BED2312A30DD}" name="Spalte12050"/>
    <tableColumn id="12068" xr3:uid="{CBB73CED-C17E-4B0C-83D3-C641C9E9E046}" name="Spalte12051"/>
    <tableColumn id="12069" xr3:uid="{71D522EB-6005-43F1-BD3E-31CC0DF08243}" name="Spalte12052"/>
    <tableColumn id="12070" xr3:uid="{FC6C15C9-D836-4269-A640-D05614EB806C}" name="Spalte12053"/>
    <tableColumn id="12071" xr3:uid="{802FF801-288E-4402-A88F-489A3AA4AC90}" name="Spalte12054"/>
    <tableColumn id="12072" xr3:uid="{6A03E354-C5D4-4E60-B6AB-3B392A024AB0}" name="Spalte12055"/>
    <tableColumn id="12073" xr3:uid="{DA92CE45-D772-4152-ACB4-CDF827231072}" name="Spalte12056"/>
    <tableColumn id="12074" xr3:uid="{13955741-6112-481D-965E-485965B33C15}" name="Spalte12057"/>
    <tableColumn id="12075" xr3:uid="{A1B4A638-B339-4DF6-9FB1-295EBCEECE8B}" name="Spalte12058"/>
    <tableColumn id="12076" xr3:uid="{075BCDA5-42C0-46B1-8D7E-CE7DAB8CDA60}" name="Spalte12059"/>
    <tableColumn id="12077" xr3:uid="{3B85E80C-616C-4397-9841-0C6159DF701C}" name="Spalte12060"/>
    <tableColumn id="12078" xr3:uid="{54EF12F7-7968-4AB3-B4AA-1C68D7CE4A18}" name="Spalte12061"/>
    <tableColumn id="12079" xr3:uid="{47D38304-4117-45AB-AF9C-6CB331924BE6}" name="Spalte12062"/>
    <tableColumn id="12080" xr3:uid="{FAB3C7B7-6162-4703-9BBF-C82AF9176F0A}" name="Spalte12063"/>
    <tableColumn id="12081" xr3:uid="{14C86F7E-0086-40B8-85BF-8F45377DAAFE}" name="Spalte12064"/>
    <tableColumn id="12082" xr3:uid="{273C093A-5FAF-482B-96CB-62B60D8BC9E0}" name="Spalte12065"/>
    <tableColumn id="12083" xr3:uid="{560C351A-D246-439E-8C40-1978902A185D}" name="Spalte12066"/>
    <tableColumn id="12084" xr3:uid="{A1AB1E66-093C-4530-B09A-44D1D76A2754}" name="Spalte12067"/>
    <tableColumn id="12085" xr3:uid="{8AE90CC7-4E20-4960-BD5B-213410E99789}" name="Spalte12068"/>
    <tableColumn id="12086" xr3:uid="{715917B1-96BB-42BF-943D-E12028C89D0F}" name="Spalte12069"/>
    <tableColumn id="12087" xr3:uid="{CEDF4C2E-3672-4E5E-A392-344741E2AB21}" name="Spalte12070"/>
    <tableColumn id="12088" xr3:uid="{D66DB167-A4A1-4666-B1AC-0C04C3A11361}" name="Spalte12071"/>
    <tableColumn id="12089" xr3:uid="{117BB1F7-8E87-45C2-98EB-68D29379241B}" name="Spalte12072"/>
    <tableColumn id="12090" xr3:uid="{D44F452B-44C7-4FCD-A580-C0CEAC69AC2C}" name="Spalte12073"/>
    <tableColumn id="12091" xr3:uid="{FDF08661-24C0-427F-B273-F4E8E12EE736}" name="Spalte12074"/>
    <tableColumn id="12092" xr3:uid="{94010F9D-E909-4EE6-823C-A35735FADB70}" name="Spalte12075"/>
    <tableColumn id="12093" xr3:uid="{28F9ACB8-38DC-48F4-A6CE-DC64BF3FFBE3}" name="Spalte12076"/>
    <tableColumn id="12094" xr3:uid="{5430ECEF-3239-4974-A977-B33824295818}" name="Spalte12077"/>
    <tableColumn id="12095" xr3:uid="{3038C7E5-5109-4653-B66B-8BA6CC61D9B2}" name="Spalte12078"/>
    <tableColumn id="12096" xr3:uid="{9C3A4642-FE7B-46E2-B6AF-9F1B0A1BBD8C}" name="Spalte12079"/>
    <tableColumn id="12097" xr3:uid="{AD75112A-CC21-41D1-B562-31FE2C34ACC3}" name="Spalte12080"/>
    <tableColumn id="12098" xr3:uid="{3068E294-2837-4BD8-8085-F76174A8A3C1}" name="Spalte12081"/>
    <tableColumn id="12099" xr3:uid="{69F9D987-047B-488F-B74D-74B29DF5F612}" name="Spalte12082"/>
    <tableColumn id="12100" xr3:uid="{33092AF4-6492-4099-AE8E-1AC57F0B11E4}" name="Spalte12083"/>
    <tableColumn id="12101" xr3:uid="{605C6AB7-2AEA-4468-B49C-83B2B33B0E73}" name="Spalte12084"/>
    <tableColumn id="12102" xr3:uid="{95797465-4696-46C2-883E-01B607600E0B}" name="Spalte12085"/>
    <tableColumn id="12103" xr3:uid="{D959A601-A26D-42C2-8757-9D81D64921F9}" name="Spalte12086"/>
    <tableColumn id="12104" xr3:uid="{ED78E038-C423-4F95-8198-91344C492054}" name="Spalte12087"/>
    <tableColumn id="12105" xr3:uid="{A2F331E0-E051-455F-82F2-964859A4C0F2}" name="Spalte12088"/>
    <tableColumn id="12106" xr3:uid="{2D0719D1-5A3D-4796-9F76-94EECDC4A042}" name="Spalte12089"/>
    <tableColumn id="12107" xr3:uid="{171FEA28-1D0B-4717-92B6-CA3EA6C8B96B}" name="Spalte12090"/>
    <tableColumn id="12108" xr3:uid="{3B25A138-3EE7-4EE5-BFAE-DC92429EB408}" name="Spalte12091"/>
    <tableColumn id="12109" xr3:uid="{3F609D29-CBF1-4482-A9A3-EC10A19375CA}" name="Spalte12092"/>
    <tableColumn id="12110" xr3:uid="{6008E18B-41C0-43D4-8FD9-0B1A4DBBEAE7}" name="Spalte12093"/>
    <tableColumn id="12111" xr3:uid="{60BAFAA5-875D-4FAF-A8FA-F06A97E61BDB}" name="Spalte12094"/>
    <tableColumn id="12112" xr3:uid="{54841CD1-AA33-46CF-BA61-92824AAB6BEE}" name="Spalte12095"/>
    <tableColumn id="12113" xr3:uid="{D27E0BF0-50D5-4C90-85BA-A54C2456F7DA}" name="Spalte12096"/>
    <tableColumn id="12114" xr3:uid="{F3A86A4C-63F9-4CFE-B0CA-3A5C05D135A5}" name="Spalte12097"/>
    <tableColumn id="12115" xr3:uid="{8469A103-01A6-4475-897D-61182A7AD6C2}" name="Spalte12098"/>
    <tableColumn id="12116" xr3:uid="{34012C2E-CB91-4DA7-B2D7-A54C01138C10}" name="Spalte12099"/>
    <tableColumn id="12117" xr3:uid="{58A0BFA0-D013-4578-AFE9-4C4AD0DDDA20}" name="Spalte12100"/>
    <tableColumn id="12118" xr3:uid="{3FFD6514-8F45-41A7-9B45-B54F968709CB}" name="Spalte12101"/>
    <tableColumn id="12119" xr3:uid="{C161CE80-6967-40D8-BB74-1A8D01415010}" name="Spalte12102"/>
    <tableColumn id="12120" xr3:uid="{D1D25DFE-FE20-45CB-AC10-A05866A62908}" name="Spalte12103"/>
    <tableColumn id="12121" xr3:uid="{29100767-CBC3-486E-ADBC-86BADDCE8051}" name="Spalte12104"/>
    <tableColumn id="12122" xr3:uid="{E1AE6E41-1A5D-48B9-8A81-06BF24EF16AD}" name="Spalte12105"/>
    <tableColumn id="12123" xr3:uid="{81FF3A61-2727-4EC4-B4DE-954C66F06648}" name="Spalte12106"/>
    <tableColumn id="12124" xr3:uid="{518EDBB4-CEBE-4889-9742-4CA6DD759636}" name="Spalte12107"/>
    <tableColumn id="12125" xr3:uid="{A30DC471-8CEA-4287-9D2C-179198208096}" name="Spalte12108"/>
    <tableColumn id="12126" xr3:uid="{1D0BF479-2945-41F1-B471-02F1693606F6}" name="Spalte12109"/>
    <tableColumn id="12127" xr3:uid="{91C4D49A-440F-4A60-A27D-4F049F8247F6}" name="Spalte12110"/>
    <tableColumn id="12128" xr3:uid="{7ADE9C4B-9123-4E23-87C9-944CA6D809B4}" name="Spalte12111"/>
    <tableColumn id="12129" xr3:uid="{BD435D01-D8E3-4388-8770-6E6DCD854F46}" name="Spalte12112"/>
    <tableColumn id="12130" xr3:uid="{2EE5DE10-8256-4F54-B436-C461B42D0C73}" name="Spalte12113"/>
    <tableColumn id="12131" xr3:uid="{CAAAA24A-C173-457E-B3DA-4323E1971774}" name="Spalte12114"/>
    <tableColumn id="12132" xr3:uid="{921070DD-80E7-4FDD-964B-1E3310007E8C}" name="Spalte12115"/>
    <tableColumn id="12133" xr3:uid="{CB8DDC9C-785B-49D6-8040-B8AA4B12B2D6}" name="Spalte12116"/>
    <tableColumn id="12134" xr3:uid="{4FD7C569-7BCA-4427-9135-269EA6700299}" name="Spalte12117"/>
    <tableColumn id="12135" xr3:uid="{D8C53197-19AD-48A7-AFA9-99357704BAD7}" name="Spalte12118"/>
    <tableColumn id="12136" xr3:uid="{EA3725E8-A235-4797-8937-B6197B6EECED}" name="Spalte12119"/>
    <tableColumn id="12137" xr3:uid="{69536B33-3F2F-4203-81C1-E10D66128F2D}" name="Spalte12120"/>
    <tableColumn id="12138" xr3:uid="{B913F5F9-9B6B-4548-A369-D1133AAFD983}" name="Spalte12121"/>
    <tableColumn id="12139" xr3:uid="{94B6AF72-8E0F-4C9B-86BF-0CA531C95E21}" name="Spalte12122"/>
    <tableColumn id="12140" xr3:uid="{BECE0A1E-4283-4FD5-AF04-E842911BA82B}" name="Spalte12123"/>
    <tableColumn id="12141" xr3:uid="{77C79FF5-7187-441E-86CF-ED15CF87D058}" name="Spalte12124"/>
    <tableColumn id="12142" xr3:uid="{0ED2A7DF-A336-4C35-BADB-EBAABFB78FEF}" name="Spalte12125"/>
    <tableColumn id="12143" xr3:uid="{391C4F88-AC1D-4BC1-ABCB-0C8705BAE1BA}" name="Spalte12126"/>
    <tableColumn id="12144" xr3:uid="{45ED070C-F375-49FE-BAED-3BB7C31455FD}" name="Spalte12127"/>
    <tableColumn id="12145" xr3:uid="{959504BC-6157-4F68-ABCC-CEFD34BC1B34}" name="Spalte12128"/>
    <tableColumn id="12146" xr3:uid="{5C821E8F-6C74-4935-9A01-5B897BC6D454}" name="Spalte12129"/>
    <tableColumn id="12147" xr3:uid="{D9F430A6-5566-4F36-BA3D-B9D83BDF1885}" name="Spalte12130"/>
    <tableColumn id="12148" xr3:uid="{62FAA1CB-3486-4901-A0E5-B2CECBE83672}" name="Spalte12131"/>
    <tableColumn id="12149" xr3:uid="{BBD4CE40-30BD-4863-872F-669893381901}" name="Spalte12132"/>
    <tableColumn id="12150" xr3:uid="{C36A34E2-3EB0-4358-AA24-67E6AB42CBCD}" name="Spalte12133"/>
    <tableColumn id="12151" xr3:uid="{CB68E060-7F8F-4CDB-9291-6D91121D4C1B}" name="Spalte12134"/>
    <tableColumn id="12152" xr3:uid="{0B6CA322-3325-467B-B5CC-AC84926A9CAD}" name="Spalte12135"/>
    <tableColumn id="12153" xr3:uid="{249554ED-97DA-4967-BC80-D78DEBC1B5B5}" name="Spalte12136"/>
    <tableColumn id="12154" xr3:uid="{7F132DC5-DFA5-4DA6-BBEB-9268A6532120}" name="Spalte12137"/>
    <tableColumn id="12155" xr3:uid="{1B38E314-6391-4884-B46C-F1C358B3B4EC}" name="Spalte12138"/>
    <tableColumn id="12156" xr3:uid="{91E078E0-6E12-4BF0-95EB-D9D92C9EB946}" name="Spalte12139"/>
    <tableColumn id="12157" xr3:uid="{ECDA6201-BC99-4DE2-AF8A-08B82B08E22D}" name="Spalte12140"/>
    <tableColumn id="12158" xr3:uid="{CF634AD6-2B1B-43CF-8EC6-BADAD25024AF}" name="Spalte12141"/>
    <tableColumn id="12159" xr3:uid="{AB3CCF48-CCB4-4E20-B433-06A28E6EF26F}" name="Spalte12142"/>
    <tableColumn id="12160" xr3:uid="{5BD54738-A291-441E-B105-1DC511C87844}" name="Spalte12143"/>
    <tableColumn id="12161" xr3:uid="{137B3C81-9B71-4E19-837A-15501AA21A78}" name="Spalte12144"/>
    <tableColumn id="12162" xr3:uid="{84B4FAC3-ED2E-4988-8EAC-6B346E3A8C76}" name="Spalte12145"/>
    <tableColumn id="12163" xr3:uid="{0DBFF427-85D1-4D07-BF85-95B236CAE368}" name="Spalte12146"/>
    <tableColumn id="12164" xr3:uid="{AE092819-15EC-4EB6-9C74-CFDD6AC9EAC4}" name="Spalte12147"/>
    <tableColumn id="12165" xr3:uid="{004C484F-B87E-489D-86E4-5E0720B49739}" name="Spalte12148"/>
    <tableColumn id="12166" xr3:uid="{24700C18-8473-42F0-A6CD-F72DC7AB71DC}" name="Spalte12149"/>
    <tableColumn id="12167" xr3:uid="{AF1B9A43-8A77-47C2-9CEE-DBDF87F76EB1}" name="Spalte12150"/>
    <tableColumn id="12168" xr3:uid="{D26D6201-9839-44DF-A361-3E9A1D672BA4}" name="Spalte12151"/>
    <tableColumn id="12169" xr3:uid="{5003FDEF-6B10-46F0-91E8-58EFCA55B9AF}" name="Spalte12152"/>
    <tableColumn id="12170" xr3:uid="{F62C5916-065C-41EC-A916-8ECA38A01CF5}" name="Spalte12153"/>
    <tableColumn id="12171" xr3:uid="{16503DD1-55BB-4AB9-A716-3EA6D0FC7612}" name="Spalte12154"/>
    <tableColumn id="12172" xr3:uid="{0671C49F-7909-4FF4-8C5A-BFC4E91A7C75}" name="Spalte12155"/>
    <tableColumn id="12173" xr3:uid="{2F524472-D832-4C5C-BD4B-35974F78C815}" name="Spalte12156"/>
    <tableColumn id="12174" xr3:uid="{B7EE6EA4-75DC-4E5C-90AE-6D26BED2430C}" name="Spalte12157"/>
    <tableColumn id="12175" xr3:uid="{BB6EA22F-B723-4753-9713-8FA304125B06}" name="Spalte12158"/>
    <tableColumn id="12176" xr3:uid="{6F93F157-CC81-48DF-8573-3311642042BE}" name="Spalte12159"/>
    <tableColumn id="12177" xr3:uid="{017C1852-5FCE-4FB1-9CD3-D11478189CDC}" name="Spalte12160"/>
    <tableColumn id="12178" xr3:uid="{13C22B05-757C-48AF-A168-A80AB4A1026A}" name="Spalte12161"/>
    <tableColumn id="12179" xr3:uid="{AC8E9DA4-4277-471F-9AA2-B132DB7AB83E}" name="Spalte12162"/>
    <tableColumn id="12180" xr3:uid="{901199D2-15A3-46EF-9348-D31201D53CCD}" name="Spalte12163"/>
    <tableColumn id="12181" xr3:uid="{C5B9DFBA-B3A9-4254-9BDC-4E00F5EAE848}" name="Spalte12164"/>
    <tableColumn id="12182" xr3:uid="{E66A5629-5ED8-4D02-9187-D8DECE89574E}" name="Spalte12165"/>
    <tableColumn id="12183" xr3:uid="{E7D14636-99D8-4D8B-8722-203929889D6D}" name="Spalte12166"/>
    <tableColumn id="12184" xr3:uid="{21C989F9-8C73-4FD1-B316-3DB80FCF1CC1}" name="Spalte12167"/>
    <tableColumn id="12185" xr3:uid="{1E464E64-F0C6-4ACE-A476-12E48C5996D5}" name="Spalte12168"/>
    <tableColumn id="12186" xr3:uid="{20C321FC-527F-4A43-9FDA-10C6B3E79E39}" name="Spalte12169"/>
    <tableColumn id="12187" xr3:uid="{BB4AD95E-5CA8-456C-A3E2-0E1559804D5F}" name="Spalte12170"/>
    <tableColumn id="12188" xr3:uid="{278FA309-1453-48FE-B4CD-D759E7762504}" name="Spalte12171"/>
    <tableColumn id="12189" xr3:uid="{3F42F762-F756-47F4-B717-D77838A997B1}" name="Spalte12172"/>
    <tableColumn id="12190" xr3:uid="{EEE99202-64D1-4248-A0A0-EB990B15EE1F}" name="Spalte12173"/>
    <tableColumn id="12191" xr3:uid="{24DC5CD0-0EE6-4B59-BBF8-FD9F08A6FBB1}" name="Spalte12174"/>
    <tableColumn id="12192" xr3:uid="{1B662250-7BBF-449F-A395-C60C9E327941}" name="Spalte12175"/>
    <tableColumn id="12193" xr3:uid="{65A4582F-31E8-4B53-830E-F19F032E136F}" name="Spalte12176"/>
    <tableColumn id="12194" xr3:uid="{C4FE8154-D5EA-4501-AFC0-F62194B11EBE}" name="Spalte12177"/>
    <tableColumn id="12195" xr3:uid="{2FBB62AB-77CF-4269-8349-29BFDD895E87}" name="Spalte12178"/>
    <tableColumn id="12196" xr3:uid="{3D1B4D65-4F1C-425C-B2A2-0C00860E6E16}" name="Spalte12179"/>
    <tableColumn id="12197" xr3:uid="{DBE04A77-0379-4975-B60A-7448D8F721AB}" name="Spalte12180"/>
    <tableColumn id="12198" xr3:uid="{708FF373-33DB-4CB2-B37C-393AD72F6FB9}" name="Spalte12181"/>
    <tableColumn id="12199" xr3:uid="{4B105E1B-E044-425C-A6F4-D5FB774281FF}" name="Spalte12182"/>
    <tableColumn id="12200" xr3:uid="{DCE7B217-2F9B-47BE-B419-4D7F040F2243}" name="Spalte12183"/>
    <tableColumn id="12201" xr3:uid="{DDD7319C-D566-4F59-AF60-B36CD4C36F20}" name="Spalte12184"/>
    <tableColumn id="12202" xr3:uid="{AC566E70-56D8-4F0B-AC0B-1D4A9B022030}" name="Spalte12185"/>
    <tableColumn id="12203" xr3:uid="{75AFE1B7-2B81-4CF2-A65A-1CE8AC7A8438}" name="Spalte12186"/>
    <tableColumn id="12204" xr3:uid="{317C94A4-8E21-4440-A5A5-4CF5075EA4F8}" name="Spalte12187"/>
    <tableColumn id="12205" xr3:uid="{AB184CE1-76DB-4427-93AC-90558E4B7A8F}" name="Spalte12188"/>
    <tableColumn id="12206" xr3:uid="{F0B372AE-BBA9-4CBE-9FAB-7699801D7946}" name="Spalte12189"/>
    <tableColumn id="12207" xr3:uid="{09F584A4-7993-4D0D-B9F3-A45E3213EAAA}" name="Spalte12190"/>
    <tableColumn id="12208" xr3:uid="{5E4F3777-EAD6-4C0B-A518-2B7E4BFDFBFA}" name="Spalte12191"/>
    <tableColumn id="12209" xr3:uid="{D78EAA94-C548-4854-B6A5-8E9216CD4A39}" name="Spalte12192"/>
    <tableColumn id="12210" xr3:uid="{87201DE7-9440-4632-8BDE-2718ABFBDD72}" name="Spalte12193"/>
    <tableColumn id="12211" xr3:uid="{ADE9B502-824D-4739-A61D-02B012E971EB}" name="Spalte12194"/>
    <tableColumn id="12212" xr3:uid="{34470EB2-7FDD-4195-A444-83F4BF514405}" name="Spalte12195"/>
    <tableColumn id="12213" xr3:uid="{DD2A8876-58B6-44CA-919E-A1CB37D61DBD}" name="Spalte12196"/>
    <tableColumn id="12214" xr3:uid="{14BF8C3E-EC46-4E08-97E4-CB199A4E4C03}" name="Spalte12197"/>
    <tableColumn id="12215" xr3:uid="{D2B53420-58D8-4C69-99C4-D41FEE91E2DD}" name="Spalte12198"/>
    <tableColumn id="12216" xr3:uid="{FDC311A5-ECFD-426F-9126-763FDEE037E6}" name="Spalte12199"/>
    <tableColumn id="12217" xr3:uid="{97733FF1-B2AF-4167-8FB7-B6933A82FC0C}" name="Spalte12200"/>
    <tableColumn id="12218" xr3:uid="{E4F6ACBF-C491-46F5-A5B0-5E88D5A35D7B}" name="Spalte12201"/>
    <tableColumn id="12219" xr3:uid="{2F82778E-1343-4EC5-B404-9587B6AA10AC}" name="Spalte12202"/>
    <tableColumn id="12220" xr3:uid="{BE478BD7-4136-4107-9F8D-CFD1882295D9}" name="Spalte12203"/>
    <tableColumn id="12221" xr3:uid="{AF5A9114-93C8-4732-B4F6-458B605F6464}" name="Spalte12204"/>
    <tableColumn id="12222" xr3:uid="{8DDC648E-8648-4A56-A093-0C83932075FA}" name="Spalte12205"/>
    <tableColumn id="12223" xr3:uid="{CCAF6965-0BD7-457C-A6D1-C3CA910B701F}" name="Spalte12206"/>
    <tableColumn id="12224" xr3:uid="{33026F87-3EF6-4C58-BE8F-4F325C268316}" name="Spalte12207"/>
    <tableColumn id="12225" xr3:uid="{72E3D5E1-E749-47B7-B1AC-3337BA66DBF0}" name="Spalte12208"/>
    <tableColumn id="12226" xr3:uid="{05DE5B11-AD53-4228-9F1A-226242DC500B}" name="Spalte12209"/>
    <tableColumn id="12227" xr3:uid="{272AE248-8E92-4656-9F31-734D7C17918A}" name="Spalte12210"/>
    <tableColumn id="12228" xr3:uid="{9E8135C2-4153-4C8D-8D3A-A266F94C0918}" name="Spalte12211"/>
    <tableColumn id="12229" xr3:uid="{3EA196A6-B153-48A8-9E58-BFB8D27F146F}" name="Spalte12212"/>
    <tableColumn id="12230" xr3:uid="{B6224D72-F0C7-4037-A245-D5DF157DE494}" name="Spalte12213"/>
    <tableColumn id="12231" xr3:uid="{7B2B3B74-03D6-4C20-A6C7-7ED84BFB614F}" name="Spalte12214"/>
    <tableColumn id="12232" xr3:uid="{F9C92EE7-C103-412C-B0E1-03B926E5710E}" name="Spalte12215"/>
    <tableColumn id="12233" xr3:uid="{6C074AF2-005A-43CE-8627-0644FF55C978}" name="Spalte12216"/>
    <tableColumn id="12234" xr3:uid="{201A49E3-364D-4D55-9B6D-77C308D4D024}" name="Spalte12217"/>
    <tableColumn id="12235" xr3:uid="{AE1D6B98-F82E-48FB-AC24-1834EE38CB2E}" name="Spalte12218"/>
    <tableColumn id="12236" xr3:uid="{76EC999C-6BB2-4C7C-8CD4-BDDC778B4CDA}" name="Spalte12219"/>
    <tableColumn id="12237" xr3:uid="{AC8DE9C6-4FCC-4608-B6A8-A60656ABB8DF}" name="Spalte12220"/>
    <tableColumn id="12238" xr3:uid="{D7CFAE16-BA2E-4780-84BF-F6699E11A33C}" name="Spalte12221"/>
    <tableColumn id="12239" xr3:uid="{2BE696F8-18DD-4938-A924-0FBBE7959060}" name="Spalte12222"/>
    <tableColumn id="12240" xr3:uid="{7984CB46-41C4-4BD7-B407-EE618AE4207F}" name="Spalte12223"/>
    <tableColumn id="12241" xr3:uid="{20E834B4-0BAC-4E77-812C-807639D464E9}" name="Spalte12224"/>
    <tableColumn id="12242" xr3:uid="{8337DD02-7870-4B08-A0FE-CE47257D1C0C}" name="Spalte12225"/>
    <tableColumn id="12243" xr3:uid="{05ADE004-2ED2-437F-9091-E7CA9BD79403}" name="Spalte12226"/>
    <tableColumn id="12244" xr3:uid="{5E0B4B6D-7569-41A0-835E-CCA489A64961}" name="Spalte12227"/>
    <tableColumn id="12245" xr3:uid="{EB4C85D8-845F-46C1-8CB7-2001095E6ED2}" name="Spalte12228"/>
    <tableColumn id="12246" xr3:uid="{D0B35928-CF83-45C6-8769-26CAED2063B9}" name="Spalte12229"/>
    <tableColumn id="12247" xr3:uid="{472A9876-12D1-4838-BBDE-58713DAEBEA0}" name="Spalte12230"/>
    <tableColumn id="12248" xr3:uid="{D20EDD03-700E-4DE2-83D5-623E4ADD6F9C}" name="Spalte12231"/>
    <tableColumn id="12249" xr3:uid="{E927D4F1-554A-46E7-BD14-99F15AD095F2}" name="Spalte12232"/>
    <tableColumn id="12250" xr3:uid="{CA50BC05-ADDF-4C3A-85B3-CA49842F23C9}" name="Spalte12233"/>
    <tableColumn id="12251" xr3:uid="{2EE711B5-92D2-4219-8EAB-104774A2B963}" name="Spalte12234"/>
    <tableColumn id="12252" xr3:uid="{9EA90251-FF16-499A-AE34-3265AAE7D5B0}" name="Spalte12235"/>
    <tableColumn id="12253" xr3:uid="{EDBC08A6-66C0-43F6-845A-DB18135A762C}" name="Spalte12236"/>
    <tableColumn id="12254" xr3:uid="{11AA9B0C-2521-49EA-ACC4-3FFDE2459E5A}" name="Spalte12237"/>
    <tableColumn id="12255" xr3:uid="{134320B8-C3FE-4A10-BBC3-9292A6ED4290}" name="Spalte12238"/>
    <tableColumn id="12256" xr3:uid="{3279AB80-9FBB-40F2-8217-3DB4A7168EFA}" name="Spalte12239"/>
    <tableColumn id="12257" xr3:uid="{A58739C8-13A0-4EF8-A1E3-0DF11EC2CDA3}" name="Spalte12240"/>
    <tableColumn id="12258" xr3:uid="{D68095D6-7DBC-429C-8480-CD7D1FAA7F3A}" name="Spalte12241"/>
    <tableColumn id="12259" xr3:uid="{15947C91-87B5-4E55-89E0-CFF4ACCBF02F}" name="Spalte12242"/>
    <tableColumn id="12260" xr3:uid="{A2F8AD9C-E8E2-4A54-9A6F-5C95A531D3AB}" name="Spalte12243"/>
    <tableColumn id="12261" xr3:uid="{6F4AC95B-8ADD-4D9E-947D-6A8FBD89A1B5}" name="Spalte12244"/>
    <tableColumn id="12262" xr3:uid="{C7954529-57DC-4F76-8F5D-38C958D6ABC3}" name="Spalte12245"/>
    <tableColumn id="12263" xr3:uid="{545A74A1-692D-4624-9A8D-CD6B8DB7CC39}" name="Spalte12246"/>
    <tableColumn id="12264" xr3:uid="{556B1E60-272F-42F5-82F5-C2ABC57EFCA5}" name="Spalte12247"/>
    <tableColumn id="12265" xr3:uid="{F5DE8F7B-7CB1-48C5-92C7-8341C1B7D5EF}" name="Spalte12248"/>
    <tableColumn id="12266" xr3:uid="{AB190ED9-823F-4295-B1EF-07750E986C24}" name="Spalte12249"/>
    <tableColumn id="12267" xr3:uid="{623B098F-FFA7-402E-B252-6ADC91CA835F}" name="Spalte12250"/>
    <tableColumn id="12268" xr3:uid="{248D6FDF-ED0A-44E6-965A-B7BFB8AED869}" name="Spalte12251"/>
    <tableColumn id="12269" xr3:uid="{51C9F91E-ACEC-41E4-9EE3-3DBE71B9937E}" name="Spalte12252"/>
    <tableColumn id="12270" xr3:uid="{FC5921C2-6780-473F-8DDE-EC6ED29DEBA7}" name="Spalte12253"/>
    <tableColumn id="12271" xr3:uid="{B34018E7-6EE3-44F9-A27A-5264D4823C20}" name="Spalte12254"/>
    <tableColumn id="12272" xr3:uid="{529EBF2F-494D-4DDA-93DF-217CA75D6933}" name="Spalte12255"/>
    <tableColumn id="12273" xr3:uid="{70B7B8E3-DBE6-4393-824E-81F774405E6F}" name="Spalte12256"/>
    <tableColumn id="12274" xr3:uid="{076E653C-8B59-4A8C-BB23-EF356213967C}" name="Spalte12257"/>
    <tableColumn id="12275" xr3:uid="{460E7E27-5BE9-430D-9AFE-319149864B3D}" name="Spalte12258"/>
    <tableColumn id="12276" xr3:uid="{A438D79B-700C-4B06-9087-1FA7A90D7268}" name="Spalte12259"/>
    <tableColumn id="12277" xr3:uid="{91DE9D87-27D0-40D9-9B7D-58160BFBD9CB}" name="Spalte12260"/>
    <tableColumn id="12278" xr3:uid="{89BABB02-E3AF-4F2A-8844-BE0EB1ED0025}" name="Spalte12261"/>
    <tableColumn id="12279" xr3:uid="{06D71C99-8745-461C-B6B7-C9606C554DA1}" name="Spalte12262"/>
    <tableColumn id="12280" xr3:uid="{088A57E4-1524-4359-A247-D577F6DAF5B9}" name="Spalte12263"/>
    <tableColumn id="12281" xr3:uid="{AE7386CE-DF54-41DA-8B32-8F97B959B22F}" name="Spalte12264"/>
    <tableColumn id="12282" xr3:uid="{4F1FBA9F-7055-425B-A92E-F904C74DD175}" name="Spalte12265"/>
    <tableColumn id="12283" xr3:uid="{0E68CEA3-6E10-4C36-9270-4F9424F6E5BA}" name="Spalte12266"/>
    <tableColumn id="12284" xr3:uid="{12111070-43E6-44D4-B617-9264A48BBB2A}" name="Spalte12267"/>
    <tableColumn id="12285" xr3:uid="{C451A403-7567-4280-908A-81CA370BE928}" name="Spalte12268"/>
    <tableColumn id="12286" xr3:uid="{838D6B41-2A81-407F-9A49-0401DA2BAB69}" name="Spalte12269"/>
    <tableColumn id="12287" xr3:uid="{AD442A84-0DB2-42C1-ABC9-99AF784309BB}" name="Spalte12270"/>
    <tableColumn id="12288" xr3:uid="{F81CD879-EC07-4F0E-B1BA-7621C1EFC152}" name="Spalte12271"/>
    <tableColumn id="12289" xr3:uid="{FAE421E1-31BF-4E1C-A3E5-B1F65FB057F5}" name="Spalte12272"/>
    <tableColumn id="12290" xr3:uid="{75AD69C4-6BBC-4FED-A1D6-2FD427154B32}" name="Spalte12273"/>
    <tableColumn id="12291" xr3:uid="{D81FEB79-C13C-465B-BABD-20A8EA569907}" name="Spalte12274"/>
    <tableColumn id="12292" xr3:uid="{B5DA3E85-B611-4667-98B6-D816A6FA2E0F}" name="Spalte12275"/>
    <tableColumn id="12293" xr3:uid="{D34E69D2-3653-400F-BC87-0EF09AF41A02}" name="Spalte12276"/>
    <tableColumn id="12294" xr3:uid="{FCBC9A1A-964D-475B-8704-641ABB6644A3}" name="Spalte12277"/>
    <tableColumn id="12295" xr3:uid="{A217FDC5-7629-4240-A2C6-0E57471FB37D}" name="Spalte12278"/>
    <tableColumn id="12296" xr3:uid="{CA4FC5A3-ABA4-46CC-8A42-0B9547022061}" name="Spalte12279"/>
    <tableColumn id="12297" xr3:uid="{8A962088-B036-45F9-9319-EE0CD7E54904}" name="Spalte12280"/>
    <tableColumn id="12298" xr3:uid="{6DABD354-3525-4903-A6D5-A97B333C7E3F}" name="Spalte12281"/>
    <tableColumn id="12299" xr3:uid="{772D3856-1BA3-422E-AD3E-A612379828F3}" name="Spalte12282"/>
    <tableColumn id="12300" xr3:uid="{23DE95BA-9BBA-4C8D-ABE4-8DFF416FB386}" name="Spalte12283"/>
    <tableColumn id="12301" xr3:uid="{AC0253AB-238B-4D50-825A-6370C1FEC162}" name="Spalte12284"/>
    <tableColumn id="12302" xr3:uid="{709D5BDE-D42A-4273-92FA-89C9D19A0AB2}" name="Spalte12285"/>
    <tableColumn id="12303" xr3:uid="{1C7CE425-6738-428E-90B2-8ABBC309D813}" name="Spalte12286"/>
    <tableColumn id="12304" xr3:uid="{924F9FAB-6C9C-4D1A-98EB-BCE48A0DA8F6}" name="Spalte12287"/>
    <tableColumn id="12305" xr3:uid="{C8DA11CB-6977-4A58-AA75-C228DBAAA568}" name="Spalte12288"/>
    <tableColumn id="12306" xr3:uid="{1C899183-BF53-4225-8A2C-C16868BDA701}" name="Spalte12289"/>
    <tableColumn id="12307" xr3:uid="{A5CBB377-354E-406E-8154-DB98DD6FBBA0}" name="Spalte12290"/>
    <tableColumn id="12308" xr3:uid="{61DA7400-247E-468E-AED5-47BA4E687196}" name="Spalte12291"/>
    <tableColumn id="12309" xr3:uid="{91B23575-9B5C-4AEA-9F0C-6E6546A870B3}" name="Spalte12292"/>
    <tableColumn id="12310" xr3:uid="{810B9356-1E13-4566-8F5D-ADA923295D44}" name="Spalte12293"/>
    <tableColumn id="12311" xr3:uid="{FB24FA1C-E7EF-4BFC-B39D-3659B7ACAF47}" name="Spalte12294"/>
    <tableColumn id="12312" xr3:uid="{040431F5-DD55-41C6-B1E0-2B1473A11378}" name="Spalte12295"/>
    <tableColumn id="12313" xr3:uid="{B623E60E-A12A-431C-ADCA-9750C11C74CA}" name="Spalte12296"/>
    <tableColumn id="12314" xr3:uid="{B46F0FBB-E519-4CCD-9C5B-D9895F834875}" name="Spalte12297"/>
    <tableColumn id="12315" xr3:uid="{4B5CB5DE-F9FF-4740-9402-84F041EA1906}" name="Spalte12298"/>
    <tableColumn id="12316" xr3:uid="{9BE6A94B-80F2-49E9-BE5C-FBEB1B3675F1}" name="Spalte12299"/>
    <tableColumn id="12317" xr3:uid="{DE4AE506-375B-49DB-BC0D-E23465FBDC5E}" name="Spalte12300"/>
    <tableColumn id="12318" xr3:uid="{F70F573E-2EAC-4842-A327-D0DFDFC24E66}" name="Spalte12301"/>
    <tableColumn id="12319" xr3:uid="{D33465B6-606B-43B1-922B-3391CDD696CE}" name="Spalte12302"/>
    <tableColumn id="12320" xr3:uid="{91BB6015-6B66-41B0-8313-6918FB0F7348}" name="Spalte12303"/>
    <tableColumn id="12321" xr3:uid="{BE85B9C0-BEB8-4D4A-A104-C8C10ED2B556}" name="Spalte12304"/>
    <tableColumn id="12322" xr3:uid="{E4EC0935-3050-4E41-A7ED-FA0CD0C9521A}" name="Spalte12305"/>
    <tableColumn id="12323" xr3:uid="{798ECF40-DB76-442A-AFE2-D358FDD2B4DD}" name="Spalte12306"/>
    <tableColumn id="12324" xr3:uid="{E1D699E5-54FC-499C-A606-50063289B189}" name="Spalte12307"/>
    <tableColumn id="12325" xr3:uid="{37A1265F-471A-4063-895A-BEEF2D3104ED}" name="Spalte12308"/>
    <tableColumn id="12326" xr3:uid="{4451A5AA-7E2A-4BA1-95FA-638E21FA5D2C}" name="Spalte12309"/>
    <tableColumn id="12327" xr3:uid="{F15E5D39-A161-41BE-A42F-A6C9625C220F}" name="Spalte12310"/>
    <tableColumn id="12328" xr3:uid="{E5558208-FD6E-40D1-955A-AD28BEB2DA6B}" name="Spalte12311"/>
    <tableColumn id="12329" xr3:uid="{22370B60-8594-4B2B-8F5D-44B3A6DB9587}" name="Spalte12312"/>
    <tableColumn id="12330" xr3:uid="{7E11007F-E45C-4155-8A2B-EB16FB022B49}" name="Spalte12313"/>
    <tableColumn id="12331" xr3:uid="{E28DA923-E34F-4FAE-9997-3863C1167E2C}" name="Spalte12314"/>
    <tableColumn id="12332" xr3:uid="{87B25996-0281-4E2C-B782-8B05A41C7B20}" name="Spalte12315"/>
    <tableColumn id="12333" xr3:uid="{31472F94-69D1-4B22-91E8-8D4EDA038596}" name="Spalte12316"/>
    <tableColumn id="12334" xr3:uid="{16CF39BA-C4A6-4DA8-8DBF-7B0CA836C33D}" name="Spalte12317"/>
    <tableColumn id="12335" xr3:uid="{05DD4E9B-29CF-4877-8E4B-557FF4DD6BF7}" name="Spalte12318"/>
    <tableColumn id="12336" xr3:uid="{C9B54C9E-7021-46CF-A3E7-AC27192AEB4C}" name="Spalte12319"/>
    <tableColumn id="12337" xr3:uid="{EAEC671E-FACC-4B74-8113-AB5436DD36B2}" name="Spalte12320"/>
    <tableColumn id="12338" xr3:uid="{0FD17D4B-CF6B-4956-886B-B6BA6C85FC98}" name="Spalte12321"/>
    <tableColumn id="12339" xr3:uid="{2B94492D-8810-4971-9522-F379EAC05B2A}" name="Spalte12322"/>
    <tableColumn id="12340" xr3:uid="{5CB7DD21-19AB-4429-8967-57661B0118AA}" name="Spalte12323"/>
    <tableColumn id="12341" xr3:uid="{897946A4-BF6E-45C1-8112-19996624EE29}" name="Spalte12324"/>
    <tableColumn id="12342" xr3:uid="{A02ED842-327F-4D2D-A95F-C9DFA0FBC722}" name="Spalte12325"/>
    <tableColumn id="12343" xr3:uid="{7B82B9DA-319A-473E-9982-3FFB6B983287}" name="Spalte12326"/>
    <tableColumn id="12344" xr3:uid="{009C7D2B-1698-45FC-A753-F364927692D4}" name="Spalte12327"/>
    <tableColumn id="12345" xr3:uid="{FDC04667-499D-41AE-8A4F-044839BDD42D}" name="Spalte12328"/>
    <tableColumn id="12346" xr3:uid="{11349AF1-58CB-4868-A468-EEEABBE44A8A}" name="Spalte12329"/>
    <tableColumn id="12347" xr3:uid="{EA4E0BAA-B1A9-4DBB-B0CE-B33C609BD49C}" name="Spalte12330"/>
    <tableColumn id="12348" xr3:uid="{B0749DBB-3919-4904-BBC6-4B2DB40AF3CE}" name="Spalte12331"/>
    <tableColumn id="12349" xr3:uid="{2C386370-404D-44C6-99B3-A134E08580F6}" name="Spalte12332"/>
    <tableColumn id="12350" xr3:uid="{58AE3587-00F6-4B1A-AABB-2109C21D03BE}" name="Spalte12333"/>
    <tableColumn id="12351" xr3:uid="{F453AA59-B2A5-4350-9CB7-F22CA797028F}" name="Spalte12334"/>
    <tableColumn id="12352" xr3:uid="{4F27FFC8-E5F5-436D-BDB3-B8F78D7D1303}" name="Spalte12335"/>
    <tableColumn id="12353" xr3:uid="{E0387B78-1770-489D-8082-C4D7E890BCF7}" name="Spalte12336"/>
    <tableColumn id="12354" xr3:uid="{2E7DB300-A69C-471F-BCD5-71B88F76A74B}" name="Spalte12337"/>
    <tableColumn id="12355" xr3:uid="{92550DB3-401C-4FA9-B9B1-D91B883EF995}" name="Spalte12338"/>
    <tableColumn id="12356" xr3:uid="{2B1E0301-56E1-4932-A98E-763074B22323}" name="Spalte12339"/>
    <tableColumn id="12357" xr3:uid="{D3EB00DA-3C5D-44D1-A066-CAA95ACD7059}" name="Spalte12340"/>
    <tableColumn id="12358" xr3:uid="{604ED329-8338-4163-9F6D-F382589977D4}" name="Spalte12341"/>
    <tableColumn id="12359" xr3:uid="{8EB31EC8-2862-4000-921D-6C5F16A17ED1}" name="Spalte12342"/>
    <tableColumn id="12360" xr3:uid="{43BC42FE-3334-4667-A72D-C1EA848EF932}" name="Spalte12343"/>
    <tableColumn id="12361" xr3:uid="{507D76B3-7AC5-44E6-B173-895E44C3298F}" name="Spalte12344"/>
    <tableColumn id="12362" xr3:uid="{A4EE7085-7BCD-422A-81A4-2ADFD6A92A7E}" name="Spalte12345"/>
    <tableColumn id="12363" xr3:uid="{FA1F683B-B658-4E5B-81B2-D7A1251F8038}" name="Spalte12346"/>
    <tableColumn id="12364" xr3:uid="{94DEB3C4-CBB0-45F9-AB81-B6164A8382C4}" name="Spalte12347"/>
    <tableColumn id="12365" xr3:uid="{C50F51B8-7F71-4A20-9C1A-DDC298CAA4A5}" name="Spalte12348"/>
    <tableColumn id="12366" xr3:uid="{4C47481C-E0FD-4588-B93C-80F31C41CE71}" name="Spalte12349"/>
    <tableColumn id="12367" xr3:uid="{AE4F8415-E448-432D-920B-95F497D43A6C}" name="Spalte12350"/>
    <tableColumn id="12368" xr3:uid="{D453726D-10AF-46F3-9C57-D8393B97FC24}" name="Spalte12351"/>
    <tableColumn id="12369" xr3:uid="{F60F35C6-4873-4D42-847B-68EC2B3C05CF}" name="Spalte12352"/>
    <tableColumn id="12370" xr3:uid="{DA4EFDA1-B2C2-430A-A29C-F4BF61824642}" name="Spalte12353"/>
    <tableColumn id="12371" xr3:uid="{AD30262F-F290-45F3-A43A-632BA4BE062C}" name="Spalte12354"/>
    <tableColumn id="12372" xr3:uid="{509B9E6A-59EA-40C6-AC3C-B6538C4D541B}" name="Spalte12355"/>
    <tableColumn id="12373" xr3:uid="{276F05C5-1ED6-4CE9-8C65-777094DE55E3}" name="Spalte12356"/>
    <tableColumn id="12374" xr3:uid="{BF891F11-BD38-4682-9FFC-A649F4EE81B5}" name="Spalte12357"/>
    <tableColumn id="12375" xr3:uid="{FA44EFC1-8A68-4B3C-8094-2915C895B462}" name="Spalte12358"/>
    <tableColumn id="12376" xr3:uid="{D029E813-C7F0-4A36-8BC0-22DACA12B4B7}" name="Spalte12359"/>
    <tableColumn id="12377" xr3:uid="{8A1CEC6A-C2B3-4EAD-92FA-469F10D79141}" name="Spalte12360"/>
    <tableColumn id="12378" xr3:uid="{255A8991-EC35-4C62-8A1C-47C62842199C}" name="Spalte12361"/>
    <tableColumn id="12379" xr3:uid="{A3220407-2590-4F93-AFE1-785C47419DEE}" name="Spalte12362"/>
    <tableColumn id="12380" xr3:uid="{52C690D0-EC41-42A4-822C-4E7CFD4BD567}" name="Spalte12363"/>
    <tableColumn id="12381" xr3:uid="{C6580F95-3021-4B57-9168-13A3C8ED47B3}" name="Spalte12364"/>
    <tableColumn id="12382" xr3:uid="{23C587EE-147F-47BB-B62D-E40AF24A0A4C}" name="Spalte12365"/>
    <tableColumn id="12383" xr3:uid="{D958CB08-0DEF-48D4-9969-CE4F190FD668}" name="Spalte12366"/>
    <tableColumn id="12384" xr3:uid="{4E699DA1-21FE-4C63-B643-C50D87735F2C}" name="Spalte12367"/>
    <tableColumn id="12385" xr3:uid="{7BEE22B2-F6F9-4A08-BDAA-CA868D442BA4}" name="Spalte12368"/>
    <tableColumn id="12386" xr3:uid="{349F4841-D60B-4FB9-A590-44E7A40C596C}" name="Spalte12369"/>
    <tableColumn id="12387" xr3:uid="{B7474AF5-FF3B-45A1-B8FF-092FB1F65AF9}" name="Spalte12370"/>
    <tableColumn id="12388" xr3:uid="{F1CF10D6-6083-4F69-AABD-3504C72E7C06}" name="Spalte12371"/>
    <tableColumn id="12389" xr3:uid="{83C73B82-AF8E-4107-B380-1EE18940FC0E}" name="Spalte12372"/>
    <tableColumn id="12390" xr3:uid="{E51B810D-DFDE-45B6-A474-332F1E63DE4B}" name="Spalte12373"/>
    <tableColumn id="12391" xr3:uid="{E0A8037D-7652-448B-8EDE-3E717DC62B3E}" name="Spalte12374"/>
    <tableColumn id="12392" xr3:uid="{C2FB8A54-2029-4991-B9DA-51C4308F058E}" name="Spalte12375"/>
    <tableColumn id="12393" xr3:uid="{6D549BB7-29A4-4CE6-BC58-B1E8F32C19E9}" name="Spalte12376"/>
    <tableColumn id="12394" xr3:uid="{3AED7456-92C4-4B59-ABFF-9C1629D98FDD}" name="Spalte12377"/>
    <tableColumn id="12395" xr3:uid="{53E53B59-589F-43BD-9F2C-F4557291E4FB}" name="Spalte12378"/>
    <tableColumn id="12396" xr3:uid="{7D3434BC-A4AA-40DF-98E0-91986E79E7C7}" name="Spalte12379"/>
    <tableColumn id="12397" xr3:uid="{3CA09766-7267-4F92-9DE9-C3800A6219B6}" name="Spalte12380"/>
    <tableColumn id="12398" xr3:uid="{4DE5E227-24F6-4575-A33F-8BC761A5B12A}" name="Spalte12381"/>
    <tableColumn id="12399" xr3:uid="{3AF2013E-7F22-431B-9245-00134DEFFFD3}" name="Spalte12382"/>
    <tableColumn id="12400" xr3:uid="{8E8FB36D-5F99-47A7-B73D-8B09E6E0CABB}" name="Spalte12383"/>
    <tableColumn id="12401" xr3:uid="{63D03383-6268-4E28-AA1C-5D8DD0E04DE0}" name="Spalte12384"/>
    <tableColumn id="12402" xr3:uid="{C28555D0-A17F-4549-B3EF-E22EF1FDD344}" name="Spalte12385"/>
    <tableColumn id="12403" xr3:uid="{1AFFD298-B2CF-4038-9DB8-EAC9D75FE0E1}" name="Spalte12386"/>
    <tableColumn id="12404" xr3:uid="{CB487A10-4411-42B1-AF0A-86D27D260496}" name="Spalte12387"/>
    <tableColumn id="12405" xr3:uid="{3F2D5726-2498-49EA-A157-AEEDBE340CFD}" name="Spalte12388"/>
    <tableColumn id="12406" xr3:uid="{D1B4C369-1F9A-46A8-B3AC-ED3F0F639DF4}" name="Spalte12389"/>
    <tableColumn id="12407" xr3:uid="{7A6E641C-46B8-4BB7-81CE-3107ED9B7DBC}" name="Spalte12390"/>
    <tableColumn id="12408" xr3:uid="{DE6DA497-78DC-4EE1-8F59-92BA7E2C17DB}" name="Spalte12391"/>
    <tableColumn id="12409" xr3:uid="{DE6D8E2A-841D-42C3-B4A4-C13DB03D7914}" name="Spalte12392"/>
    <tableColumn id="12410" xr3:uid="{6D86A63F-7FCF-4D80-B627-340E6176F039}" name="Spalte12393"/>
    <tableColumn id="12411" xr3:uid="{6DD6C172-EDBC-43E2-838A-3DBFC334A8E1}" name="Spalte12394"/>
    <tableColumn id="12412" xr3:uid="{B22C9CCA-5BCC-489B-A0CC-E3F83B82FA45}" name="Spalte12395"/>
    <tableColumn id="12413" xr3:uid="{0AA5E1B3-853C-422F-8ACD-A92B7FDDF1BA}" name="Spalte12396"/>
    <tableColumn id="12414" xr3:uid="{F186F6B7-48C6-41C6-97DE-568DD9AE88AE}" name="Spalte12397"/>
    <tableColumn id="12415" xr3:uid="{2F2CE6CE-0734-4250-B7A4-79D1111CE1AA}" name="Spalte12398"/>
    <tableColumn id="12416" xr3:uid="{4F22C965-6A6F-469A-9F88-DC1BAA8C0A79}" name="Spalte12399"/>
    <tableColumn id="12417" xr3:uid="{71AD7C04-7A35-4AD7-81EF-F9C7124DCD8E}" name="Spalte12400"/>
    <tableColumn id="12418" xr3:uid="{F95E65DF-B914-4D97-B5A9-9235C4D6926B}" name="Spalte12401"/>
    <tableColumn id="12419" xr3:uid="{0E0AEA0E-0F84-4650-859E-51D45E3FD1D2}" name="Spalte12402"/>
    <tableColumn id="12420" xr3:uid="{8A7D546F-A2A0-41F7-AB30-E3DFAB49189B}" name="Spalte12403"/>
    <tableColumn id="12421" xr3:uid="{A1E0881C-D2E6-4D66-B53C-17771DCC992A}" name="Spalte12404"/>
    <tableColumn id="12422" xr3:uid="{CA2F83F2-4708-438E-9DE8-DA68364B3CEC}" name="Spalte12405"/>
    <tableColumn id="12423" xr3:uid="{233A3EB1-9D18-45B3-A5BC-DC8DB03265D3}" name="Spalte12406"/>
    <tableColumn id="12424" xr3:uid="{E44C9468-AE75-4DEC-831A-941E9CEF198D}" name="Spalte12407"/>
    <tableColumn id="12425" xr3:uid="{7A7D4C46-E7AA-440B-8B7E-98618A9948DE}" name="Spalte12408"/>
    <tableColumn id="12426" xr3:uid="{85E2A358-34AB-41E7-9593-A180F1322E26}" name="Spalte12409"/>
    <tableColumn id="12427" xr3:uid="{8B2F6B80-3192-4D95-9EB3-F6831B0EA573}" name="Spalte12410"/>
    <tableColumn id="12428" xr3:uid="{0B2057BC-BCDF-47AC-A051-4B1F4EE8C320}" name="Spalte12411"/>
    <tableColumn id="12429" xr3:uid="{81F16044-54C6-4650-80C6-D581416D4D1D}" name="Spalte12412"/>
    <tableColumn id="12430" xr3:uid="{33AB3EC3-7BA5-4EEF-AAA1-3F982D93FA9E}" name="Spalte12413"/>
    <tableColumn id="12431" xr3:uid="{054B7CFB-27AC-47AC-9031-5A546D56E1D8}" name="Spalte12414"/>
    <tableColumn id="12432" xr3:uid="{7FD117F5-3196-4CD0-86C1-984BB647A697}" name="Spalte12415"/>
    <tableColumn id="12433" xr3:uid="{03BBA4E0-0ED8-4DD7-911C-F666DEAE8279}" name="Spalte12416"/>
    <tableColumn id="12434" xr3:uid="{1122772A-C14F-42FC-958C-13897C8600E0}" name="Spalte12417"/>
    <tableColumn id="12435" xr3:uid="{97E31C4D-DA68-45BB-9BEE-072415B39E29}" name="Spalte12418"/>
    <tableColumn id="12436" xr3:uid="{B2F543A4-5192-4B13-AC6E-0F252E60D849}" name="Spalte12419"/>
    <tableColumn id="12437" xr3:uid="{487887E8-C64E-4D5C-ADD3-1339A83444B0}" name="Spalte12420"/>
    <tableColumn id="12438" xr3:uid="{A31B0932-1721-4ECD-8A4C-381EE7AF2ABA}" name="Spalte12421"/>
    <tableColumn id="12439" xr3:uid="{9573FFFD-7428-49F3-93F2-7E5B842C0F0E}" name="Spalte12422"/>
    <tableColumn id="12440" xr3:uid="{C94C9437-3E92-4E2B-9CAB-AD6090A568F8}" name="Spalte12423"/>
    <tableColumn id="12441" xr3:uid="{745B7949-80D6-426C-BB50-F0BF6EFD5A7D}" name="Spalte12424"/>
    <tableColumn id="12442" xr3:uid="{6941FE99-84D4-4C94-8CC4-9CCFE19AFB91}" name="Spalte12425"/>
    <tableColumn id="12443" xr3:uid="{29CC6126-3B3C-4D33-BD85-C7E1DBE5FD9B}" name="Spalte12426"/>
    <tableColumn id="12444" xr3:uid="{9F7BBC88-E7EA-4F5D-BF5B-D7EA36815F20}" name="Spalte12427"/>
    <tableColumn id="12445" xr3:uid="{DA913827-73FE-4572-9051-FDE8A97C2FC8}" name="Spalte12428"/>
    <tableColumn id="12446" xr3:uid="{FF442B32-4752-49F2-990C-759446B0A247}" name="Spalte12429"/>
    <tableColumn id="12447" xr3:uid="{39D9F9CC-57BB-4211-95B4-F93FB633FC9F}" name="Spalte12430"/>
    <tableColumn id="12448" xr3:uid="{4AB1F060-B4DF-42B8-8BB9-45AD29F198F2}" name="Spalte12431"/>
    <tableColumn id="12449" xr3:uid="{9ADFC8BC-C0B1-4767-B5E4-54BB827909A1}" name="Spalte12432"/>
    <tableColumn id="12450" xr3:uid="{D72CFD8B-8E56-48D8-AF7B-86E87CA02E76}" name="Spalte12433"/>
    <tableColumn id="12451" xr3:uid="{BE70E16D-F6EB-4259-936B-2A1E9B2BA3D4}" name="Spalte12434"/>
    <tableColumn id="12452" xr3:uid="{2DF65665-0643-492A-A4E9-B322A7BA25DB}" name="Spalte12435"/>
    <tableColumn id="12453" xr3:uid="{A04A2029-7E84-4802-860A-3EBE098D963E}" name="Spalte12436"/>
    <tableColumn id="12454" xr3:uid="{EA884CA9-CC95-43E5-965C-C0A012D4D342}" name="Spalte12437"/>
    <tableColumn id="12455" xr3:uid="{2AD525E0-0E7B-472B-A99D-D03E169BD953}" name="Spalte12438"/>
    <tableColumn id="12456" xr3:uid="{EB7FB3F1-D6AC-40CB-951C-316FE7ED80E0}" name="Spalte12439"/>
    <tableColumn id="12457" xr3:uid="{396CF912-1BEC-4410-BBD5-7DF7DA51128A}" name="Spalte12440"/>
    <tableColumn id="12458" xr3:uid="{34D98505-FFFE-44C6-9E30-C6FC10DF3EAA}" name="Spalte12441"/>
    <tableColumn id="12459" xr3:uid="{149F1B4C-9AD5-4B83-BC9D-26993CA87B8F}" name="Spalte12442"/>
    <tableColumn id="12460" xr3:uid="{299F5098-5480-455B-8641-D621059D7F71}" name="Spalte12443"/>
    <tableColumn id="12461" xr3:uid="{330D727D-11AB-4A7D-979D-C533E7789418}" name="Spalte12444"/>
    <tableColumn id="12462" xr3:uid="{20129763-BBE3-46B9-96B2-32A08CCF68C9}" name="Spalte12445"/>
    <tableColumn id="12463" xr3:uid="{8C1DEA15-4DB5-4780-937E-7F3739809CD3}" name="Spalte12446"/>
    <tableColumn id="12464" xr3:uid="{4D797098-08AE-4C90-B751-9A3EA5D6A7B6}" name="Spalte12447"/>
    <tableColumn id="12465" xr3:uid="{83062145-4257-4BF1-9108-851D69E21D3A}" name="Spalte12448"/>
    <tableColumn id="12466" xr3:uid="{2F61CC8A-0474-43EB-AABE-053E6F743A34}" name="Spalte12449"/>
    <tableColumn id="12467" xr3:uid="{206A5719-EFF1-416F-AAB4-0AA214AE6461}" name="Spalte12450"/>
    <tableColumn id="12468" xr3:uid="{E8E98013-9CA2-49FA-9F6A-007D0E3C3AFB}" name="Spalte12451"/>
    <tableColumn id="12469" xr3:uid="{953A2FD3-08B2-4668-9743-D8D4848F0FB1}" name="Spalte12452"/>
    <tableColumn id="12470" xr3:uid="{D0DC4765-E179-46F2-BB59-E334E79E931F}" name="Spalte12453"/>
    <tableColumn id="12471" xr3:uid="{8A8056F4-6FBB-43CE-B173-545203A7A7DE}" name="Spalte12454"/>
    <tableColumn id="12472" xr3:uid="{4E2D85C9-8A24-4583-A489-E0B104DDBFEF}" name="Spalte12455"/>
    <tableColumn id="12473" xr3:uid="{05901FEF-B029-4F84-9446-39D4D2502988}" name="Spalte12456"/>
    <tableColumn id="12474" xr3:uid="{80B36A4C-FDF3-47BE-9759-8E98ED326E14}" name="Spalte12457"/>
    <tableColumn id="12475" xr3:uid="{BAB8460E-82EA-4C0F-A346-0A7B57CE2F4D}" name="Spalte12458"/>
    <tableColumn id="12476" xr3:uid="{1614EAEE-AE00-429E-B5C0-192952D15762}" name="Spalte12459"/>
    <tableColumn id="12477" xr3:uid="{5BAD6760-11C6-426C-8E8C-7D288CEC9586}" name="Spalte12460"/>
    <tableColumn id="12478" xr3:uid="{5586D812-92A6-42B0-9A2B-7EB9069FE8E5}" name="Spalte12461"/>
    <tableColumn id="12479" xr3:uid="{5AE0FFAD-A92E-4B77-9C87-C6697F5A1C2C}" name="Spalte12462"/>
    <tableColumn id="12480" xr3:uid="{5250C15F-8981-4B22-AC53-58AC2A32E28B}" name="Spalte12463"/>
    <tableColumn id="12481" xr3:uid="{ABF65575-195C-4B4B-9257-D8609EB082DB}" name="Spalte12464"/>
    <tableColumn id="12482" xr3:uid="{2896F25B-656E-4AEC-8858-4A1C2DED27DA}" name="Spalte12465"/>
    <tableColumn id="12483" xr3:uid="{01EB2497-3248-421C-A495-BCDAE4324483}" name="Spalte12466"/>
    <tableColumn id="12484" xr3:uid="{02545166-BF2B-4E87-A730-C490BE79E515}" name="Spalte12467"/>
    <tableColumn id="12485" xr3:uid="{402CB749-4711-40C3-BA32-1249B6653FC0}" name="Spalte12468"/>
    <tableColumn id="12486" xr3:uid="{8F44A932-6552-4489-8095-B30D1EFD9D99}" name="Spalte12469"/>
    <tableColumn id="12487" xr3:uid="{1A88C63E-1E48-464A-A20D-75CA249A8207}" name="Spalte12470"/>
    <tableColumn id="12488" xr3:uid="{4BC16060-5819-4167-A71F-2B0DE48D7364}" name="Spalte12471"/>
    <tableColumn id="12489" xr3:uid="{54E0D36F-63B6-40C4-A043-006D39A46AB6}" name="Spalte12472"/>
    <tableColumn id="12490" xr3:uid="{D20C996B-B9C3-47B4-99E7-30B3E4415F56}" name="Spalte12473"/>
    <tableColumn id="12491" xr3:uid="{6654DFDF-0B13-4B52-8DE6-134ED628B2A8}" name="Spalte12474"/>
    <tableColumn id="12492" xr3:uid="{E3B1B8D1-3685-4A88-8BBE-3101ED12CCF4}" name="Spalte12475"/>
    <tableColumn id="12493" xr3:uid="{46A20204-8C41-4106-B7B1-68785AA08E53}" name="Spalte12476"/>
    <tableColumn id="12494" xr3:uid="{17306A24-CC52-47C4-991E-3B6C987EC158}" name="Spalte12477"/>
    <tableColumn id="12495" xr3:uid="{BE55610F-0100-465D-9F48-42FE9F856F94}" name="Spalte12478"/>
    <tableColumn id="12496" xr3:uid="{4D674767-5389-4FAB-89B6-8BD9F8AA1914}" name="Spalte12479"/>
    <tableColumn id="12497" xr3:uid="{A6183A00-DB61-4A2D-A580-849311682A18}" name="Spalte12480"/>
    <tableColumn id="12498" xr3:uid="{1288DFD2-8792-4372-9937-508592C25591}" name="Spalte12481"/>
    <tableColumn id="12499" xr3:uid="{201429B9-9E1C-489C-BA05-D8E575AE3745}" name="Spalte12482"/>
    <tableColumn id="12500" xr3:uid="{7218DC22-963C-4350-A48C-B9CFB4B4D88B}" name="Spalte12483"/>
    <tableColumn id="12501" xr3:uid="{F3E9827B-5B0F-4D17-BBAA-5F03EE3D6B2A}" name="Spalte12484"/>
    <tableColumn id="12502" xr3:uid="{60D54E9A-0EA6-4E2B-9310-BEE69630BAF4}" name="Spalte12485"/>
    <tableColumn id="12503" xr3:uid="{0DAB2000-960A-4CCE-AFBE-0771EFC41D55}" name="Spalte12486"/>
    <tableColumn id="12504" xr3:uid="{FEC06D37-006E-4133-B903-AF77B71A1706}" name="Spalte12487"/>
    <tableColumn id="12505" xr3:uid="{98FD3B14-5473-4AFC-AFB0-36A495AE2D3D}" name="Spalte12488"/>
    <tableColumn id="12506" xr3:uid="{AEE1BF4F-C877-4CEA-B340-FB5C7E237DBA}" name="Spalte12489"/>
    <tableColumn id="12507" xr3:uid="{CD82AE3F-3948-41CF-9B12-587EBCD840B2}" name="Spalte12490"/>
    <tableColumn id="12508" xr3:uid="{53A7CEE4-18CC-4E88-A908-7D93D20DE17F}" name="Spalte12491"/>
    <tableColumn id="12509" xr3:uid="{37B79ADE-AB29-4F4D-9734-BA1E9F262671}" name="Spalte12492"/>
    <tableColumn id="12510" xr3:uid="{3402B078-7601-405C-9085-12DE90B43058}" name="Spalte12493"/>
    <tableColumn id="12511" xr3:uid="{18427123-7A2F-46C0-9E0A-5630FE8085DA}" name="Spalte12494"/>
    <tableColumn id="12512" xr3:uid="{3B6A267F-6CB3-4758-9E7B-B45DBB6F5FAB}" name="Spalte12495"/>
    <tableColumn id="12513" xr3:uid="{AB70A674-5F29-4BD6-9F15-7B0E88AAA972}" name="Spalte12496"/>
    <tableColumn id="12514" xr3:uid="{0DE1DD16-3EC9-4E7F-94A3-5CFA5F8186F0}" name="Spalte12497"/>
    <tableColumn id="12515" xr3:uid="{CBDF83CF-BDC1-42E4-BC82-1D61D4F3FDB0}" name="Spalte12498"/>
    <tableColumn id="12516" xr3:uid="{3A1C1DAE-0BC6-4E9B-9004-34CCCF5F107D}" name="Spalte12499"/>
    <tableColumn id="12517" xr3:uid="{999D215F-FA0F-4F12-84FE-401A75DF6FB7}" name="Spalte12500"/>
    <tableColumn id="12518" xr3:uid="{3E9360A8-2E3A-48A2-AB50-85CC8A8DACE2}" name="Spalte12501"/>
    <tableColumn id="12519" xr3:uid="{B2F88EAC-AAAA-4560-9797-611E1BE960EB}" name="Spalte12502"/>
    <tableColumn id="12520" xr3:uid="{CEB271B4-198C-416F-8534-905B463A5E22}" name="Spalte12503"/>
    <tableColumn id="12521" xr3:uid="{1366498B-DF3A-478A-826E-A2214400D535}" name="Spalte12504"/>
    <tableColumn id="12522" xr3:uid="{002BC1C9-E87E-4269-9487-DC4E3AB25B93}" name="Spalte12505"/>
    <tableColumn id="12523" xr3:uid="{ECF8218D-0E54-4DC7-AF35-51D340E9DC8D}" name="Spalte12506"/>
    <tableColumn id="12524" xr3:uid="{A8B2CF66-09BF-4331-B05F-30B20F0D7089}" name="Spalte12507"/>
    <tableColumn id="12525" xr3:uid="{88D7314D-D7A3-45A0-B24A-DA396C627919}" name="Spalte12508"/>
    <tableColumn id="12526" xr3:uid="{5FC3EF11-3BCD-4C28-9931-928B1EA5F2E1}" name="Spalte12509"/>
    <tableColumn id="12527" xr3:uid="{EFC43B6E-4A47-4698-8DE5-9680F1FE1701}" name="Spalte12510"/>
    <tableColumn id="12528" xr3:uid="{58C0AFC4-2D3B-4D94-8237-8D3CD20AC99E}" name="Spalte12511"/>
    <tableColumn id="12529" xr3:uid="{FB39060A-B562-4BDB-A6CB-FB225BC980FF}" name="Spalte12512"/>
    <tableColumn id="12530" xr3:uid="{6B44B585-20DA-4FA9-B4EB-86169CAC6C5D}" name="Spalte12513"/>
    <tableColumn id="12531" xr3:uid="{F7C97E00-47BD-4608-8FC4-E6479188EEFC}" name="Spalte12514"/>
    <tableColumn id="12532" xr3:uid="{6518B5C4-8305-4C68-AD6A-2BAEC82B31D8}" name="Spalte12515"/>
    <tableColumn id="12533" xr3:uid="{3F63492D-9D80-4E9B-AA10-0AEC3D925C33}" name="Spalte12516"/>
    <tableColumn id="12534" xr3:uid="{5DE0A2DC-8446-4B70-8BB3-9474CB4E678D}" name="Spalte12517"/>
    <tableColumn id="12535" xr3:uid="{2587A8E8-088D-4A6A-812D-20997668967D}" name="Spalte12518"/>
    <tableColumn id="12536" xr3:uid="{3DBE2CBC-B404-4522-A229-D37E1DF90AD3}" name="Spalte12519"/>
    <tableColumn id="12537" xr3:uid="{6E8B6279-4B16-49FE-9759-934EA99436DD}" name="Spalte12520"/>
    <tableColumn id="12538" xr3:uid="{300DC93C-E4A6-4D3A-97C7-802617629516}" name="Spalte12521"/>
    <tableColumn id="12539" xr3:uid="{D6FAE33D-0CDB-4C6C-8DE0-A5B5CAD9F1D9}" name="Spalte12522"/>
    <tableColumn id="12540" xr3:uid="{C0C36773-4D31-4B16-99F8-1D29F45DCEAD}" name="Spalte12523"/>
    <tableColumn id="12541" xr3:uid="{0319DE0E-7195-4F9B-A573-BB55636187A6}" name="Spalte12524"/>
    <tableColumn id="12542" xr3:uid="{DD33714E-71B0-4AAB-BEEE-610CC0EDF97B}" name="Spalte12525"/>
    <tableColumn id="12543" xr3:uid="{C64E47F8-78E1-4331-8FBB-69EEA70A1597}" name="Spalte12526"/>
    <tableColumn id="12544" xr3:uid="{6AB0BE52-1CBE-43C8-8212-249313AD9D5C}" name="Spalte12527"/>
    <tableColumn id="12545" xr3:uid="{30C145BA-C456-4CB0-A401-24C6A06F22D7}" name="Spalte12528"/>
    <tableColumn id="12546" xr3:uid="{364FA8D7-A41C-4D1E-B36B-66426950D754}" name="Spalte12529"/>
    <tableColumn id="12547" xr3:uid="{D755FED9-4415-4D7F-A65C-D2DD29114ED2}" name="Spalte12530"/>
    <tableColumn id="12548" xr3:uid="{22F25375-EB65-47CD-81C5-2BF4988D2FA6}" name="Spalte12531"/>
    <tableColumn id="12549" xr3:uid="{2AE35239-C71F-47AC-BDD5-E1049D728F9D}" name="Spalte12532"/>
    <tableColumn id="12550" xr3:uid="{60085169-4160-4D4F-BF01-316F41DA60C4}" name="Spalte12533"/>
    <tableColumn id="12551" xr3:uid="{9D430ED4-D2EF-4C13-8622-A9CB39E43032}" name="Spalte12534"/>
    <tableColumn id="12552" xr3:uid="{63E514DC-5558-48BC-88BF-C27151858C31}" name="Spalte12535"/>
    <tableColumn id="12553" xr3:uid="{2B939EEF-B938-463E-84A0-57C717AE4471}" name="Spalte12536"/>
    <tableColumn id="12554" xr3:uid="{2590A55A-47C0-482D-BFB0-2E2270653302}" name="Spalte12537"/>
    <tableColumn id="12555" xr3:uid="{942499DF-92EE-47C3-BF47-5DB16D5D6F91}" name="Spalte12538"/>
    <tableColumn id="12556" xr3:uid="{1406DE6A-AB75-4F76-A390-3810A3559C16}" name="Spalte12539"/>
    <tableColumn id="12557" xr3:uid="{8760413A-A421-4D0C-B922-557856CE7FBD}" name="Spalte12540"/>
    <tableColumn id="12558" xr3:uid="{08518CEF-2CC5-4BCC-A416-9A78637B44BE}" name="Spalte12541"/>
    <tableColumn id="12559" xr3:uid="{3299C3A9-DDBE-48C4-B42A-133D245C8334}" name="Spalte12542"/>
    <tableColumn id="12560" xr3:uid="{1A7845C0-8928-4E82-8F4F-F9F9B29E1A43}" name="Spalte12543"/>
    <tableColumn id="12561" xr3:uid="{7143DB71-FBE2-4452-8B28-53AC3EEB8EC0}" name="Spalte12544"/>
    <tableColumn id="12562" xr3:uid="{5C09FCE4-D976-4F90-89C2-961B3CF62A10}" name="Spalte12545"/>
    <tableColumn id="12563" xr3:uid="{28E43AF1-7620-4181-8689-55E16F380E66}" name="Spalte12546"/>
    <tableColumn id="12564" xr3:uid="{48B83C0F-CD7A-4111-B76E-3C6EA2EB5177}" name="Spalte12547"/>
    <tableColumn id="12565" xr3:uid="{5B822F8F-7C54-4C45-B4FF-8D68B38C55AB}" name="Spalte12548"/>
    <tableColumn id="12566" xr3:uid="{C166640C-8BA4-47DC-BDE1-1F429D094FFA}" name="Spalte12549"/>
    <tableColumn id="12567" xr3:uid="{B9CBEE89-5A9D-464B-A592-948A9E22FA87}" name="Spalte12550"/>
    <tableColumn id="12568" xr3:uid="{93620899-73EC-432C-9E41-00E1787C03F5}" name="Spalte12551"/>
    <tableColumn id="12569" xr3:uid="{F9FF4982-F702-4983-AB92-9BD50AEF6EF1}" name="Spalte12552"/>
    <tableColumn id="12570" xr3:uid="{9DCEDF70-8053-4809-A262-A6CFE139463C}" name="Spalte12553"/>
    <tableColumn id="12571" xr3:uid="{7E15AECA-93B3-4B5C-A046-01DA11F6B40A}" name="Spalte12554"/>
    <tableColumn id="12572" xr3:uid="{447DA60B-5EF9-421B-970D-D53E6904F9CB}" name="Spalte12555"/>
    <tableColumn id="12573" xr3:uid="{1857BF43-0CBD-4D5F-91C2-94BB6D055515}" name="Spalte12556"/>
    <tableColumn id="12574" xr3:uid="{DEE2AA2E-091B-47A8-82D1-6D7C2A91126F}" name="Spalte12557"/>
    <tableColumn id="12575" xr3:uid="{F2D52BAB-93FD-4A04-A0CB-E6F602B69F88}" name="Spalte12558"/>
    <tableColumn id="12576" xr3:uid="{CC73995A-313E-42A0-918C-098F864CACAC}" name="Spalte12559"/>
    <tableColumn id="12577" xr3:uid="{C03385B4-8575-426C-8F04-01EF81F3F074}" name="Spalte12560"/>
    <tableColumn id="12578" xr3:uid="{108E6BB2-853E-46FA-A751-173803523917}" name="Spalte12561"/>
    <tableColumn id="12579" xr3:uid="{F79AD9E2-D106-43D1-9187-8E4930EF3FE7}" name="Spalte12562"/>
    <tableColumn id="12580" xr3:uid="{A10C3C32-B9B8-4B5A-90C4-39556F9B26F6}" name="Spalte12563"/>
    <tableColumn id="12581" xr3:uid="{D0A2648F-F76C-4390-8DFD-0ED3034987EA}" name="Spalte12564"/>
    <tableColumn id="12582" xr3:uid="{A4646F9F-5A37-47B6-AF96-F33E03CC669A}" name="Spalte12565"/>
    <tableColumn id="12583" xr3:uid="{8957D03D-A4FB-42D6-99DB-55EB60C72B6D}" name="Spalte12566"/>
    <tableColumn id="12584" xr3:uid="{8868DCCD-0B98-4AE9-8080-5CA232982CC2}" name="Spalte12567"/>
    <tableColumn id="12585" xr3:uid="{898812E2-BDB7-4EE9-A9B1-BB530131B657}" name="Spalte12568"/>
    <tableColumn id="12586" xr3:uid="{2D3C6007-8220-4D8D-99B0-A7DE858009A8}" name="Spalte12569"/>
    <tableColumn id="12587" xr3:uid="{09430641-6CE0-4F9E-9F71-539E0BE3E3A2}" name="Spalte12570"/>
    <tableColumn id="12588" xr3:uid="{23904E21-2F4F-4CF1-A0C6-700874AB4110}" name="Spalte12571"/>
    <tableColumn id="12589" xr3:uid="{E4FEBF20-C3FD-40D1-9CA2-8575EBA28870}" name="Spalte12572"/>
    <tableColumn id="12590" xr3:uid="{AD78D2CA-ACCD-41BD-ABAE-76750A44E22F}" name="Spalte12573"/>
    <tableColumn id="12591" xr3:uid="{F9F404E0-47C5-44FA-916A-A97C3C667E2C}" name="Spalte12574"/>
    <tableColumn id="12592" xr3:uid="{32EFF542-294D-476A-9A69-011418D0E195}" name="Spalte12575"/>
    <tableColumn id="12593" xr3:uid="{7C7908C0-0C46-42C7-8E36-3A1FF529D536}" name="Spalte12576"/>
    <tableColumn id="12594" xr3:uid="{98F8439D-848E-4E73-AF4D-1AC07EDCEB01}" name="Spalte12577"/>
    <tableColumn id="12595" xr3:uid="{35895E77-1B0C-4722-9422-6D640781C342}" name="Spalte12578"/>
    <tableColumn id="12596" xr3:uid="{A5C49773-63DC-41BB-BFFE-E4439EDA1B0E}" name="Spalte12579"/>
    <tableColumn id="12597" xr3:uid="{87BDB8E6-5EF5-4E21-9CBA-96D7AF6AEBE8}" name="Spalte12580"/>
    <tableColumn id="12598" xr3:uid="{4D96CDA7-C9EA-444B-88CE-06C084D9B5B5}" name="Spalte12581"/>
    <tableColumn id="12599" xr3:uid="{3B7E0FF3-EEDB-463A-A4EC-4758193A3E5C}" name="Spalte12582"/>
    <tableColumn id="12600" xr3:uid="{B09C4583-69FE-4C7A-85D4-2D98C00B91B6}" name="Spalte12583"/>
    <tableColumn id="12601" xr3:uid="{7969744E-48F7-49E1-8E74-7A9E58DB7041}" name="Spalte12584"/>
    <tableColumn id="12602" xr3:uid="{B7BAA1C7-2010-4BAC-AFEC-FB9AD7D53C0D}" name="Spalte12585"/>
    <tableColumn id="12603" xr3:uid="{413D6C36-B31A-47C4-94D4-2C2D654CF034}" name="Spalte12586"/>
    <tableColumn id="12604" xr3:uid="{5D020215-C3B7-40F1-8BD1-3FD82BFA9F32}" name="Spalte12587"/>
    <tableColumn id="12605" xr3:uid="{14E7E1FA-B8FA-4A0E-B023-12EDF66FA8DA}" name="Spalte12588"/>
    <tableColumn id="12606" xr3:uid="{9D17EA74-B0B7-438B-BD12-CDD7503DFE0C}" name="Spalte12589"/>
    <tableColumn id="12607" xr3:uid="{ED80DC1C-EDE2-49EB-9F92-7BE9FEA1C38B}" name="Spalte12590"/>
    <tableColumn id="12608" xr3:uid="{CC4AD3BA-9F29-4A2F-92CF-B290841C2435}" name="Spalte12591"/>
    <tableColumn id="12609" xr3:uid="{2F1F2FEC-332D-4349-9AE4-83A3DE664256}" name="Spalte12592"/>
    <tableColumn id="12610" xr3:uid="{48E9ECD7-C55F-4708-9B16-9A0181F1B519}" name="Spalte12593"/>
    <tableColumn id="12611" xr3:uid="{A4D44309-6196-4E9C-B5E4-3AB0D6F7966A}" name="Spalte12594"/>
    <tableColumn id="12612" xr3:uid="{B1F17030-637B-488A-BF3D-0A0D30876175}" name="Spalte12595"/>
    <tableColumn id="12613" xr3:uid="{8B4F6C70-1095-4A3A-8C84-127AAA94C865}" name="Spalte12596"/>
    <tableColumn id="12614" xr3:uid="{C439FDC0-1E43-4FF1-998D-90C383E11797}" name="Spalte12597"/>
    <tableColumn id="12615" xr3:uid="{547AE862-8CF0-4D87-BB2F-BD1EFC4575DC}" name="Spalte12598"/>
    <tableColumn id="12616" xr3:uid="{6E548701-8181-4A01-AC6E-24DF1E03953E}" name="Spalte12599"/>
    <tableColumn id="12617" xr3:uid="{ECEEA04F-6F09-4DDA-9895-EE70406B0C0C}" name="Spalte12600"/>
    <tableColumn id="12618" xr3:uid="{6D9D4F27-C10F-41FF-9138-25CA650A7675}" name="Spalte12601"/>
    <tableColumn id="12619" xr3:uid="{B6D4DEE7-34ED-48E6-A478-4B364B2F5590}" name="Spalte12602"/>
    <tableColumn id="12620" xr3:uid="{0662ABC8-165D-4E74-AE6B-D7527AE1DD37}" name="Spalte12603"/>
    <tableColumn id="12621" xr3:uid="{CD95D296-0CAB-43EF-BC4E-12C8128AE0FB}" name="Spalte12604"/>
    <tableColumn id="12622" xr3:uid="{AF094EEC-9630-4202-BCB3-7EE965F431AD}" name="Spalte12605"/>
    <tableColumn id="12623" xr3:uid="{BA1B3BF4-C627-49A2-B7BF-09A890EEC2AB}" name="Spalte12606"/>
    <tableColumn id="12624" xr3:uid="{B6423142-0C07-46E7-8397-704C3FECAE85}" name="Spalte12607"/>
    <tableColumn id="12625" xr3:uid="{34FB2997-BB37-4D55-B6BC-CE18A47D81DA}" name="Spalte12608"/>
    <tableColumn id="12626" xr3:uid="{DA8C409F-D965-4255-946B-31DB18CD73A8}" name="Spalte12609"/>
    <tableColumn id="12627" xr3:uid="{F64AAD46-A4DA-468D-9B5B-B1D04EFE9EA2}" name="Spalte12610"/>
    <tableColumn id="12628" xr3:uid="{3765CB66-5731-4580-8250-5C36A02D5A97}" name="Spalte12611"/>
    <tableColumn id="12629" xr3:uid="{2EBB18B3-27ED-4B95-B21F-039DDC8862AD}" name="Spalte12612"/>
    <tableColumn id="12630" xr3:uid="{354A4FDE-6E8D-485D-B110-1572B51067A9}" name="Spalte12613"/>
    <tableColumn id="12631" xr3:uid="{0E533E02-3A77-4149-82F3-8A84E1576497}" name="Spalte12614"/>
    <tableColumn id="12632" xr3:uid="{FE4258E2-1330-418C-B7A3-E055510426D8}" name="Spalte12615"/>
    <tableColumn id="12633" xr3:uid="{FAB95F9C-9FF5-4F95-813A-4143D34BEAEB}" name="Spalte12616"/>
    <tableColumn id="12634" xr3:uid="{59DA6A46-1B8F-4477-884F-516DBD47ED12}" name="Spalte12617"/>
    <tableColumn id="12635" xr3:uid="{F0A3C7E4-3034-4711-B7FB-F0A871D0E72D}" name="Spalte12618"/>
    <tableColumn id="12636" xr3:uid="{C572A636-F2F4-4559-BFA3-EBFE21FC696D}" name="Spalte12619"/>
    <tableColumn id="12637" xr3:uid="{3AF0389C-41E7-4395-9311-D58AAF2840B9}" name="Spalte12620"/>
    <tableColumn id="12638" xr3:uid="{FA90474B-DE04-42E5-A338-0C189E7BBE80}" name="Spalte12621"/>
    <tableColumn id="12639" xr3:uid="{83D0ED7C-C296-4676-A171-551AF24DF5D5}" name="Spalte12622"/>
    <tableColumn id="12640" xr3:uid="{8CCD589A-EE3C-4FAA-A960-8A53C56A3FEC}" name="Spalte12623"/>
    <tableColumn id="12641" xr3:uid="{8AEDA503-0A39-4FF5-AA30-B66F4CBDFC2C}" name="Spalte12624"/>
    <tableColumn id="12642" xr3:uid="{EB20BA8C-D7E6-4303-AE2D-138CCFB469EC}" name="Spalte12625"/>
    <tableColumn id="12643" xr3:uid="{156111CA-3A3D-45DC-A660-EE15A9A5893E}" name="Spalte12626"/>
    <tableColumn id="12644" xr3:uid="{4D6FC6E7-C744-4AA4-BC1E-5C74D7E0135A}" name="Spalte12627"/>
    <tableColumn id="12645" xr3:uid="{F2CC95EA-2E1D-4212-BC06-A4841FC4EF1A}" name="Spalte12628"/>
    <tableColumn id="12646" xr3:uid="{08CB5F62-BC2C-40C3-BFA3-FBA28C32E372}" name="Spalte12629"/>
    <tableColumn id="12647" xr3:uid="{6590E425-F858-45E3-AA69-A10EB7E3434D}" name="Spalte12630"/>
    <tableColumn id="12648" xr3:uid="{A3C264BD-0DB0-426F-8154-CF26C17C25B0}" name="Spalte12631"/>
    <tableColumn id="12649" xr3:uid="{1DA7DF30-7172-42A1-B5DC-474BD788A367}" name="Spalte12632"/>
    <tableColumn id="12650" xr3:uid="{9216BA77-1EFF-4495-849A-3687FB54C90F}" name="Spalte12633"/>
    <tableColumn id="12651" xr3:uid="{F5BBB9D2-3E95-482A-A724-49716298CF44}" name="Spalte12634"/>
    <tableColumn id="12652" xr3:uid="{2F459CFA-E125-48D7-B58B-C559A11996CB}" name="Spalte12635"/>
    <tableColumn id="12653" xr3:uid="{419D9B89-C56B-4721-8AD2-94C50FD50432}" name="Spalte12636"/>
    <tableColumn id="12654" xr3:uid="{AA3CC1E1-C7CA-49A8-B4E1-5EC0CEB80B0B}" name="Spalte12637"/>
    <tableColumn id="12655" xr3:uid="{271791E6-A611-4486-8EF1-1CDE1E086600}" name="Spalte12638"/>
    <tableColumn id="12656" xr3:uid="{8CB42785-9D75-46AD-915C-7CD9595B4838}" name="Spalte12639"/>
    <tableColumn id="12657" xr3:uid="{B1996C95-6F16-4846-A23E-564F54690EC9}" name="Spalte12640"/>
    <tableColumn id="12658" xr3:uid="{EADDEFA8-0A3D-48FB-AA4E-8D869293E4F1}" name="Spalte12641"/>
    <tableColumn id="12659" xr3:uid="{8FFB5CA0-E22B-4BB4-AB34-D1C6030C5FA2}" name="Spalte12642"/>
    <tableColumn id="12660" xr3:uid="{719FA6BF-30D9-4C29-B9F2-E0D85764B45E}" name="Spalte12643"/>
    <tableColumn id="12661" xr3:uid="{CED7A7DC-CC62-493C-842C-A4C05BAF54FD}" name="Spalte12644"/>
    <tableColumn id="12662" xr3:uid="{59B204F5-2431-45F2-B353-2F80BBE12747}" name="Spalte12645"/>
    <tableColumn id="12663" xr3:uid="{D88229CD-B5DC-44D1-B085-AB441D7DEA89}" name="Spalte12646"/>
    <tableColumn id="12664" xr3:uid="{C319E36A-1A1D-4F90-B2F0-C7D6D3AEFA94}" name="Spalte12647"/>
    <tableColumn id="12665" xr3:uid="{F1BAAB5E-1F70-4141-8DF1-E6E990B6FD23}" name="Spalte12648"/>
    <tableColumn id="12666" xr3:uid="{CBB67FD6-5181-4D9F-B5E0-F54EA56515C4}" name="Spalte12649"/>
    <tableColumn id="12667" xr3:uid="{297FADBE-86C1-4BE7-8EA6-393A0F771420}" name="Spalte12650"/>
    <tableColumn id="12668" xr3:uid="{B4BEF7CE-BADE-4181-9C6E-6BC619763B02}" name="Spalte12651"/>
    <tableColumn id="12669" xr3:uid="{AAB305F5-3E62-40B5-99EC-7F223779B3A3}" name="Spalte12652"/>
    <tableColumn id="12670" xr3:uid="{15F8FF72-97C8-4D60-9043-C7445789BDBB}" name="Spalte12653"/>
    <tableColumn id="12671" xr3:uid="{2FA21162-0F94-47AE-AF33-0950627A08DD}" name="Spalte12654"/>
    <tableColumn id="12672" xr3:uid="{24566BF4-DBD8-45E4-92AD-650F58F440FE}" name="Spalte12655"/>
    <tableColumn id="12673" xr3:uid="{263DB784-F2AF-4757-955C-73985D5D904B}" name="Spalte12656"/>
    <tableColumn id="12674" xr3:uid="{EB5F2023-C153-470A-A9F4-654081F90FBE}" name="Spalte12657"/>
    <tableColumn id="12675" xr3:uid="{5A8BC480-DE26-4741-80A4-4CF40744CDDB}" name="Spalte12658"/>
    <tableColumn id="12676" xr3:uid="{A2BCF1C4-6ADC-44C0-8956-0C36C58411C9}" name="Spalte12659"/>
    <tableColumn id="12677" xr3:uid="{B62DA697-3BA9-4C90-A05F-FA634764F130}" name="Spalte12660"/>
    <tableColumn id="12678" xr3:uid="{383EDAF4-0C78-4485-B399-6D9657D69D8E}" name="Spalte12661"/>
    <tableColumn id="12679" xr3:uid="{BD1783E1-1660-4E8E-BE86-A2AF25EF8C10}" name="Spalte12662"/>
    <tableColumn id="12680" xr3:uid="{E0916A76-7207-403A-A22F-659133867AE5}" name="Spalte12663"/>
    <tableColumn id="12681" xr3:uid="{7EEA4128-787F-4C39-96B9-2EB964F1D6EF}" name="Spalte12664"/>
    <tableColumn id="12682" xr3:uid="{A532D54E-A16D-47A5-8657-536E497DA013}" name="Spalte12665"/>
    <tableColumn id="12683" xr3:uid="{7E27218C-35C1-4839-B673-E45E3D31749D}" name="Spalte12666"/>
    <tableColumn id="12684" xr3:uid="{3E57C4A5-68C9-4C06-8BC5-A519A90B9339}" name="Spalte12667"/>
    <tableColumn id="12685" xr3:uid="{BF5783A2-D605-4A73-80CD-97372D6663A6}" name="Spalte12668"/>
    <tableColumn id="12686" xr3:uid="{1DB11128-0784-4DC2-9967-67CFC484D92B}" name="Spalte12669"/>
    <tableColumn id="12687" xr3:uid="{5959A9E2-2B8A-48B1-A4AC-9AC2006B1008}" name="Spalte12670"/>
    <tableColumn id="12688" xr3:uid="{D1F28210-FCB8-43A9-B00F-4E6A50D9BA00}" name="Spalte12671"/>
    <tableColumn id="12689" xr3:uid="{7A4DA52B-B17B-41ED-ACD9-27AE2F83A666}" name="Spalte12672"/>
    <tableColumn id="12690" xr3:uid="{A0C0CA5E-CDC4-4327-BEBC-530CE25E83DB}" name="Spalte12673"/>
    <tableColumn id="12691" xr3:uid="{FA9953F1-23F5-4181-9E09-1DBBDDBF7B75}" name="Spalte12674"/>
    <tableColumn id="12692" xr3:uid="{BE69FFF2-B4BA-4AFA-A46A-2D32F6D68AA5}" name="Spalte12675"/>
    <tableColumn id="12693" xr3:uid="{C68BD10D-B45F-4111-B424-76FFA1EDA62A}" name="Spalte12676"/>
    <tableColumn id="12694" xr3:uid="{3DAD502A-0FED-44A7-B6C3-535896B3FEB3}" name="Spalte12677"/>
    <tableColumn id="12695" xr3:uid="{2C740FBE-5FD4-4855-BCCC-92D138CB9EDC}" name="Spalte12678"/>
    <tableColumn id="12696" xr3:uid="{97A41F71-6200-402C-A2CB-FE143A4F774F}" name="Spalte12679"/>
    <tableColumn id="12697" xr3:uid="{1B543980-940E-4E9C-93E2-BDCA3BCB8264}" name="Spalte12680"/>
    <tableColumn id="12698" xr3:uid="{08D5BADB-16B8-477C-8BCC-738340185B6E}" name="Spalte12681"/>
    <tableColumn id="12699" xr3:uid="{63CF47DF-ECB1-4F18-842B-928FB126CBAD}" name="Spalte12682"/>
    <tableColumn id="12700" xr3:uid="{0A0A08E8-78AD-4C7B-8F9B-8CBDE0078A22}" name="Spalte12683"/>
    <tableColumn id="12701" xr3:uid="{C5B07BD9-7E4D-4F4A-BBE4-F5EFAA921435}" name="Spalte12684"/>
    <tableColumn id="12702" xr3:uid="{E8850767-EF8A-4258-AF82-67D7E0C8DA03}" name="Spalte12685"/>
    <tableColumn id="12703" xr3:uid="{6EB86D29-988F-46CA-84DF-4DBBF1FB9916}" name="Spalte12686"/>
    <tableColumn id="12704" xr3:uid="{15EC31E6-C4AA-44CB-A6C1-5C62DE1C87E5}" name="Spalte12687"/>
    <tableColumn id="12705" xr3:uid="{ECBD749B-E824-4B58-950D-E84DA9B6C9B3}" name="Spalte12688"/>
    <tableColumn id="12706" xr3:uid="{FB8FCC64-AA33-4BD2-AA6F-2FC5D65C4543}" name="Spalte12689"/>
    <tableColumn id="12707" xr3:uid="{AB2509BB-8D18-4A0A-AB12-FD01D39590BF}" name="Spalte12690"/>
    <tableColumn id="12708" xr3:uid="{89ECEF9E-8BE0-4218-A7F3-CFD0D3F9CA80}" name="Spalte12691"/>
    <tableColumn id="12709" xr3:uid="{F18C0823-9713-4B14-B236-D09CBE346CF2}" name="Spalte12692"/>
    <tableColumn id="12710" xr3:uid="{EDD3DF29-72C9-4D3B-921B-F50A08AFE338}" name="Spalte12693"/>
    <tableColumn id="12711" xr3:uid="{D0992723-0530-4E29-857C-19D4BF48F0A8}" name="Spalte12694"/>
    <tableColumn id="12712" xr3:uid="{ED099A76-838F-4B97-AFDC-E6BD718F7A31}" name="Spalte12695"/>
    <tableColumn id="12713" xr3:uid="{5C0340D1-AB15-4EE2-BCFD-4FC43842B474}" name="Spalte12696"/>
    <tableColumn id="12714" xr3:uid="{F2977C7D-6A11-45B4-A9D9-C1FBAEC387FE}" name="Spalte12697"/>
    <tableColumn id="12715" xr3:uid="{D32363B4-1106-4C79-9F0D-0C4EFE961EFA}" name="Spalte12698"/>
    <tableColumn id="12716" xr3:uid="{764A2317-6EDF-4635-A62E-4B5CC58D04DD}" name="Spalte12699"/>
    <tableColumn id="12717" xr3:uid="{0F1727DE-CD9A-49F5-ACFA-B77140D0B520}" name="Spalte12700"/>
    <tableColumn id="12718" xr3:uid="{7CA6CAE9-3746-40B6-A52C-49348D0E89F6}" name="Spalte12701"/>
    <tableColumn id="12719" xr3:uid="{DDD67EA8-CA87-4FB6-B372-2941695AB7D4}" name="Spalte12702"/>
    <tableColumn id="12720" xr3:uid="{DCDE055F-209F-4522-91FC-C02145A2ABBB}" name="Spalte12703"/>
    <tableColumn id="12721" xr3:uid="{0BC07DA6-4470-44A2-BFD0-972FB1D26A9F}" name="Spalte12704"/>
    <tableColumn id="12722" xr3:uid="{750F3C42-C25B-4796-BB34-F5A93DAA53DA}" name="Spalte12705"/>
    <tableColumn id="12723" xr3:uid="{8D12BA9C-3F69-4234-BFD3-4E3E9C13EF5E}" name="Spalte12706"/>
    <tableColumn id="12724" xr3:uid="{B58C3FB9-66CB-49BD-A857-8CC6F41978C2}" name="Spalte12707"/>
    <tableColumn id="12725" xr3:uid="{B73C654C-BA74-4AED-99D5-6BB8FE1BF0DA}" name="Spalte12708"/>
    <tableColumn id="12726" xr3:uid="{84637A1A-0D51-461D-8840-F6C5BF7039D4}" name="Spalte12709"/>
    <tableColumn id="12727" xr3:uid="{39E238BA-18D3-4922-837C-5B3D9DE5C551}" name="Spalte12710"/>
    <tableColumn id="12728" xr3:uid="{127A667D-1E4E-4027-AE0C-170689099018}" name="Spalte12711"/>
    <tableColumn id="12729" xr3:uid="{048FC27D-6D44-43B5-A106-2D4C7F4348DE}" name="Spalte12712"/>
    <tableColumn id="12730" xr3:uid="{D417CC82-165F-44DC-93B6-EA7E531B7A8D}" name="Spalte12713"/>
    <tableColumn id="12731" xr3:uid="{1B7BC483-CD19-4002-B1F5-4BFC52FB21A6}" name="Spalte12714"/>
    <tableColumn id="12732" xr3:uid="{655254AC-F092-451F-8D3F-0B11CAC24A36}" name="Spalte12715"/>
    <tableColumn id="12733" xr3:uid="{46E1EA52-96B2-4DF4-B687-BA85730B7FAD}" name="Spalte12716"/>
    <tableColumn id="12734" xr3:uid="{3349ADBE-C896-4E4E-9B90-CCEA44CA7C76}" name="Spalte12717"/>
    <tableColumn id="12735" xr3:uid="{6864A3E7-D698-4AC5-AB76-31383BE63BA7}" name="Spalte12718"/>
    <tableColumn id="12736" xr3:uid="{3599A4C1-61DB-4D3E-93EE-12BC505F4760}" name="Spalte12719"/>
    <tableColumn id="12737" xr3:uid="{24FF26FD-8F65-42D3-8420-77125BAB0645}" name="Spalte12720"/>
    <tableColumn id="12738" xr3:uid="{7DFA26FD-3503-463D-A604-D1C0D049343C}" name="Spalte12721"/>
    <tableColumn id="12739" xr3:uid="{CBEDF075-4977-4D5A-A675-30EC5ED68220}" name="Spalte12722"/>
    <tableColumn id="12740" xr3:uid="{851171E1-9A9D-4046-A85B-3A56538B73FB}" name="Spalte12723"/>
    <tableColumn id="12741" xr3:uid="{AB7BB9A5-7BCB-4C25-BED6-B4AAE175DACD}" name="Spalte12724"/>
    <tableColumn id="12742" xr3:uid="{C67E7D39-95A9-438B-BF2E-F5F57554E291}" name="Spalte12725"/>
    <tableColumn id="12743" xr3:uid="{DBF56261-B253-4245-AA71-7B799FF0176D}" name="Spalte12726"/>
    <tableColumn id="12744" xr3:uid="{30B6D0CC-A9CF-4CA1-8419-85489FECC3B4}" name="Spalte12727"/>
    <tableColumn id="12745" xr3:uid="{E880F736-EDE1-45E1-A347-68EB867D70B7}" name="Spalte12728"/>
    <tableColumn id="12746" xr3:uid="{37862236-08B2-42B6-B223-708792C025B0}" name="Spalte12729"/>
    <tableColumn id="12747" xr3:uid="{A97B295B-2040-4C2E-A0A1-7FBEA90337A9}" name="Spalte12730"/>
    <tableColumn id="12748" xr3:uid="{791781A8-BE79-4760-AC5A-5282BDC33A20}" name="Spalte12731"/>
    <tableColumn id="12749" xr3:uid="{A4447F7F-1C17-47C8-879B-EBE45B7BC0B1}" name="Spalte12732"/>
    <tableColumn id="12750" xr3:uid="{DE52F2C2-DCF5-48D9-A4FD-4969C5AD89AD}" name="Spalte12733"/>
    <tableColumn id="12751" xr3:uid="{53770515-129C-4267-91B1-87453EA397B8}" name="Spalte12734"/>
    <tableColumn id="12752" xr3:uid="{B5538B63-275F-4DB1-A7D3-0EC4E5D65B49}" name="Spalte12735"/>
    <tableColumn id="12753" xr3:uid="{E8D5759C-22AE-40D3-A228-A488AD4C22A5}" name="Spalte12736"/>
    <tableColumn id="12754" xr3:uid="{2C1C1735-021F-4035-83E8-E95DE4429DF0}" name="Spalte12737"/>
    <tableColumn id="12755" xr3:uid="{D237B092-EA35-4A86-84FD-0413A1BF5F31}" name="Spalte12738"/>
    <tableColumn id="12756" xr3:uid="{883A3E00-33E8-4D74-ABCB-1BA36196CC2E}" name="Spalte12739"/>
    <tableColumn id="12757" xr3:uid="{7347D6FB-E407-49CE-822C-D765A3DE8236}" name="Spalte12740"/>
    <tableColumn id="12758" xr3:uid="{F38B0283-2DC5-417D-9160-6E2015DD4A91}" name="Spalte12741"/>
    <tableColumn id="12759" xr3:uid="{30C24769-F4C9-4D7E-A5E1-605E5474F72A}" name="Spalte12742"/>
    <tableColumn id="12760" xr3:uid="{AC3725AE-6A2F-4249-9545-68B41F50D074}" name="Spalte12743"/>
    <tableColumn id="12761" xr3:uid="{04C95CFB-C1E9-426E-BF4C-14D088F23A2A}" name="Spalte12744"/>
    <tableColumn id="12762" xr3:uid="{602373B0-8C6B-49F3-AEE1-D9EA58B1EAEF}" name="Spalte12745"/>
    <tableColumn id="12763" xr3:uid="{968F1564-87E4-457F-88D1-20EF2FEF6750}" name="Spalte12746"/>
    <tableColumn id="12764" xr3:uid="{C2012E82-0D36-449C-AEF3-9B8F3BAD8B84}" name="Spalte12747"/>
    <tableColumn id="12765" xr3:uid="{DF324DAF-C31A-4F47-B984-6BA38D5C1B81}" name="Spalte12748"/>
    <tableColumn id="12766" xr3:uid="{E6D344D4-372B-48FB-8320-C336B2955472}" name="Spalte12749"/>
    <tableColumn id="12767" xr3:uid="{7F3596A0-A31E-4FDE-8E21-6D3D1DA0F51E}" name="Spalte12750"/>
    <tableColumn id="12768" xr3:uid="{9B5590E9-BBEB-4DC2-BCC9-81485D6DD8F2}" name="Spalte12751"/>
    <tableColumn id="12769" xr3:uid="{9D580286-B730-4AF5-8FAA-06A9E5ECBFCA}" name="Spalte12752"/>
    <tableColumn id="12770" xr3:uid="{13C0C8C9-5B86-45ED-8335-269FF7336251}" name="Spalte12753"/>
    <tableColumn id="12771" xr3:uid="{44300643-81CC-456A-9253-F27959DA8C56}" name="Spalte12754"/>
    <tableColumn id="12772" xr3:uid="{BF9150FC-753A-47E9-9182-293BEE94D18C}" name="Spalte12755"/>
    <tableColumn id="12773" xr3:uid="{9B825E0E-3D39-4F9B-B6D1-C4EC9BBDCAF0}" name="Spalte12756"/>
    <tableColumn id="12774" xr3:uid="{886D1489-4E6F-4562-B17F-FEBA8F6483E5}" name="Spalte12757"/>
    <tableColumn id="12775" xr3:uid="{20ECEA6B-EA4C-4685-9AD2-AC140DAC7C27}" name="Spalte12758"/>
    <tableColumn id="12776" xr3:uid="{BC816CEA-F552-44A9-A064-02FA9B9AD5FB}" name="Spalte12759"/>
    <tableColumn id="12777" xr3:uid="{A8F0F906-3A19-445D-A54E-5C3202F3365E}" name="Spalte12760"/>
    <tableColumn id="12778" xr3:uid="{A1B26212-156B-408D-B001-A5CA40D03472}" name="Spalte12761"/>
    <tableColumn id="12779" xr3:uid="{4AB8A4E4-5108-4213-8C7B-360556BC305A}" name="Spalte12762"/>
    <tableColumn id="12780" xr3:uid="{6FDF52CB-944D-42E4-903C-73A600EA36DF}" name="Spalte12763"/>
    <tableColumn id="12781" xr3:uid="{3BBC040D-374E-4ECF-B444-61F9516680FE}" name="Spalte12764"/>
    <tableColumn id="12782" xr3:uid="{1EDCF07F-12CA-481C-BDC9-CD3C2E22D92A}" name="Spalte12765"/>
    <tableColumn id="12783" xr3:uid="{8F6A8FC9-32F7-4E12-B81A-AB70C2B46C3D}" name="Spalte12766"/>
    <tableColumn id="12784" xr3:uid="{68C58C76-3CBF-4749-AE09-E45DE47A52A3}" name="Spalte12767"/>
    <tableColumn id="12785" xr3:uid="{A39B643B-FF70-4796-A5B4-D9E81DF3BBB5}" name="Spalte12768"/>
    <tableColumn id="12786" xr3:uid="{C3397298-4175-4C30-BDE5-970DA2513C8A}" name="Spalte12769"/>
    <tableColumn id="12787" xr3:uid="{EF797A79-9D40-4CBF-AC83-5FCFAEA35648}" name="Spalte12770"/>
    <tableColumn id="12788" xr3:uid="{16E6DEB0-1AD6-4232-A60E-DE8D5B2B49A9}" name="Spalte12771"/>
    <tableColumn id="12789" xr3:uid="{AD608A82-0B0B-4EA6-86A0-8D2AC86CF116}" name="Spalte12772"/>
    <tableColumn id="12790" xr3:uid="{2B6CC873-7A96-4820-A60E-24E1B9AD58EB}" name="Spalte12773"/>
    <tableColumn id="12791" xr3:uid="{10D336D2-CBB5-4A79-897E-C1D73A23F17D}" name="Spalte12774"/>
    <tableColumn id="12792" xr3:uid="{CB58CE15-E655-4E58-90BA-7C4312BA44FE}" name="Spalte12775"/>
    <tableColumn id="12793" xr3:uid="{CFB69C54-BF60-450B-94E7-C999D762F55C}" name="Spalte12776"/>
    <tableColumn id="12794" xr3:uid="{E025D589-6E71-49C8-B412-181AEA913A9A}" name="Spalte12777"/>
    <tableColumn id="12795" xr3:uid="{7D5C91D2-4B7C-4C3B-9108-BD9F6C9C7C6B}" name="Spalte12778"/>
    <tableColumn id="12796" xr3:uid="{1C073764-FB08-4448-B0D7-02F816924011}" name="Spalte12779"/>
    <tableColumn id="12797" xr3:uid="{400867F8-FE39-4F61-90F8-7FB5303C3655}" name="Spalte12780"/>
    <tableColumn id="12798" xr3:uid="{B2E9459A-B51E-4850-9A45-B06523F47C40}" name="Spalte12781"/>
    <tableColumn id="12799" xr3:uid="{94E0AE87-4538-4204-A45C-3CCCCB169EF3}" name="Spalte12782"/>
    <tableColumn id="12800" xr3:uid="{E54DA1A2-9C05-4C39-B404-8663259A1652}" name="Spalte12783"/>
    <tableColumn id="12801" xr3:uid="{0FAAAC8E-F807-4645-9960-127EB981E1CA}" name="Spalte12784"/>
    <tableColumn id="12802" xr3:uid="{14E983F3-49ED-4F21-8DEB-BC9177287225}" name="Spalte12785"/>
    <tableColumn id="12803" xr3:uid="{2D279780-0DEA-4709-9E4F-7B06299EEA17}" name="Spalte12786"/>
    <tableColumn id="12804" xr3:uid="{8D1C03A9-F2EF-462F-8233-4E283F997720}" name="Spalte12787"/>
    <tableColumn id="12805" xr3:uid="{4AEB1EB6-9972-49B1-8930-7DB8525D1FBB}" name="Spalte12788"/>
    <tableColumn id="12806" xr3:uid="{22D4057B-0B6C-4604-9165-7CA0C9B0FD4A}" name="Spalte12789"/>
    <tableColumn id="12807" xr3:uid="{822B3635-C56C-4FAD-91C2-4B5B738A3EE0}" name="Spalte12790"/>
    <tableColumn id="12808" xr3:uid="{0267F0A1-CD93-42A3-86C2-AE0DC01905E4}" name="Spalte12791"/>
    <tableColumn id="12809" xr3:uid="{37CADF67-5006-4ECB-9796-FDAAAF201796}" name="Spalte12792"/>
    <tableColumn id="12810" xr3:uid="{8F19CFFB-3225-499D-8282-FCCE0D2BC90D}" name="Spalte12793"/>
    <tableColumn id="12811" xr3:uid="{BA65A34C-1051-4364-B6BF-6A2C1DD9EC06}" name="Spalte12794"/>
    <tableColumn id="12812" xr3:uid="{4F8CE6FD-F03F-4ADA-A031-5B20151D2FDD}" name="Spalte12795"/>
    <tableColumn id="12813" xr3:uid="{823DABBF-A0C0-463B-8B2F-494CA03982A1}" name="Spalte12796"/>
    <tableColumn id="12814" xr3:uid="{C4AA335D-1730-4564-B0DB-DDC8F4ED7F04}" name="Spalte12797"/>
    <tableColumn id="12815" xr3:uid="{AAD5D809-9F2C-4E36-BCB0-FF44E5C6D5DF}" name="Spalte12798"/>
    <tableColumn id="12816" xr3:uid="{1D93FA58-40BF-4FED-ACD9-96FCEF5B53A6}" name="Spalte12799"/>
    <tableColumn id="12817" xr3:uid="{6C3619BE-4E7A-4AC2-9280-116166C96668}" name="Spalte12800"/>
    <tableColumn id="12818" xr3:uid="{EE68204D-A723-4D46-A06F-C8B9B38EB8A9}" name="Spalte12801"/>
    <tableColumn id="12819" xr3:uid="{4EE62C7D-6C09-4B62-9483-3E7768DDB597}" name="Spalte12802"/>
    <tableColumn id="12820" xr3:uid="{FC2A613D-3CFE-468D-A15F-3026C58642F0}" name="Spalte12803"/>
    <tableColumn id="12821" xr3:uid="{E26190A3-6386-4B1A-AD77-55DE4FD6C792}" name="Spalte12804"/>
    <tableColumn id="12822" xr3:uid="{A91FAD26-37F0-460B-BD19-66B3CCE8CC02}" name="Spalte12805"/>
    <tableColumn id="12823" xr3:uid="{D8828681-8F79-47B5-963D-FE6998A400A1}" name="Spalte12806"/>
    <tableColumn id="12824" xr3:uid="{0DB50B52-0160-474C-9430-B1F6B69DEC68}" name="Spalte12807"/>
    <tableColumn id="12825" xr3:uid="{02F5B3D1-61CB-4225-937B-D937459697A9}" name="Spalte12808"/>
    <tableColumn id="12826" xr3:uid="{5C8DBF99-FA4E-454B-A9E9-7BC6E67FBA3B}" name="Spalte12809"/>
    <tableColumn id="12827" xr3:uid="{C7AE25A5-24EB-487D-89A2-F8DF570D485A}" name="Spalte12810"/>
    <tableColumn id="12828" xr3:uid="{E3BBBD27-19B4-4121-A8BC-8DCBA33E0C4D}" name="Spalte12811"/>
    <tableColumn id="12829" xr3:uid="{DB887C78-4892-4656-9F95-67BEF57FB161}" name="Spalte12812"/>
    <tableColumn id="12830" xr3:uid="{F6DDD123-880E-4A51-BE6C-7DA8F9C5C25B}" name="Spalte12813"/>
    <tableColumn id="12831" xr3:uid="{9750F7C6-76E0-4580-AC6A-6F9C76BE540F}" name="Spalte12814"/>
    <tableColumn id="12832" xr3:uid="{2B283C75-9949-4681-B15E-B67354BF83B6}" name="Spalte12815"/>
    <tableColumn id="12833" xr3:uid="{0F9BB1C5-A091-419F-9031-726353BC1680}" name="Spalte12816"/>
    <tableColumn id="12834" xr3:uid="{0A2FC1AB-56BB-4A7B-983C-B796FBA2E68C}" name="Spalte12817"/>
    <tableColumn id="12835" xr3:uid="{C5F860BB-DF6D-4B2D-AE0E-36EA5CB1697A}" name="Spalte12818"/>
    <tableColumn id="12836" xr3:uid="{3F77B039-2A89-4F38-8C74-2B9B4B9C76F9}" name="Spalte12819"/>
    <tableColumn id="12837" xr3:uid="{081C494E-23CF-47FA-ACC0-ED93610CB1FF}" name="Spalte12820"/>
    <tableColumn id="12838" xr3:uid="{2D65D882-B366-4912-AEAA-EB51F5439AC5}" name="Spalte12821"/>
    <tableColumn id="12839" xr3:uid="{03001F8C-795F-4BAB-A34A-7827D93765DA}" name="Spalte12822"/>
    <tableColumn id="12840" xr3:uid="{F824C555-68FD-4866-872B-EB09761ADDF6}" name="Spalte12823"/>
    <tableColumn id="12841" xr3:uid="{5E1C37DE-75BA-406C-B2DE-8B753171BFCC}" name="Spalte12824"/>
    <tableColumn id="12842" xr3:uid="{37091F0C-5D8C-4B22-A7A0-FBE9FC159801}" name="Spalte12825"/>
    <tableColumn id="12843" xr3:uid="{C390F696-6E93-4042-9F9A-3453A9D8E81E}" name="Spalte12826"/>
    <tableColumn id="12844" xr3:uid="{74DF4E26-4619-4321-B52A-65A5D0557B07}" name="Spalte12827"/>
    <tableColumn id="12845" xr3:uid="{1EC70479-0063-4674-B9F9-92300E8F74E4}" name="Spalte12828"/>
    <tableColumn id="12846" xr3:uid="{4B90C6E2-0F5F-49FB-9962-FF4C847A7150}" name="Spalte12829"/>
    <tableColumn id="12847" xr3:uid="{4A249C0F-39C3-4088-8FD2-52EF2C559298}" name="Spalte12830"/>
    <tableColumn id="12848" xr3:uid="{EF7EFA28-EF12-4F6D-AB52-FBEC608E4C1E}" name="Spalte12831"/>
    <tableColumn id="12849" xr3:uid="{81A61392-0055-49A4-9718-EC05DFE3F5FA}" name="Spalte12832"/>
    <tableColumn id="12850" xr3:uid="{EAADF00A-1A6C-4C6F-B4BC-ED18D5C2A6A2}" name="Spalte12833"/>
    <tableColumn id="12851" xr3:uid="{7F5CCBA1-1775-4084-BBC9-5C4561B55C96}" name="Spalte12834"/>
    <tableColumn id="12852" xr3:uid="{CDF42716-01D5-499A-BC7E-0A56A8BA99E5}" name="Spalte12835"/>
    <tableColumn id="12853" xr3:uid="{A3E81946-6EC8-4344-AE2A-96D2501BC6E9}" name="Spalte12836"/>
    <tableColumn id="12854" xr3:uid="{4E23AA2C-0D35-492E-81FC-7B6221971C68}" name="Spalte12837"/>
    <tableColumn id="12855" xr3:uid="{A3510D54-0E05-48AB-A5C9-E232257AF305}" name="Spalte12838"/>
    <tableColumn id="12856" xr3:uid="{E242A8F2-6A27-4031-BBA0-03B62A74E20E}" name="Spalte12839"/>
    <tableColumn id="12857" xr3:uid="{367F2B2C-608A-4597-979E-A96986F26982}" name="Spalte12840"/>
    <tableColumn id="12858" xr3:uid="{8D005FA3-3391-4235-9D5A-734AE3F8FE76}" name="Spalte12841"/>
    <tableColumn id="12859" xr3:uid="{BE8F6C91-62F3-46CA-8401-9EF99B4423F6}" name="Spalte12842"/>
    <tableColumn id="12860" xr3:uid="{5FC5D1E4-0F2A-427A-BFD3-71875C0A3CA2}" name="Spalte12843"/>
    <tableColumn id="12861" xr3:uid="{7E87BA46-1C8D-460C-B2BA-99C856D713F2}" name="Spalte12844"/>
    <tableColumn id="12862" xr3:uid="{F2D8457F-151A-4639-B95E-036EF2448953}" name="Spalte12845"/>
    <tableColumn id="12863" xr3:uid="{0F310541-0C8F-4C01-9673-A3C897FBE25F}" name="Spalte12846"/>
    <tableColumn id="12864" xr3:uid="{820D5A3F-FB57-4120-894E-FC8CE8B82C19}" name="Spalte12847"/>
    <tableColumn id="12865" xr3:uid="{7B2609FB-A2E3-45D7-B65F-FC7B58869179}" name="Spalte12848"/>
    <tableColumn id="12866" xr3:uid="{269A4B93-C999-4BEB-9CC6-10D636122DEA}" name="Spalte12849"/>
    <tableColumn id="12867" xr3:uid="{86B25AFF-47E0-45CC-B041-0E7BEF6E9937}" name="Spalte12850"/>
    <tableColumn id="12868" xr3:uid="{6F633AB2-2673-4FEC-87EB-FAF91AF704FA}" name="Spalte12851"/>
    <tableColumn id="12869" xr3:uid="{06984054-2A0C-4CE7-933E-2CCD7F8E7B24}" name="Spalte12852"/>
    <tableColumn id="12870" xr3:uid="{73784F7F-E7E1-45A0-AFD8-121978FBB648}" name="Spalte12853"/>
    <tableColumn id="12871" xr3:uid="{CA9D7C28-88C8-45D8-87A6-F9FA7021DE27}" name="Spalte12854"/>
    <tableColumn id="12872" xr3:uid="{D6D6AF35-9743-4FF1-B300-02DCDFAE45F9}" name="Spalte12855"/>
    <tableColumn id="12873" xr3:uid="{252A1F94-7BBE-45B1-88C8-8E8FDF9343F1}" name="Spalte12856"/>
    <tableColumn id="12874" xr3:uid="{95FA86EF-0DE2-4B9E-9FF0-F64E64DCDF00}" name="Spalte12857"/>
    <tableColumn id="12875" xr3:uid="{C3FE6EEB-AFFE-4F10-B100-8D1AC1148E89}" name="Spalte12858"/>
    <tableColumn id="12876" xr3:uid="{1A012C05-9464-4FF7-8C26-7EF196586826}" name="Spalte12859"/>
    <tableColumn id="12877" xr3:uid="{F73CF694-3CAB-4876-8262-97FD4F2D6E13}" name="Spalte12860"/>
    <tableColumn id="12878" xr3:uid="{35431732-4219-4DE8-900F-B7F74981748C}" name="Spalte12861"/>
    <tableColumn id="12879" xr3:uid="{AC1645FD-9044-4F94-9900-C21AE33E8DD9}" name="Spalte12862"/>
    <tableColumn id="12880" xr3:uid="{9966C6D4-7293-4010-9D40-30B54AB09DFD}" name="Spalte12863"/>
    <tableColumn id="12881" xr3:uid="{770DB2B0-705D-4C19-816B-874A275FFA1A}" name="Spalte12864"/>
    <tableColumn id="12882" xr3:uid="{512576E9-90B6-426C-A3A0-46BFA5CADF20}" name="Spalte12865"/>
    <tableColumn id="12883" xr3:uid="{52E595CB-46D9-4F6C-A482-BC8044904D99}" name="Spalte12866"/>
    <tableColumn id="12884" xr3:uid="{23A9F7EF-99B3-45E3-BC8C-84ABC9DB8555}" name="Spalte12867"/>
    <tableColumn id="12885" xr3:uid="{C71DFEFF-AD2C-4159-A532-F2F0770D6C44}" name="Spalte12868"/>
    <tableColumn id="12886" xr3:uid="{34BAF543-5805-4798-BB1C-0489AB747671}" name="Spalte12869"/>
    <tableColumn id="12887" xr3:uid="{A2ACAA08-BD89-47C1-BC62-98DB1627C449}" name="Spalte12870"/>
    <tableColumn id="12888" xr3:uid="{FA28F40D-1601-44F6-AC2F-8CE6B6A4CC21}" name="Spalte12871"/>
    <tableColumn id="12889" xr3:uid="{EE3861FB-84CB-485A-B4C9-59281000C965}" name="Spalte12872"/>
    <tableColumn id="12890" xr3:uid="{5C000232-ED60-49F9-BFC8-A2A5766B9559}" name="Spalte12873"/>
    <tableColumn id="12891" xr3:uid="{22B12B11-83FF-4DD9-A93D-39882F73BC0A}" name="Spalte12874"/>
    <tableColumn id="12892" xr3:uid="{1FF8E9E1-0594-4C09-9645-E71A87D30095}" name="Spalte12875"/>
    <tableColumn id="12893" xr3:uid="{6943FC39-90A4-4DF5-9C7C-454B5E779FC2}" name="Spalte12876"/>
    <tableColumn id="12894" xr3:uid="{F0F579F7-DF18-4AB5-A38B-C6853D513896}" name="Spalte12877"/>
    <tableColumn id="12895" xr3:uid="{8A0145EA-0B2F-4446-AA7E-D033B047E67C}" name="Spalte12878"/>
    <tableColumn id="12896" xr3:uid="{AF26CB4C-D73C-4C20-8C36-8DD2774F170D}" name="Spalte12879"/>
    <tableColumn id="12897" xr3:uid="{A44B5067-C667-4B6D-9EAB-77A9FE43C14D}" name="Spalte12880"/>
    <tableColumn id="12898" xr3:uid="{96BA6611-8AAC-4C1C-9122-7180BA6AB902}" name="Spalte12881"/>
    <tableColumn id="12899" xr3:uid="{DCE8D596-2EA5-4912-8261-5B7D45BF2DD4}" name="Spalte12882"/>
    <tableColumn id="12900" xr3:uid="{120C3D96-181A-41F1-8787-62BEAF8F085D}" name="Spalte12883"/>
    <tableColumn id="12901" xr3:uid="{74193114-D028-4EA8-9C3D-35312C8901EC}" name="Spalte12884"/>
    <tableColumn id="12902" xr3:uid="{001C1A1E-F64E-4296-B262-B033BEA50EB2}" name="Spalte12885"/>
    <tableColumn id="12903" xr3:uid="{992F3EE7-6CD2-4126-BD8E-7A99DB10E1E6}" name="Spalte12886"/>
    <tableColumn id="12904" xr3:uid="{A4499AC7-EF9C-4254-B728-0C9D9044E0E4}" name="Spalte12887"/>
    <tableColumn id="12905" xr3:uid="{325E72D0-6E93-4C8E-9ED0-11BCDED5FCA7}" name="Spalte12888"/>
    <tableColumn id="12906" xr3:uid="{D6D36167-7229-4BFB-AA5F-7BA15960877D}" name="Spalte12889"/>
    <tableColumn id="12907" xr3:uid="{1730D775-BE92-4594-A0B8-D6C6FE67F271}" name="Spalte12890"/>
    <tableColumn id="12908" xr3:uid="{1CAC4C8D-23FD-4BA3-A94F-643BA433FD18}" name="Spalte12891"/>
    <tableColumn id="12909" xr3:uid="{0653A493-B665-4B51-8675-CF64E091E2AA}" name="Spalte12892"/>
    <tableColumn id="12910" xr3:uid="{7729C793-56C0-4F55-9A55-8D17D37F3907}" name="Spalte12893"/>
    <tableColumn id="12911" xr3:uid="{BA1D8734-1471-46D7-9CCD-E3430FB6BE0B}" name="Spalte12894"/>
    <tableColumn id="12912" xr3:uid="{30CED862-33CF-40A2-8127-BD977F0720F0}" name="Spalte12895"/>
    <tableColumn id="12913" xr3:uid="{6FDD119F-F826-4909-83F1-D397F116211E}" name="Spalte12896"/>
    <tableColumn id="12914" xr3:uid="{DAF4E335-B18F-4B75-A1F8-4083A35B9357}" name="Spalte12897"/>
    <tableColumn id="12915" xr3:uid="{26CC8520-2833-43FC-B0D2-3566E7CFDAC3}" name="Spalte12898"/>
    <tableColumn id="12916" xr3:uid="{9D09A836-117C-4861-ADFE-BA01064568F6}" name="Spalte12899"/>
    <tableColumn id="12917" xr3:uid="{25824C17-DEC7-440E-8A82-5D9127A677E5}" name="Spalte12900"/>
    <tableColumn id="12918" xr3:uid="{32D46E90-B0FA-4A6D-96F8-03FE84F961C1}" name="Spalte12901"/>
    <tableColumn id="12919" xr3:uid="{00037B4C-BBBB-485B-A1F7-D4443363D185}" name="Spalte12902"/>
    <tableColumn id="12920" xr3:uid="{780A449C-D2A7-4532-BAE5-DC0B7E285B9E}" name="Spalte12903"/>
    <tableColumn id="12921" xr3:uid="{3B2C50CA-6320-40E9-B151-5DFA69DBC543}" name="Spalte12904"/>
    <tableColumn id="12922" xr3:uid="{12C95E11-5EB9-4A94-894C-C75306FB0A12}" name="Spalte12905"/>
    <tableColumn id="12923" xr3:uid="{C9B1FEA8-E9E7-4F28-878E-A3110BBB3A97}" name="Spalte12906"/>
    <tableColumn id="12924" xr3:uid="{E73CF6B7-978F-4B0E-8282-D848BFCA5945}" name="Spalte12907"/>
    <tableColumn id="12925" xr3:uid="{F38DCBF8-9B45-442C-9777-ABEFDCBEB655}" name="Spalte12908"/>
    <tableColumn id="12926" xr3:uid="{2402AE9E-8967-4C6F-87B9-E0195B519936}" name="Spalte12909"/>
    <tableColumn id="12927" xr3:uid="{4149A065-B550-4BB0-B60E-56F4F4F5E3F5}" name="Spalte12910"/>
    <tableColumn id="12928" xr3:uid="{8751524D-AA2F-4776-98A1-AC9FCC769C6F}" name="Spalte12911"/>
    <tableColumn id="12929" xr3:uid="{18CF01BB-8D2F-4954-81DD-92A534322A00}" name="Spalte12912"/>
    <tableColumn id="12930" xr3:uid="{43491B40-D872-410F-B0FF-5CA12852D370}" name="Spalte12913"/>
    <tableColumn id="12931" xr3:uid="{B7501557-FA02-48D3-B494-1DD6DC78E2B9}" name="Spalte12914"/>
    <tableColumn id="12932" xr3:uid="{5113A631-0764-4DC9-A629-9842CA6DAA8F}" name="Spalte12915"/>
    <tableColumn id="12933" xr3:uid="{4C7E63AF-2DF1-4B43-A69E-05FAC785FD6E}" name="Spalte12916"/>
    <tableColumn id="12934" xr3:uid="{F14D8941-D721-478E-A075-6EED9F11416A}" name="Spalte12917"/>
    <tableColumn id="12935" xr3:uid="{7EDD2B8E-8DFA-418F-89B3-019EA64CFECE}" name="Spalte12918"/>
    <tableColumn id="12936" xr3:uid="{3CA6923D-BE13-433B-A6A4-D0FBB708F531}" name="Spalte12919"/>
    <tableColumn id="12937" xr3:uid="{3CC29C15-01A8-4C04-8831-B0AF88C98D9D}" name="Spalte12920"/>
    <tableColumn id="12938" xr3:uid="{1A408432-FB7B-4377-B4FE-895A5A1FA33D}" name="Spalte12921"/>
    <tableColumn id="12939" xr3:uid="{AAB88656-DE80-44C9-B506-B8F63429E8D8}" name="Spalte12922"/>
    <tableColumn id="12940" xr3:uid="{E68006C5-C8A5-48EC-95F3-3782A8E668BB}" name="Spalte12923"/>
    <tableColumn id="12941" xr3:uid="{1D2C1EAA-DCB0-42C6-B2AE-DE6A9717C32C}" name="Spalte12924"/>
    <tableColumn id="12942" xr3:uid="{3744A181-94BE-4077-B34E-43F8B2CF6D46}" name="Spalte12925"/>
    <tableColumn id="12943" xr3:uid="{BEE559FE-41E8-4015-AABF-166B16370B24}" name="Spalte12926"/>
    <tableColumn id="12944" xr3:uid="{F1D512E4-0ABC-4EEE-96D9-A2437AA4C470}" name="Spalte12927"/>
    <tableColumn id="12945" xr3:uid="{697F6BD9-3886-4429-B7A6-33447855F620}" name="Spalte12928"/>
    <tableColumn id="12946" xr3:uid="{64300BA8-131F-4FC9-965F-42623FFFD55A}" name="Spalte12929"/>
    <tableColumn id="12947" xr3:uid="{8224598F-A990-4270-98CC-8CD663068751}" name="Spalte12930"/>
    <tableColumn id="12948" xr3:uid="{AE074055-85DB-4B52-9FF0-DAA101FA37AF}" name="Spalte12931"/>
    <tableColumn id="12949" xr3:uid="{3B29155E-74AD-46A6-AB36-1F5BE46A19A3}" name="Spalte12932"/>
    <tableColumn id="12950" xr3:uid="{8190F3FC-7FDA-40D9-A2B4-1720422A7060}" name="Spalte12933"/>
    <tableColumn id="12951" xr3:uid="{A4695359-59F8-4FFC-ADC2-B2841F2E22E3}" name="Spalte12934"/>
    <tableColumn id="12952" xr3:uid="{03761FEC-824B-4305-AE2D-8F6159BFE330}" name="Spalte12935"/>
    <tableColumn id="12953" xr3:uid="{7A733626-A214-4A3B-8FF5-ED914857281E}" name="Spalte12936"/>
    <tableColumn id="12954" xr3:uid="{30DB199D-CEF8-4816-8735-11310AA10A65}" name="Spalte12937"/>
    <tableColumn id="12955" xr3:uid="{ADAECF8D-0E90-4A19-8766-9347C35F84A3}" name="Spalte12938"/>
    <tableColumn id="12956" xr3:uid="{34047A01-0345-4A9C-B1ED-3C6C97DCAA46}" name="Spalte12939"/>
    <tableColumn id="12957" xr3:uid="{DD5AE244-07AB-4E76-A613-BD91A2903290}" name="Spalte12940"/>
    <tableColumn id="12958" xr3:uid="{9CAC04D9-F277-4D53-83E5-E5AC2EE52F60}" name="Spalte12941"/>
    <tableColumn id="12959" xr3:uid="{69FB6084-0C34-4827-9706-4BD1B1FBA020}" name="Spalte12942"/>
    <tableColumn id="12960" xr3:uid="{3149BCDC-0A0F-4A51-9242-A33972F081A5}" name="Spalte12943"/>
    <tableColumn id="12961" xr3:uid="{71308B8F-1EE8-46AE-9330-34622643BE28}" name="Spalte12944"/>
    <tableColumn id="12962" xr3:uid="{51ECC996-680C-486D-BAEA-84998D20AC07}" name="Spalte12945"/>
    <tableColumn id="12963" xr3:uid="{1B1DEFE4-9699-458F-96EF-9516F3E6DB66}" name="Spalte12946"/>
    <tableColumn id="12964" xr3:uid="{F7691146-B01B-4E22-85E2-F28CD9C1125E}" name="Spalte12947"/>
    <tableColumn id="12965" xr3:uid="{A4A157B2-F663-43CB-A04E-BD3CEB1C8F56}" name="Spalte12948"/>
    <tableColumn id="12966" xr3:uid="{3335DAE5-9FB5-448A-B80D-ABA1EB1449F0}" name="Spalte12949"/>
    <tableColumn id="12967" xr3:uid="{C6E3F0B7-2CD0-43CA-83BC-86F26FC42937}" name="Spalte12950"/>
    <tableColumn id="12968" xr3:uid="{E68A8264-D80B-42A2-A2EB-59B7E080FD6A}" name="Spalte12951"/>
    <tableColumn id="12969" xr3:uid="{6C9EE259-B3F1-4109-8359-873A486EC94B}" name="Spalte12952"/>
    <tableColumn id="12970" xr3:uid="{C4CD0DCE-12F3-4D5C-AA99-F84811BF4903}" name="Spalte12953"/>
    <tableColumn id="12971" xr3:uid="{A550D98B-3B82-4374-A294-B099710AD0A9}" name="Spalte12954"/>
    <tableColumn id="12972" xr3:uid="{AA18C763-23C3-49CC-9134-2ED20EB0D71C}" name="Spalte12955"/>
    <tableColumn id="12973" xr3:uid="{EAA2E13C-2FA2-4CA2-B47D-F77153433E47}" name="Spalte12956"/>
    <tableColumn id="12974" xr3:uid="{8E7EA933-733B-4D35-B24A-5E44A476C986}" name="Spalte12957"/>
    <tableColumn id="12975" xr3:uid="{29EF4D3F-EC0D-4C69-8D50-6531BF239753}" name="Spalte12958"/>
    <tableColumn id="12976" xr3:uid="{38D16683-ADFB-462D-B70B-AF01EA22490C}" name="Spalte12959"/>
    <tableColumn id="12977" xr3:uid="{5D100DD1-0928-4707-B18D-C5559EC370AF}" name="Spalte12960"/>
    <tableColumn id="12978" xr3:uid="{AC07A068-6B74-4E65-99D0-A1050ECB7100}" name="Spalte12961"/>
    <tableColumn id="12979" xr3:uid="{83233F03-AC54-4B12-9F5F-86403D8C1A13}" name="Spalte12962"/>
    <tableColumn id="12980" xr3:uid="{93CAF8A5-1BCE-4574-B188-F76FD563A31A}" name="Spalte12963"/>
    <tableColumn id="12981" xr3:uid="{D318BC35-D27F-4403-978B-25885F83CD9D}" name="Spalte12964"/>
    <tableColumn id="12982" xr3:uid="{A3524A8F-685A-4C3E-A8FD-9BCF55A8D664}" name="Spalte12965"/>
    <tableColumn id="12983" xr3:uid="{C981D4E0-3A3D-48D6-83D1-6254421DF287}" name="Spalte12966"/>
    <tableColumn id="12984" xr3:uid="{5BFB0CBB-1147-496B-A6B4-AD81F74C60ED}" name="Spalte12967"/>
    <tableColumn id="12985" xr3:uid="{F4073C27-BED2-432E-818E-D4B8A05EBDE8}" name="Spalte12968"/>
    <tableColumn id="12986" xr3:uid="{FBA1A960-5742-4137-B4D5-C56B2FFA1B09}" name="Spalte12969"/>
    <tableColumn id="12987" xr3:uid="{D56E178F-6E96-42A5-BAA1-93F13034EF85}" name="Spalte12970"/>
    <tableColumn id="12988" xr3:uid="{AC491466-5743-4B77-AA91-6B579ADB1F38}" name="Spalte12971"/>
    <tableColumn id="12989" xr3:uid="{B6FE473F-6A15-4835-BCCC-18712735745C}" name="Spalte12972"/>
    <tableColumn id="12990" xr3:uid="{C5AFA52B-4F49-4A60-8A09-85930F2E4315}" name="Spalte12973"/>
    <tableColumn id="12991" xr3:uid="{6C55A4D9-7C35-4C63-AEB8-19C1847FDDA6}" name="Spalte12974"/>
    <tableColumn id="12992" xr3:uid="{209D8F3A-772F-441C-80CC-7A6E0FFA1809}" name="Spalte12975"/>
    <tableColumn id="12993" xr3:uid="{9E61461A-8357-46B2-8F2D-B7E3FDDCCCE5}" name="Spalte12976"/>
    <tableColumn id="12994" xr3:uid="{90E530E4-F63F-40A2-89F3-78E1F4459134}" name="Spalte12977"/>
    <tableColumn id="12995" xr3:uid="{A31B7DD6-4619-4FD7-B8D2-18E2E9AC1F52}" name="Spalte12978"/>
    <tableColumn id="12996" xr3:uid="{E5DB25B1-6796-4215-880C-26848032AB68}" name="Spalte12979"/>
    <tableColumn id="12997" xr3:uid="{D31B2E69-7A6E-4D14-BADB-2BB943E81C14}" name="Spalte12980"/>
    <tableColumn id="12998" xr3:uid="{1626E878-41BD-4899-B5DC-4B9D09EF8E06}" name="Spalte12981"/>
    <tableColumn id="12999" xr3:uid="{BF6A782F-44BC-4FB2-A897-7AC6A46C7BD4}" name="Spalte12982"/>
    <tableColumn id="13000" xr3:uid="{67A9618F-DE60-401E-B744-2D1F6103C735}" name="Spalte12983"/>
    <tableColumn id="13001" xr3:uid="{1AC8CEF8-6AD5-4BF4-8BA1-73B3A108D0ED}" name="Spalte12984"/>
    <tableColumn id="13002" xr3:uid="{013DF327-3B97-4656-96BB-9D4CD290D4E7}" name="Spalte12985"/>
    <tableColumn id="13003" xr3:uid="{1ED92F7D-28A9-457E-8A9C-8090A3A4E75E}" name="Spalte12986"/>
    <tableColumn id="13004" xr3:uid="{F356DB8B-C0E5-4F75-A164-90042A439BC3}" name="Spalte12987"/>
    <tableColumn id="13005" xr3:uid="{89BC98C6-B375-4482-BA9D-CC39C38C942E}" name="Spalte12988"/>
    <tableColumn id="13006" xr3:uid="{3E13AAAF-19C3-4B48-8715-161A5A45DB75}" name="Spalte12989"/>
    <tableColumn id="13007" xr3:uid="{C4E15FC4-8643-4D74-A0B7-03AB4273C3E5}" name="Spalte12990"/>
    <tableColumn id="13008" xr3:uid="{3A2DD022-8E71-41A8-A83F-35F04BC387AA}" name="Spalte12991"/>
    <tableColumn id="13009" xr3:uid="{59553EE6-A33F-422A-92E3-594F0DD09E3F}" name="Spalte12992"/>
    <tableColumn id="13010" xr3:uid="{25AEAACD-4C75-4C3F-87DC-81D4430E610E}" name="Spalte12993"/>
    <tableColumn id="13011" xr3:uid="{FADFDC5C-BAAD-4E68-9016-A9105E371AE2}" name="Spalte12994"/>
    <tableColumn id="13012" xr3:uid="{624436A2-699F-443E-8DDB-49136EC2C250}" name="Spalte12995"/>
    <tableColumn id="13013" xr3:uid="{1647BCA8-6BA9-475C-ADB1-6B638AC7E40D}" name="Spalte12996"/>
    <tableColumn id="13014" xr3:uid="{893B41B7-A01D-4EFD-9080-81381A7209D4}" name="Spalte12997"/>
    <tableColumn id="13015" xr3:uid="{64856771-D55E-42EF-A325-087287E8A9CB}" name="Spalte12998"/>
    <tableColumn id="13016" xr3:uid="{9707C61B-C3F8-4286-B7EB-1B31934276B5}" name="Spalte12999"/>
    <tableColumn id="13017" xr3:uid="{03A0F17E-3D80-42F3-9CFE-40A3F4E9F57B}" name="Spalte13000"/>
    <tableColumn id="13018" xr3:uid="{C6BE9EEE-14CA-47A7-B12C-8216510A373E}" name="Spalte13001"/>
    <tableColumn id="13019" xr3:uid="{D504BAED-FE1E-4F06-A658-9DB9598D5CD5}" name="Spalte13002"/>
    <tableColumn id="13020" xr3:uid="{E3777D99-4EB8-4DF0-8514-B4C29B5FA2FC}" name="Spalte13003"/>
    <tableColumn id="13021" xr3:uid="{D17E81A8-00FC-4F18-B58A-80EEF1E84EF9}" name="Spalte13004"/>
    <tableColumn id="13022" xr3:uid="{7F9D496D-7ECC-4D55-8034-7D7A813AA772}" name="Spalte13005"/>
    <tableColumn id="13023" xr3:uid="{C79DFD0C-04D8-4D01-BDD2-09DDDB2FC26E}" name="Spalte13006"/>
    <tableColumn id="13024" xr3:uid="{4B942EEE-41C9-4AA2-8ABF-1D61D9B11B3D}" name="Spalte13007"/>
    <tableColumn id="13025" xr3:uid="{3B925E77-210D-4A9F-8A33-65FEA501B91E}" name="Spalte13008"/>
    <tableColumn id="13026" xr3:uid="{DC7AFF43-55BD-42F6-9981-71BA11298BFF}" name="Spalte13009"/>
    <tableColumn id="13027" xr3:uid="{93B41D37-9070-4B61-9A33-9D400F1FC8D3}" name="Spalte13010"/>
    <tableColumn id="13028" xr3:uid="{89DEE9F4-856C-4F0A-9605-96E4A2F3F850}" name="Spalte13011"/>
    <tableColumn id="13029" xr3:uid="{49429F85-FEE5-4F6F-AAE5-B650806F8473}" name="Spalte13012"/>
    <tableColumn id="13030" xr3:uid="{4D4F4574-80A6-48F6-B993-F13C9B62AA7F}" name="Spalte13013"/>
    <tableColumn id="13031" xr3:uid="{6311673F-1E70-4E6A-BBDD-F8FCA4DA148E}" name="Spalte13014"/>
    <tableColumn id="13032" xr3:uid="{18CB72A9-3495-4DFF-B217-4A9B33390AF8}" name="Spalte13015"/>
    <tableColumn id="13033" xr3:uid="{3A88CA06-D87B-4B9A-9587-54683C9FFDB5}" name="Spalte13016"/>
    <tableColumn id="13034" xr3:uid="{FEC231AD-5DCB-4A57-B81C-5B8F8B542929}" name="Spalte13017"/>
    <tableColumn id="13035" xr3:uid="{D1858023-68D2-471E-B2A1-1BD9F5047004}" name="Spalte13018"/>
    <tableColumn id="13036" xr3:uid="{2C7A3CB0-E379-4215-926B-FF79E8F2F6AD}" name="Spalte13019"/>
    <tableColumn id="13037" xr3:uid="{C3D81B3D-55EA-4A9C-A103-1CF0F1288D58}" name="Spalte13020"/>
    <tableColumn id="13038" xr3:uid="{844C1CEE-9893-416C-B497-EC5BBD401475}" name="Spalte13021"/>
    <tableColumn id="13039" xr3:uid="{15D1CE44-390D-4831-8F94-97C00D49334F}" name="Spalte13022"/>
    <tableColumn id="13040" xr3:uid="{39C37A97-5F52-425E-9B1E-9A297161A541}" name="Spalte13023"/>
    <tableColumn id="13041" xr3:uid="{86D09707-7135-432E-9CF3-84111BF3B00B}" name="Spalte13024"/>
    <tableColumn id="13042" xr3:uid="{465B59B7-9154-4253-A771-23FFCFCC20B3}" name="Spalte13025"/>
    <tableColumn id="13043" xr3:uid="{F1127436-D8B6-49ED-87E0-F538295E5270}" name="Spalte13026"/>
    <tableColumn id="13044" xr3:uid="{4CC82DE4-2A97-4241-84BF-49C160A7734D}" name="Spalte13027"/>
    <tableColumn id="13045" xr3:uid="{74272179-3465-416C-A22E-A23F47AECB4C}" name="Spalte13028"/>
    <tableColumn id="13046" xr3:uid="{26182667-5759-4322-9B0A-ACEB06A0410C}" name="Spalte13029"/>
    <tableColumn id="13047" xr3:uid="{ADA5C297-E360-4F4B-BDDD-624CCC9312A7}" name="Spalte13030"/>
    <tableColumn id="13048" xr3:uid="{E7E46298-E3E7-4633-A782-F4016D512606}" name="Spalte13031"/>
    <tableColumn id="13049" xr3:uid="{2DDC337F-F050-4DE4-8617-74B4C70E0DA1}" name="Spalte13032"/>
    <tableColumn id="13050" xr3:uid="{41D712BA-5B65-4886-9716-F417E477A306}" name="Spalte13033"/>
    <tableColumn id="13051" xr3:uid="{BE964026-EAAB-44F9-A9EE-7F74CD998602}" name="Spalte13034"/>
    <tableColumn id="13052" xr3:uid="{7E3B53C7-40CD-4351-9632-07B532227A20}" name="Spalte13035"/>
    <tableColumn id="13053" xr3:uid="{35CC214E-45DE-4F07-870F-A64D45710773}" name="Spalte13036"/>
    <tableColumn id="13054" xr3:uid="{D9FAA3A8-126F-4034-8A51-7932C934DC6F}" name="Spalte13037"/>
    <tableColumn id="13055" xr3:uid="{03A7D8D3-F274-45DE-B5FD-B3D65EF76243}" name="Spalte13038"/>
    <tableColumn id="13056" xr3:uid="{2504C08F-752D-464A-B8FE-FADFECBCCA77}" name="Spalte13039"/>
    <tableColumn id="13057" xr3:uid="{8A847772-F5E8-4F30-94F1-ACA11DCA22CA}" name="Spalte13040"/>
    <tableColumn id="13058" xr3:uid="{F02DAF4E-157E-48B3-8680-11759D4130E7}" name="Spalte13041"/>
    <tableColumn id="13059" xr3:uid="{334F56B0-8A46-47E3-96C3-4C65D4523124}" name="Spalte13042"/>
    <tableColumn id="13060" xr3:uid="{65D7BB67-853D-4147-85A1-070C685E1122}" name="Spalte13043"/>
    <tableColumn id="13061" xr3:uid="{8A86CB71-DAEA-40A4-96D7-E434B012E3C5}" name="Spalte13044"/>
    <tableColumn id="13062" xr3:uid="{DD4DA1A3-A779-4CBA-8C3D-FEE2A13D9E1B}" name="Spalte13045"/>
    <tableColumn id="13063" xr3:uid="{E6B306C9-15A0-4D21-9D24-2E68D00E32A8}" name="Spalte13046"/>
    <tableColumn id="13064" xr3:uid="{C2887537-7314-45FE-A058-600F2BEDBCA7}" name="Spalte13047"/>
    <tableColumn id="13065" xr3:uid="{D3ADE2E1-523E-4B5B-827B-8BD4E9B9CE48}" name="Spalte13048"/>
    <tableColumn id="13066" xr3:uid="{C896C698-5078-4BD0-85B2-3E90E8165F60}" name="Spalte13049"/>
    <tableColumn id="13067" xr3:uid="{86ADF51A-1BF9-4E53-AAB9-4CFCA5E5F620}" name="Spalte13050"/>
    <tableColumn id="13068" xr3:uid="{D1320745-FA7F-4588-9B34-8EDC73C37630}" name="Spalte13051"/>
    <tableColumn id="13069" xr3:uid="{FEC36BAE-1B6B-483F-AC5D-268ECEB75425}" name="Spalte13052"/>
    <tableColumn id="13070" xr3:uid="{A292BBDE-AA55-4C37-B2B3-58A2B57AAE7F}" name="Spalte13053"/>
    <tableColumn id="13071" xr3:uid="{EC7F17B5-7E54-4696-8FE4-408FAE7C49CF}" name="Spalte13054"/>
    <tableColumn id="13072" xr3:uid="{C235FE7D-A6E3-48C0-88A9-FBE69C013827}" name="Spalte13055"/>
    <tableColumn id="13073" xr3:uid="{CE06B256-FDB2-44F5-A31F-5561175C5FB4}" name="Spalte13056"/>
    <tableColumn id="13074" xr3:uid="{AE4142CE-0C4D-4D9F-8F60-84465B01B848}" name="Spalte13057"/>
    <tableColumn id="13075" xr3:uid="{4C48F442-81C0-4F3D-A822-2A27B1AB7DC6}" name="Spalte13058"/>
    <tableColumn id="13076" xr3:uid="{158006C1-491D-498C-A800-93B49CD666AF}" name="Spalte13059"/>
    <tableColumn id="13077" xr3:uid="{FB9BBACD-3D14-4511-8903-91799BBBE4F8}" name="Spalte13060"/>
    <tableColumn id="13078" xr3:uid="{0CF3E395-4948-4E21-9EDA-C922732130E2}" name="Spalte13061"/>
    <tableColumn id="13079" xr3:uid="{3F9927C7-7A91-4B53-BF8B-E16A8C9A1031}" name="Spalte13062"/>
    <tableColumn id="13080" xr3:uid="{C458D478-275F-4803-92AF-39D4A6817C2A}" name="Spalte13063"/>
    <tableColumn id="13081" xr3:uid="{6372AB0E-7002-43BE-916C-190DB4AE5226}" name="Spalte13064"/>
    <tableColumn id="13082" xr3:uid="{CEE0D97A-A12A-4E90-8345-D5D9E2B9B176}" name="Spalte13065"/>
    <tableColumn id="13083" xr3:uid="{707683F6-817A-4935-9E6D-4B64835FE1DE}" name="Spalte13066"/>
    <tableColumn id="13084" xr3:uid="{8E783B8B-07B5-4E24-8505-7F23448EC888}" name="Spalte13067"/>
    <tableColumn id="13085" xr3:uid="{AFB0697B-35E5-4ED5-92AF-5A68426F065A}" name="Spalte13068"/>
    <tableColumn id="13086" xr3:uid="{8A16428E-1A78-4D63-BFCD-BDE2447EE49B}" name="Spalte13069"/>
    <tableColumn id="13087" xr3:uid="{72855AC7-0C6E-4773-AE96-3A0400B3DDCC}" name="Spalte13070"/>
    <tableColumn id="13088" xr3:uid="{6ABB37E2-2C61-4B4E-BBB2-60AF688590F3}" name="Spalte13071"/>
    <tableColumn id="13089" xr3:uid="{837EF453-0BF0-4F5B-A2F7-ECA3ED2EF245}" name="Spalte13072"/>
    <tableColumn id="13090" xr3:uid="{BD34FDB0-BFE9-4E41-9270-2BA50F02053C}" name="Spalte13073"/>
    <tableColumn id="13091" xr3:uid="{E02AE95D-306F-4CC7-B20C-986B11FD4AF8}" name="Spalte13074"/>
    <tableColumn id="13092" xr3:uid="{9C872CBB-09A8-4BC1-A589-872C724C4BE6}" name="Spalte13075"/>
    <tableColumn id="13093" xr3:uid="{3B1DC98F-2816-404B-9A37-DBF171A26B49}" name="Spalte13076"/>
    <tableColumn id="13094" xr3:uid="{DCFB664F-E4D1-4FBF-A8A7-CC235F217E7C}" name="Spalte13077"/>
    <tableColumn id="13095" xr3:uid="{E0536C81-B9DE-4763-8F6F-E3E29AB477E6}" name="Spalte13078"/>
    <tableColumn id="13096" xr3:uid="{F1490FDD-C70D-40EC-A11F-F76B45A030AF}" name="Spalte13079"/>
    <tableColumn id="13097" xr3:uid="{7AF7E939-0F0F-45A7-9085-6B38B5654B41}" name="Spalte13080"/>
    <tableColumn id="13098" xr3:uid="{292C1680-8200-4D50-BABC-393F22884EB5}" name="Spalte13081"/>
    <tableColumn id="13099" xr3:uid="{49348EF8-0999-4187-9903-6596763CA4F3}" name="Spalte13082"/>
    <tableColumn id="13100" xr3:uid="{17A909CA-3CF8-4415-8F37-2E7CDAE1A0E4}" name="Spalte13083"/>
    <tableColumn id="13101" xr3:uid="{40149DA8-26C5-49F1-A0E2-9A941391628C}" name="Spalte13084"/>
    <tableColumn id="13102" xr3:uid="{88CA4661-CDBE-4491-9767-046AFD42669F}" name="Spalte13085"/>
    <tableColumn id="13103" xr3:uid="{F0E77418-7AC0-470D-9335-346C54B0C99D}" name="Spalte13086"/>
    <tableColumn id="13104" xr3:uid="{A1A8BCE7-BB14-4702-994C-6FB823B61572}" name="Spalte13087"/>
    <tableColumn id="13105" xr3:uid="{F1CD609D-97A8-40F2-8623-2F47A6774EE7}" name="Spalte13088"/>
    <tableColumn id="13106" xr3:uid="{7C638AC7-B3F2-47D5-8426-5FB3F993BA8C}" name="Spalte13089"/>
    <tableColumn id="13107" xr3:uid="{A0841669-3E17-40D1-B772-99E4D0B2AF3A}" name="Spalte13090"/>
    <tableColumn id="13108" xr3:uid="{74A07738-236E-44EF-BD94-9A6A57E2BC59}" name="Spalte13091"/>
    <tableColumn id="13109" xr3:uid="{7C00490B-BED0-44C8-98CC-871621ADC373}" name="Spalte13092"/>
    <tableColumn id="13110" xr3:uid="{AEB915A5-DA0A-4FCC-B4FD-576B37E466C5}" name="Spalte13093"/>
    <tableColumn id="13111" xr3:uid="{7FDD447C-BF26-4E40-ACFF-F8F0E2FEAAF8}" name="Spalte13094"/>
    <tableColumn id="13112" xr3:uid="{861CF3DC-9FE0-41F4-89BA-D7CC86B5B0C0}" name="Spalte13095"/>
    <tableColumn id="13113" xr3:uid="{546FB04F-C972-4997-A3D1-7EE5C02348C3}" name="Spalte13096"/>
    <tableColumn id="13114" xr3:uid="{B52594AC-4906-46BF-87FF-2EF687538C1D}" name="Spalte13097"/>
    <tableColumn id="13115" xr3:uid="{7AA3FAF3-17AE-47D8-917B-EAF1C6E334B2}" name="Spalte13098"/>
    <tableColumn id="13116" xr3:uid="{0EA97159-90A4-47C9-9E8C-2F07BD2CA2C3}" name="Spalte13099"/>
    <tableColumn id="13117" xr3:uid="{8295657E-575F-40C9-BF06-E47AFB1B6774}" name="Spalte13100"/>
    <tableColumn id="13118" xr3:uid="{E03D36F4-FD54-47DC-9C3C-8CC2EE415530}" name="Spalte13101"/>
    <tableColumn id="13119" xr3:uid="{33BBFCA0-61CD-4AA3-BE68-E4A622E853CB}" name="Spalte13102"/>
    <tableColumn id="13120" xr3:uid="{B84F2739-B0EC-46C2-97A1-5453EA775743}" name="Spalte13103"/>
    <tableColumn id="13121" xr3:uid="{92F4B7E5-FE27-4636-8B5F-B91FFFABF317}" name="Spalte13104"/>
    <tableColumn id="13122" xr3:uid="{E1630E3E-1E64-4041-9F4A-628EDC706BF7}" name="Spalte13105"/>
    <tableColumn id="13123" xr3:uid="{7B2DC103-2243-4C09-96EF-D2E848714BA8}" name="Spalte13106"/>
    <tableColumn id="13124" xr3:uid="{11956A8D-06B2-4870-B8BB-BBCD312446B8}" name="Spalte13107"/>
    <tableColumn id="13125" xr3:uid="{0F60321D-FF7B-4E81-B29C-B6B1444B222F}" name="Spalte13108"/>
    <tableColumn id="13126" xr3:uid="{773EFFD9-9CA7-41DB-A816-BE7A821056D1}" name="Spalte13109"/>
    <tableColumn id="13127" xr3:uid="{017F1D4A-F3CA-4B4C-9DA2-CE674FFFE45E}" name="Spalte13110"/>
    <tableColumn id="13128" xr3:uid="{AD48B927-63FC-4BAA-A546-E68E8E05A589}" name="Spalte13111"/>
    <tableColumn id="13129" xr3:uid="{ABC49694-0D18-4443-8A47-54A9C73B82AA}" name="Spalte13112"/>
    <tableColumn id="13130" xr3:uid="{6BB56878-A8B2-40CE-9191-DB837D43ECDB}" name="Spalte13113"/>
    <tableColumn id="13131" xr3:uid="{77D931C0-019C-428A-9B02-160851E51269}" name="Spalte13114"/>
    <tableColumn id="13132" xr3:uid="{6C8418FC-B044-4B47-8FC1-A5EFE17BCEDE}" name="Spalte13115"/>
    <tableColumn id="13133" xr3:uid="{694B8D3D-401F-46C4-B54C-D7027F9A163C}" name="Spalte13116"/>
    <tableColumn id="13134" xr3:uid="{37AC146F-3998-4932-B4D9-EE3323DD0762}" name="Spalte13117"/>
    <tableColumn id="13135" xr3:uid="{5E285F2E-FE95-47A1-AD88-75880A35CDB6}" name="Spalte13118"/>
    <tableColumn id="13136" xr3:uid="{70A277C9-CE1F-4868-9E4D-109B4C5926E8}" name="Spalte13119"/>
    <tableColumn id="13137" xr3:uid="{EE36AE61-AF1E-4065-944A-1434FC9ACB9A}" name="Spalte13120"/>
    <tableColumn id="13138" xr3:uid="{7BC3D601-D59C-4B4F-8A7F-0296A0A638C7}" name="Spalte13121"/>
    <tableColumn id="13139" xr3:uid="{8C0C3BE5-DF44-4EF6-AECD-69A79E0149A9}" name="Spalte13122"/>
    <tableColumn id="13140" xr3:uid="{95B341D2-BCF9-48CA-9ED8-212E8245F568}" name="Spalte13123"/>
    <tableColumn id="13141" xr3:uid="{9CCE9A69-EA48-49ED-AE29-BE090DF49481}" name="Spalte13124"/>
    <tableColumn id="13142" xr3:uid="{487E2B14-E729-4611-A226-6BFDEA932322}" name="Spalte13125"/>
    <tableColumn id="13143" xr3:uid="{0D650CCF-EF95-4A2B-B84D-653A75FCE605}" name="Spalte13126"/>
    <tableColumn id="13144" xr3:uid="{91EB497F-981E-4A57-A545-CDE521D4129E}" name="Spalte13127"/>
    <tableColumn id="13145" xr3:uid="{53BB270A-B835-445F-8D06-D017F8AFA7F6}" name="Spalte13128"/>
    <tableColumn id="13146" xr3:uid="{0DD0C9D4-A0EB-46E3-B88C-DCCF4F93646D}" name="Spalte13129"/>
    <tableColumn id="13147" xr3:uid="{B59DDB7B-D8ED-4FA7-9E48-33EB6131CF83}" name="Spalte13130"/>
    <tableColumn id="13148" xr3:uid="{5ADF9962-72F0-4BB8-A11E-33C51BDF4BCE}" name="Spalte13131"/>
    <tableColumn id="13149" xr3:uid="{C5CB0F28-E278-43B2-814F-74D9DD1233A2}" name="Spalte13132"/>
    <tableColumn id="13150" xr3:uid="{4EF5D56C-EAE6-4B1E-82F8-9DAD2CD72602}" name="Spalte13133"/>
    <tableColumn id="13151" xr3:uid="{8757B303-4FF3-4D29-9600-A9218F1F9E08}" name="Spalte13134"/>
    <tableColumn id="13152" xr3:uid="{16ADBA99-14B6-4F36-8CFE-A88FB83574B0}" name="Spalte13135"/>
    <tableColumn id="13153" xr3:uid="{AB4F6D96-7CDF-4F02-8995-AF4ECC2BB01A}" name="Spalte13136"/>
    <tableColumn id="13154" xr3:uid="{1E28EA2A-0DB3-4F66-874B-4A5146C83251}" name="Spalte13137"/>
    <tableColumn id="13155" xr3:uid="{49B93B12-329C-44F0-BD35-B525CEC8B103}" name="Spalte13138"/>
    <tableColumn id="13156" xr3:uid="{6A681596-286A-4945-919E-9676F671D171}" name="Spalte13139"/>
    <tableColumn id="13157" xr3:uid="{5DC0D349-DAD1-47C2-BE55-D16A5304F54A}" name="Spalte13140"/>
    <tableColumn id="13158" xr3:uid="{67796F7B-2B6F-4467-A5EA-A071F7910C02}" name="Spalte13141"/>
    <tableColumn id="13159" xr3:uid="{C1B5BC29-5914-4087-A839-44915FA8DB5F}" name="Spalte13142"/>
    <tableColumn id="13160" xr3:uid="{2DE302DA-83D6-4AFB-8AA7-595E798CD446}" name="Spalte13143"/>
    <tableColumn id="13161" xr3:uid="{57D2C97F-6BC0-47F0-8E2D-E8C9B3276DD2}" name="Spalte13144"/>
    <tableColumn id="13162" xr3:uid="{B7A85AE7-FF65-4649-9400-F204BE5E6191}" name="Spalte13145"/>
    <tableColumn id="13163" xr3:uid="{E41FB78B-5FED-4FE7-A44F-7715807AB199}" name="Spalte13146"/>
    <tableColumn id="13164" xr3:uid="{EF7C19C0-4881-44A0-97BB-FD5B77203144}" name="Spalte13147"/>
    <tableColumn id="13165" xr3:uid="{7EA953E9-6F5E-4CA4-9DC9-8CEA39CA6CE0}" name="Spalte13148"/>
    <tableColumn id="13166" xr3:uid="{D85B49AD-A850-4A6D-9E5A-E32320CC81AA}" name="Spalte13149"/>
    <tableColumn id="13167" xr3:uid="{DFC11C86-F35C-4DA2-97A4-9EF0C4B6DF50}" name="Spalte13150"/>
    <tableColumn id="13168" xr3:uid="{723F1CEF-4B10-4705-93B0-6E05B2133E73}" name="Spalte13151"/>
    <tableColumn id="13169" xr3:uid="{341386BF-DAF3-477E-A096-83D08C2E4F13}" name="Spalte13152"/>
    <tableColumn id="13170" xr3:uid="{6BF3F1B9-1290-44B6-BC27-325637B15FA5}" name="Spalte13153"/>
    <tableColumn id="13171" xr3:uid="{471A74BE-4FC8-4F5B-AA95-9DACCB21D68C}" name="Spalte13154"/>
    <tableColumn id="13172" xr3:uid="{13961B2A-9A58-4731-87F8-65A6E27CBD44}" name="Spalte13155"/>
    <tableColumn id="13173" xr3:uid="{EB22E85B-2EB8-443C-8B0E-E8D6E0650FE3}" name="Spalte13156"/>
    <tableColumn id="13174" xr3:uid="{3589EE37-569C-4B6C-85A2-CDECB13B998D}" name="Spalte13157"/>
    <tableColumn id="13175" xr3:uid="{EEC24AC7-9536-4089-8084-D9CAC9EE6838}" name="Spalte13158"/>
    <tableColumn id="13176" xr3:uid="{14ACB6FB-A557-4BC0-83C8-80D51B146040}" name="Spalte13159"/>
    <tableColumn id="13177" xr3:uid="{D96E63E0-BA25-43F9-BD44-0817596476B4}" name="Spalte13160"/>
    <tableColumn id="13178" xr3:uid="{4419891E-1051-4BC4-83EF-D742EB36CCAC}" name="Spalte13161"/>
    <tableColumn id="13179" xr3:uid="{C4453007-2A4F-49D5-9B43-8C21DD0F2240}" name="Spalte13162"/>
    <tableColumn id="13180" xr3:uid="{C045E0B0-C572-4B2B-8753-37FBFC4005F6}" name="Spalte13163"/>
    <tableColumn id="13181" xr3:uid="{9234917B-5805-4372-8B9A-F8A7627952FA}" name="Spalte13164"/>
    <tableColumn id="13182" xr3:uid="{9F7A5C10-2EF5-4972-B2C5-FA4AAF05AB44}" name="Spalte13165"/>
    <tableColumn id="13183" xr3:uid="{0390FFC1-8590-46D5-AB0C-694433541E1F}" name="Spalte13166"/>
    <tableColumn id="13184" xr3:uid="{99568E2C-7560-4C57-8AD3-07EAEB8967B4}" name="Spalte13167"/>
    <tableColumn id="13185" xr3:uid="{D2700717-0DB8-4AF0-AA98-85298335CC0C}" name="Spalte13168"/>
    <tableColumn id="13186" xr3:uid="{2CFC3962-12AE-4D6B-826C-EE8940179AF2}" name="Spalte13169"/>
    <tableColumn id="13187" xr3:uid="{9E15CE1B-7CDF-46DA-8F24-3A482953D88D}" name="Spalte13170"/>
    <tableColumn id="13188" xr3:uid="{7C134E1A-519E-43A3-8C07-9AE6AD5A2FCC}" name="Spalte13171"/>
    <tableColumn id="13189" xr3:uid="{192C811C-792F-42BB-9600-4796350BC00D}" name="Spalte13172"/>
    <tableColumn id="13190" xr3:uid="{80002E6D-2F76-4899-B461-2A56F67E47CA}" name="Spalte13173"/>
    <tableColumn id="13191" xr3:uid="{84311F9B-9598-4653-8344-53EDF11601EA}" name="Spalte13174"/>
    <tableColumn id="13192" xr3:uid="{945738A2-D478-43BE-9D4F-48B707991B8D}" name="Spalte13175"/>
    <tableColumn id="13193" xr3:uid="{7DEDC27F-0F70-44DF-9790-7FFA764B7F7E}" name="Spalte13176"/>
    <tableColumn id="13194" xr3:uid="{B7FDC897-0C89-420D-8661-E47BD14C0EE0}" name="Spalte13177"/>
    <tableColumn id="13195" xr3:uid="{AFECA278-6A12-4848-8074-AAE3CD8708AA}" name="Spalte13178"/>
    <tableColumn id="13196" xr3:uid="{324F4ACE-8255-479F-B669-B060027C9717}" name="Spalte13179"/>
    <tableColumn id="13197" xr3:uid="{8E086AD2-A834-4FF7-8D91-666EDF68E224}" name="Spalte13180"/>
    <tableColumn id="13198" xr3:uid="{AA6FEF10-CF2B-467A-B642-7C651CC63556}" name="Spalte13181"/>
    <tableColumn id="13199" xr3:uid="{57F8C4E8-421A-4772-8EDE-2FECF84AB892}" name="Spalte13182"/>
    <tableColumn id="13200" xr3:uid="{737A2416-4D28-4C79-85AC-6DC3F16AB517}" name="Spalte13183"/>
    <tableColumn id="13201" xr3:uid="{5EFED347-00C6-47E3-BBF9-4F79F671BBA9}" name="Spalte13184"/>
    <tableColumn id="13202" xr3:uid="{E4D1B611-DEAC-4A46-8828-0720715981F2}" name="Spalte13185"/>
    <tableColumn id="13203" xr3:uid="{78C09109-5EBE-40D6-B8DE-947D865383FB}" name="Spalte13186"/>
    <tableColumn id="13204" xr3:uid="{DFF6CE65-2091-40AD-A648-DDE63BED9DF8}" name="Spalte13187"/>
    <tableColumn id="13205" xr3:uid="{E136CFF4-534C-44FE-96AF-E5AB45A3BDE7}" name="Spalte13188"/>
    <tableColumn id="13206" xr3:uid="{07AE619F-4F5E-450F-BCD6-3BAB3709F98B}" name="Spalte13189"/>
    <tableColumn id="13207" xr3:uid="{F8250D6F-8513-4158-8461-F9D6531F47C2}" name="Spalte13190"/>
    <tableColumn id="13208" xr3:uid="{755D2BA2-CF35-446E-9E77-AE9B632A9C0D}" name="Spalte13191"/>
    <tableColumn id="13209" xr3:uid="{AE3610B7-2D74-4ED8-AE66-925E83A670CA}" name="Spalte13192"/>
    <tableColumn id="13210" xr3:uid="{3CC4A2FD-CB7B-4C8E-8E63-970180449B70}" name="Spalte13193"/>
    <tableColumn id="13211" xr3:uid="{C4FEC100-A24B-4823-8F2E-7A160A89F1D8}" name="Spalte13194"/>
    <tableColumn id="13212" xr3:uid="{F63091D5-8F5D-4600-854C-716790C4A64A}" name="Spalte13195"/>
    <tableColumn id="13213" xr3:uid="{E5642A0B-595F-4CD3-8198-28E0796AF603}" name="Spalte13196"/>
    <tableColumn id="13214" xr3:uid="{CE389A12-18AE-4098-8CD8-780B4E763DEE}" name="Spalte13197"/>
    <tableColumn id="13215" xr3:uid="{0FF21552-A65B-4731-8BD3-6711A07CBB53}" name="Spalte13198"/>
    <tableColumn id="13216" xr3:uid="{D1F0D474-1D5F-4EFA-B195-78EE00F057BB}" name="Spalte13199"/>
    <tableColumn id="13217" xr3:uid="{3CA888D0-2BF1-4AE4-8959-36DED250F14D}" name="Spalte13200"/>
    <tableColumn id="13218" xr3:uid="{1925E6AB-397B-49D5-B99B-A63331BCEAB0}" name="Spalte13201"/>
    <tableColumn id="13219" xr3:uid="{C0553C0A-3AE1-4397-B052-47CECF9519DD}" name="Spalte13202"/>
    <tableColumn id="13220" xr3:uid="{8FE5A821-53A6-4B08-AFD9-EF8F289E27C6}" name="Spalte13203"/>
    <tableColumn id="13221" xr3:uid="{CF1A2C03-D081-4A9C-83A4-E41CF0E95743}" name="Spalte13204"/>
    <tableColumn id="13222" xr3:uid="{889D2851-2C98-403A-8E21-BDF39544AF86}" name="Spalte13205"/>
    <tableColumn id="13223" xr3:uid="{85A424A9-A5D3-40BB-B14E-F8A9FCA883C9}" name="Spalte13206"/>
    <tableColumn id="13224" xr3:uid="{8966C9E2-A58C-47F8-9CC5-93ACB777B588}" name="Spalte13207"/>
    <tableColumn id="13225" xr3:uid="{62F9B47E-617E-45FA-B8D9-5A3E436B96C3}" name="Spalte13208"/>
    <tableColumn id="13226" xr3:uid="{97B6E6A8-1730-4BF1-8AB4-74051144F529}" name="Spalte13209"/>
    <tableColumn id="13227" xr3:uid="{D9CADC6A-2CF4-4F45-92AD-3C685E797435}" name="Spalte13210"/>
    <tableColumn id="13228" xr3:uid="{5C5FD7C6-4636-48B5-B660-70D5AA0A5D82}" name="Spalte13211"/>
    <tableColumn id="13229" xr3:uid="{61FB2968-C082-48FF-B46F-867F44CD0E99}" name="Spalte13212"/>
    <tableColumn id="13230" xr3:uid="{9E28EEC3-29DA-4453-ACB0-19ED709AEF2B}" name="Spalte13213"/>
    <tableColumn id="13231" xr3:uid="{170E87A9-6FE8-42FD-94C4-EE5B3E19750D}" name="Spalte13214"/>
    <tableColumn id="13232" xr3:uid="{D91EB735-260D-4C42-B2B6-D1FA3749DD57}" name="Spalte13215"/>
    <tableColumn id="13233" xr3:uid="{6D062054-408C-4254-83BC-FB9A85EE6521}" name="Spalte13216"/>
    <tableColumn id="13234" xr3:uid="{3EE6597A-AEAB-4D61-A757-FE6F65B7DF3F}" name="Spalte13217"/>
    <tableColumn id="13235" xr3:uid="{0E908E54-33C9-40C7-A0BA-DF136B419A71}" name="Spalte13218"/>
    <tableColumn id="13236" xr3:uid="{50E97A9A-B9C0-46D3-A822-D167B1D43624}" name="Spalte13219"/>
    <tableColumn id="13237" xr3:uid="{D039F314-81CE-4C52-8D8A-98603DEBB91E}" name="Spalte13220"/>
    <tableColumn id="13238" xr3:uid="{435C8A6E-028A-4E7F-BFDB-83196DC631CF}" name="Spalte13221"/>
    <tableColumn id="13239" xr3:uid="{48EE9734-099F-400C-9D38-791AF18EB1A1}" name="Spalte13222"/>
    <tableColumn id="13240" xr3:uid="{E14DCD97-E90F-430D-B804-90ECEE9A1216}" name="Spalte13223"/>
    <tableColumn id="13241" xr3:uid="{D86A9B39-F9F0-42D9-838C-E9AB38DFAD28}" name="Spalte13224"/>
    <tableColumn id="13242" xr3:uid="{D4F9413D-037A-42BB-8A53-B459594136F2}" name="Spalte13225"/>
    <tableColumn id="13243" xr3:uid="{D5A40826-9A98-45D8-A3BF-6D1E99390526}" name="Spalte13226"/>
    <tableColumn id="13244" xr3:uid="{4EDA2D43-A362-4159-80D7-CB9D901768D8}" name="Spalte13227"/>
    <tableColumn id="13245" xr3:uid="{807D8237-7C27-49B3-8BC3-37558BD0B41C}" name="Spalte13228"/>
    <tableColumn id="13246" xr3:uid="{EFFD60F4-B0D5-4E75-AEB0-724284C153F4}" name="Spalte13229"/>
    <tableColumn id="13247" xr3:uid="{D7568468-5CC6-413D-8C84-15D270407A3E}" name="Spalte13230"/>
    <tableColumn id="13248" xr3:uid="{AB84D5FE-22B6-46C0-8647-29214C396BB7}" name="Spalte13231"/>
    <tableColumn id="13249" xr3:uid="{D4C7FFAD-2C45-429C-A7B5-AC1757D7FBB3}" name="Spalte13232"/>
    <tableColumn id="13250" xr3:uid="{21BDE735-5B76-44D9-949E-0E21EB81C82F}" name="Spalte13233"/>
    <tableColumn id="13251" xr3:uid="{3E173E8C-0958-48AC-9D4E-C27DFFE4E311}" name="Spalte13234"/>
    <tableColumn id="13252" xr3:uid="{067A4166-40B8-4B28-9B9B-C79E011132AD}" name="Spalte13235"/>
    <tableColumn id="13253" xr3:uid="{29C76E68-1516-4AA4-ADF3-83198B24B968}" name="Spalte13236"/>
    <tableColumn id="13254" xr3:uid="{8617191F-8E86-4D31-9044-2AB8560B7B7E}" name="Spalte13237"/>
    <tableColumn id="13255" xr3:uid="{8F58F11E-387B-453D-9505-55E5E75ADEBA}" name="Spalte13238"/>
    <tableColumn id="13256" xr3:uid="{F244BF18-7025-444D-9942-4F46EBD88D11}" name="Spalte13239"/>
    <tableColumn id="13257" xr3:uid="{915AE085-2750-4228-80C6-1CAADE5EC803}" name="Spalte13240"/>
    <tableColumn id="13258" xr3:uid="{4C347035-AD2B-431C-B8E2-E45F8D5B7F4F}" name="Spalte13241"/>
    <tableColumn id="13259" xr3:uid="{C6FF8E25-E585-45B0-BD3F-607CBCAA8723}" name="Spalte13242"/>
    <tableColumn id="13260" xr3:uid="{C667427B-77C4-43A0-B3F0-5E87A587ABB2}" name="Spalte13243"/>
    <tableColumn id="13261" xr3:uid="{22BC0EE9-983E-483D-A955-D539E89898A0}" name="Spalte13244"/>
    <tableColumn id="13262" xr3:uid="{01BC22B8-E82C-4024-AB86-36A1EEE89B49}" name="Spalte13245"/>
    <tableColumn id="13263" xr3:uid="{3BBF3236-656F-4F19-9A50-CBE7A3DDC96B}" name="Spalte13246"/>
    <tableColumn id="13264" xr3:uid="{35FDF3FD-19BD-4727-BF12-BDA67F792169}" name="Spalte13247"/>
    <tableColumn id="13265" xr3:uid="{C0E6AFAF-716F-4993-B3BC-02B3D7D4E764}" name="Spalte13248"/>
    <tableColumn id="13266" xr3:uid="{AB8E1ACE-4F03-49C1-8F0E-27A5B71D252D}" name="Spalte13249"/>
    <tableColumn id="13267" xr3:uid="{FBA6F454-02EF-4CB4-A48B-BD2DFE591A52}" name="Spalte13250"/>
    <tableColumn id="13268" xr3:uid="{FB082376-CB04-4BF3-92F9-C329A34E6A8E}" name="Spalte13251"/>
    <tableColumn id="13269" xr3:uid="{5BB01656-5458-4582-859A-2731B14DD0A3}" name="Spalte13252"/>
    <tableColumn id="13270" xr3:uid="{C38AA939-BFED-43BD-9813-DE1971B3ACBF}" name="Spalte13253"/>
    <tableColumn id="13271" xr3:uid="{1CECA534-7657-4761-A211-A14F0B011D94}" name="Spalte13254"/>
    <tableColumn id="13272" xr3:uid="{4C4C00FF-3F0E-4179-886C-9B09B1C79913}" name="Spalte13255"/>
    <tableColumn id="13273" xr3:uid="{411401F6-91B8-4A4A-841C-87BF759B252F}" name="Spalte13256"/>
    <tableColumn id="13274" xr3:uid="{D1D7729A-EE23-4B76-9FA1-8541D535FF27}" name="Spalte13257"/>
    <tableColumn id="13275" xr3:uid="{4A65D7AB-8010-4F13-8744-6AD00D74BEB8}" name="Spalte13258"/>
    <tableColumn id="13276" xr3:uid="{60952EE5-8993-4ED5-A075-437AC2547937}" name="Spalte13259"/>
    <tableColumn id="13277" xr3:uid="{B183AE0A-F023-4F8E-9CB4-BEC0A613DB8D}" name="Spalte13260"/>
    <tableColumn id="13278" xr3:uid="{7D2C5B0E-C08B-4EA8-89E4-871B700DF5C5}" name="Spalte13261"/>
    <tableColumn id="13279" xr3:uid="{E1B73BEE-655E-4FA5-B0BA-31A9FE550958}" name="Spalte13262"/>
    <tableColumn id="13280" xr3:uid="{CF21E406-707F-4A32-907E-679417927689}" name="Spalte13263"/>
    <tableColumn id="13281" xr3:uid="{A9AB0221-4D52-45F9-B6D0-2978151E3D31}" name="Spalte13264"/>
    <tableColumn id="13282" xr3:uid="{8C265FAE-2D4D-4EDF-AB5D-CFE54774C2C0}" name="Spalte13265"/>
    <tableColumn id="13283" xr3:uid="{6297A2F4-EE89-4F3E-9DD0-19E549C022AB}" name="Spalte13266"/>
    <tableColumn id="13284" xr3:uid="{97C6D8B6-9CBA-4E26-B89A-6D925E681810}" name="Spalte13267"/>
    <tableColumn id="13285" xr3:uid="{33EFA3D8-789B-4053-89C9-78EDAE5D8D18}" name="Spalte13268"/>
    <tableColumn id="13286" xr3:uid="{E72ABEFF-DDCF-4E45-A882-E8EBC8AE90CE}" name="Spalte13269"/>
    <tableColumn id="13287" xr3:uid="{DE61AD9A-D693-4881-A756-63FCF01F2FA3}" name="Spalte13270"/>
    <tableColumn id="13288" xr3:uid="{58FD60B5-092B-47F9-95D8-FB18A645AA44}" name="Spalte13271"/>
    <tableColumn id="13289" xr3:uid="{B4BBEFA0-76E8-4033-901D-00064BDB487A}" name="Spalte13272"/>
    <tableColumn id="13290" xr3:uid="{4E8DD676-A0B1-4454-BE1A-0CBE80215F56}" name="Spalte13273"/>
    <tableColumn id="13291" xr3:uid="{FBC48A3A-E1C9-4544-A142-97AA0A6C7A07}" name="Spalte13274"/>
    <tableColumn id="13292" xr3:uid="{226ECB11-DF06-499A-91D1-FB6F6C9427CC}" name="Spalte13275"/>
    <tableColumn id="13293" xr3:uid="{6241094C-0A1C-46A8-81D2-FFC02BBC41A9}" name="Spalte13276"/>
    <tableColumn id="13294" xr3:uid="{DC367943-2314-42F1-9F76-0DBF1723E243}" name="Spalte13277"/>
    <tableColumn id="13295" xr3:uid="{C090C1ED-2824-4E50-8EE0-A522592ADAF2}" name="Spalte13278"/>
    <tableColumn id="13296" xr3:uid="{1C3680F2-6E03-4254-988E-D43D4349B57F}" name="Spalte13279"/>
    <tableColumn id="13297" xr3:uid="{7A763C48-F412-406C-8BAC-C9EA563BA3F5}" name="Spalte13280"/>
    <tableColumn id="13298" xr3:uid="{E12BDEA6-37F3-4938-A89B-4CB68D148B0E}" name="Spalte13281"/>
    <tableColumn id="13299" xr3:uid="{74FC53BC-4CE9-4106-85CF-815FD9F078B4}" name="Spalte13282"/>
    <tableColumn id="13300" xr3:uid="{89C0A532-D9FC-4AD5-8B8A-988899D8926F}" name="Spalte13283"/>
    <tableColumn id="13301" xr3:uid="{BE7F9BE2-ED46-4190-AF2D-CAF209E647F9}" name="Spalte13284"/>
    <tableColumn id="13302" xr3:uid="{0B258A1B-2CF3-4C5A-9F78-D7CA7668A4E1}" name="Spalte13285"/>
    <tableColumn id="13303" xr3:uid="{C2508793-B66C-43A6-91E2-350CCB05706B}" name="Spalte13286"/>
    <tableColumn id="13304" xr3:uid="{CB0EEC2D-2F21-455B-960A-860385F229DF}" name="Spalte13287"/>
    <tableColumn id="13305" xr3:uid="{670A685F-AA03-4470-BD72-DD45A00504CF}" name="Spalte13288"/>
    <tableColumn id="13306" xr3:uid="{4778B372-3E71-4DC9-BD3D-9E4D46EA8FCE}" name="Spalte13289"/>
    <tableColumn id="13307" xr3:uid="{E567FFC9-D595-4E9C-871D-BE1980240879}" name="Spalte13290"/>
    <tableColumn id="13308" xr3:uid="{EA265920-672A-431A-BC75-81EC866D0545}" name="Spalte13291"/>
    <tableColumn id="13309" xr3:uid="{A9E4CA98-F3A4-468F-B8DC-9718FFD04247}" name="Spalte13292"/>
    <tableColumn id="13310" xr3:uid="{546D5CB7-2D81-4EFA-97AA-46BAC3C15032}" name="Spalte13293"/>
    <tableColumn id="13311" xr3:uid="{9CFFF625-6B8B-4E52-A0EF-4C7CF75ADF7A}" name="Spalte13294"/>
    <tableColumn id="13312" xr3:uid="{A13088CB-C6BD-4776-85A8-F0FED46FEA24}" name="Spalte13295"/>
    <tableColumn id="13313" xr3:uid="{24CF8734-9103-4E28-8A08-8F874D38EE84}" name="Spalte13296"/>
    <tableColumn id="13314" xr3:uid="{9C130024-1C60-4C3E-8A44-C796CC846042}" name="Spalte13297"/>
    <tableColumn id="13315" xr3:uid="{54E60733-E925-4D6E-B3CA-C973B259E060}" name="Spalte13298"/>
    <tableColumn id="13316" xr3:uid="{B615ADD7-4824-47C9-99F6-6A86D996E9AA}" name="Spalte13299"/>
    <tableColumn id="13317" xr3:uid="{7344EBEE-B98B-4FEF-9473-6C573E126938}" name="Spalte13300"/>
    <tableColumn id="13318" xr3:uid="{A27B82BE-8CD0-4C0F-8EF4-E835622C4B66}" name="Spalte13301"/>
    <tableColumn id="13319" xr3:uid="{46F64F5B-7122-48D7-80B8-F81B9272A8B8}" name="Spalte13302"/>
    <tableColumn id="13320" xr3:uid="{183F9F11-33F6-4443-9E8D-8C6B71BF7B94}" name="Spalte13303"/>
    <tableColumn id="13321" xr3:uid="{9606CAA8-7445-4224-BC82-C2C5D2DB1430}" name="Spalte13304"/>
    <tableColumn id="13322" xr3:uid="{8D676330-4964-4012-AF4B-F82665937C52}" name="Spalte13305"/>
    <tableColumn id="13323" xr3:uid="{431C27D0-B545-496B-84F2-936FDF53B447}" name="Spalte13306"/>
    <tableColumn id="13324" xr3:uid="{39E1E60A-0502-4F78-A567-66986BD3E15E}" name="Spalte13307"/>
    <tableColumn id="13325" xr3:uid="{45D6C183-C50F-42BF-85B8-667AFE41BC80}" name="Spalte13308"/>
    <tableColumn id="13326" xr3:uid="{4F65C5D8-6550-4B3E-8783-6328D73EDC5D}" name="Spalte13309"/>
    <tableColumn id="13327" xr3:uid="{30D88A75-3EAA-43C6-BA8F-8B093B9E42F7}" name="Spalte13310"/>
    <tableColumn id="13328" xr3:uid="{952FFA72-44FF-4595-B4E9-01DC3D119DA3}" name="Spalte13311"/>
    <tableColumn id="13329" xr3:uid="{95DBF366-A526-42BD-8767-6DD7BC495B5F}" name="Spalte13312"/>
    <tableColumn id="13330" xr3:uid="{03597FD2-2260-439D-9A63-8C54329F1A55}" name="Spalte13313"/>
    <tableColumn id="13331" xr3:uid="{3F8B5C5C-4346-483C-9F48-E46C8AA04C95}" name="Spalte13314"/>
    <tableColumn id="13332" xr3:uid="{65A4DED9-93C7-405C-9872-06180916C42E}" name="Spalte13315"/>
    <tableColumn id="13333" xr3:uid="{83B4FFA0-B997-4F73-A918-C8354B78992B}" name="Spalte13316"/>
    <tableColumn id="13334" xr3:uid="{AE19C0D1-B7CF-48A6-B492-418A81F0C623}" name="Spalte13317"/>
    <tableColumn id="13335" xr3:uid="{856A413E-0ACA-4529-80EE-1457D1AAAF13}" name="Spalte13318"/>
    <tableColumn id="13336" xr3:uid="{5821D65E-5A55-4DE6-BAAD-74053F973C8E}" name="Spalte13319"/>
    <tableColumn id="13337" xr3:uid="{7CF9BD37-683B-47C9-9FE1-437D7701D190}" name="Spalte13320"/>
    <tableColumn id="13338" xr3:uid="{ECF5EEC1-76F7-4214-95D8-05CCE710D8A0}" name="Spalte13321"/>
    <tableColumn id="13339" xr3:uid="{05B1884F-5ABA-4931-9BF2-EBFE6F5490E2}" name="Spalte13322"/>
    <tableColumn id="13340" xr3:uid="{6FE46601-E9B1-427E-9798-C2EDA969E5A0}" name="Spalte13323"/>
    <tableColumn id="13341" xr3:uid="{EF924BD3-7A87-49B7-A54B-9EA0F559CA84}" name="Spalte13324"/>
    <tableColumn id="13342" xr3:uid="{497654EB-7294-4FBE-81CD-6796CB3056B7}" name="Spalte13325"/>
    <tableColumn id="13343" xr3:uid="{F673025D-30BB-4B2A-A019-FDA2FD1CD02A}" name="Spalte13326"/>
    <tableColumn id="13344" xr3:uid="{664F3C91-77F6-45A4-BF46-DA356779932C}" name="Spalte13327"/>
    <tableColumn id="13345" xr3:uid="{37296DE4-AFEE-44F6-9DCE-DE38AB398CC1}" name="Spalte13328"/>
    <tableColumn id="13346" xr3:uid="{5C47AC19-1FFD-4CF9-984B-98A05E01BDA1}" name="Spalte13329"/>
    <tableColumn id="13347" xr3:uid="{CB622235-6A5D-43AD-B727-44684F27D5BA}" name="Spalte13330"/>
    <tableColumn id="13348" xr3:uid="{420FB677-503D-40EC-A868-04A77683D7A8}" name="Spalte13331"/>
    <tableColumn id="13349" xr3:uid="{FA71F914-BC0C-4B13-B09B-646C79A75279}" name="Spalte13332"/>
    <tableColumn id="13350" xr3:uid="{222EEDEC-3D0B-420A-AA29-EEFF200AEA60}" name="Spalte13333"/>
    <tableColumn id="13351" xr3:uid="{0F15C928-1299-4C18-B07D-D37C5E54B5B1}" name="Spalte13334"/>
    <tableColumn id="13352" xr3:uid="{1E04EB97-4931-4D31-90F2-AF88A04361EE}" name="Spalte13335"/>
    <tableColumn id="13353" xr3:uid="{59F28895-FCAD-4EB8-ABD5-21D56B430B21}" name="Spalte13336"/>
    <tableColumn id="13354" xr3:uid="{5D2A90DB-7991-4851-B284-0352BD3404A0}" name="Spalte13337"/>
    <tableColumn id="13355" xr3:uid="{16CA12DB-55A2-45C8-8F02-680310FCCCD2}" name="Spalte13338"/>
    <tableColumn id="13356" xr3:uid="{6FC45DE9-A857-4F30-B5FA-BFA4BBC77F71}" name="Spalte13339"/>
    <tableColumn id="13357" xr3:uid="{2BAC0AB9-E9C5-49B0-B810-C9A06051557E}" name="Spalte13340"/>
    <tableColumn id="13358" xr3:uid="{D8FDD99A-2531-4DDD-93B2-8896660242D2}" name="Spalte13341"/>
    <tableColumn id="13359" xr3:uid="{59B35D83-78DF-4A9F-8490-BD8B4990C632}" name="Spalte13342"/>
    <tableColumn id="13360" xr3:uid="{4FF24EC5-FE56-45B3-A925-82FB719ACB39}" name="Spalte13343"/>
    <tableColumn id="13361" xr3:uid="{BEE95BEC-41FC-4ACB-9B2C-5C38A4F318BD}" name="Spalte13344"/>
    <tableColumn id="13362" xr3:uid="{07BE8858-B527-418B-B2D5-8A6EBA3A63F6}" name="Spalte13345"/>
    <tableColumn id="13363" xr3:uid="{8AFEB9B3-CF31-45D5-9590-BE51A8F7248E}" name="Spalte13346"/>
    <tableColumn id="13364" xr3:uid="{6CBEE18C-AA72-4D88-BED9-6F1E38EFF395}" name="Spalte13347"/>
    <tableColumn id="13365" xr3:uid="{4E31F6B6-AF8F-48EE-8061-DE08DF7C336C}" name="Spalte13348"/>
    <tableColumn id="13366" xr3:uid="{2D678D11-1040-43B2-AB43-B7CC29A24921}" name="Spalte13349"/>
    <tableColumn id="13367" xr3:uid="{F1B8B89F-64AB-499A-A954-200A42051EE3}" name="Spalte13350"/>
    <tableColumn id="13368" xr3:uid="{23616E6E-822A-4E9F-A733-973CC76B2CF5}" name="Spalte13351"/>
    <tableColumn id="13369" xr3:uid="{DF5B0693-861E-41D2-8180-8B15C6ED9DD8}" name="Spalte13352"/>
    <tableColumn id="13370" xr3:uid="{EA44C5F1-2008-447F-B610-470E6DE4A95A}" name="Spalte13353"/>
    <tableColumn id="13371" xr3:uid="{96424ED5-FF6D-4BDF-A94F-A39BD5EE3BB4}" name="Spalte13354"/>
    <tableColumn id="13372" xr3:uid="{701908AA-3ADF-4849-A14F-0AEF765F2B86}" name="Spalte13355"/>
    <tableColumn id="13373" xr3:uid="{171897FD-61C1-4718-877A-840F1801BC20}" name="Spalte13356"/>
    <tableColumn id="13374" xr3:uid="{38BB384B-350E-4332-9E5E-21BD52D432EA}" name="Spalte13357"/>
    <tableColumn id="13375" xr3:uid="{2C3488A0-A54D-47DE-9FEE-886EC0FE6FBC}" name="Spalte13358"/>
    <tableColumn id="13376" xr3:uid="{91BF2C3A-D888-4921-B752-6EE483D784E0}" name="Spalte13359"/>
    <tableColumn id="13377" xr3:uid="{E8DCEAF7-0A61-4ADC-966A-752BB4230244}" name="Spalte13360"/>
    <tableColumn id="13378" xr3:uid="{41B7D92D-C9A6-45C5-8152-D51CDE8B4512}" name="Spalte13361"/>
    <tableColumn id="13379" xr3:uid="{EF279939-C5D8-48B3-99A5-3FDF2E57A9F5}" name="Spalte13362"/>
    <tableColumn id="13380" xr3:uid="{7A804BE5-532B-4D00-BF4C-EE69D322BBC2}" name="Spalte13363"/>
    <tableColumn id="13381" xr3:uid="{CEFEFDE1-FC8E-4C81-8CEC-F69F013AA51F}" name="Spalte13364"/>
    <tableColumn id="13382" xr3:uid="{79034FCE-26D5-4E9E-8D74-2F20FCDF8AE9}" name="Spalte13365"/>
    <tableColumn id="13383" xr3:uid="{3A41C911-CD82-498A-90AC-F11BFF14DEF1}" name="Spalte13366"/>
    <tableColumn id="13384" xr3:uid="{B167D637-61A3-44EC-956A-59A7B2295047}" name="Spalte13367"/>
    <tableColumn id="13385" xr3:uid="{229224AE-9643-4004-9B8D-992BE7A14BE5}" name="Spalte13368"/>
    <tableColumn id="13386" xr3:uid="{2019A4B1-51B6-471D-8EA7-BA2A84B05A46}" name="Spalte13369"/>
    <tableColumn id="13387" xr3:uid="{CEDF44A3-777E-4EA8-946B-DB11DE7560CB}" name="Spalte13370"/>
    <tableColumn id="13388" xr3:uid="{8D4040B6-A918-4C38-87E6-D0778352A99A}" name="Spalte13371"/>
    <tableColumn id="13389" xr3:uid="{65DBD6AD-1EF7-4FEE-AE4E-ACF79BF6A2B4}" name="Spalte13372"/>
    <tableColumn id="13390" xr3:uid="{420CDAFD-3FD2-4FC4-A208-31E13C108427}" name="Spalte13373"/>
    <tableColumn id="13391" xr3:uid="{5B731E5E-8623-4F70-BAAC-C1EB934D9019}" name="Spalte13374"/>
    <tableColumn id="13392" xr3:uid="{8121B268-0A7D-4F26-A8C0-AC0521AABCEC}" name="Spalte13375"/>
    <tableColumn id="13393" xr3:uid="{92A41A57-8015-417D-AA2F-0B35150FE243}" name="Spalte13376"/>
    <tableColumn id="13394" xr3:uid="{47923990-A8B7-4A1D-9396-43CF1A099582}" name="Spalte13377"/>
    <tableColumn id="13395" xr3:uid="{5D3802F4-966C-4150-9C7A-FFDB9801E4A8}" name="Spalte13378"/>
    <tableColumn id="13396" xr3:uid="{B95BABC5-D77A-4FD6-87C7-C8081EC8EAFF}" name="Spalte13379"/>
    <tableColumn id="13397" xr3:uid="{01661A6C-8C72-4110-B053-4EBBFE1DBCDB}" name="Spalte13380"/>
    <tableColumn id="13398" xr3:uid="{7E74351B-D7F9-4BFA-A15E-A0A3E69C21B9}" name="Spalte13381"/>
    <tableColumn id="13399" xr3:uid="{F271F70E-44F5-48F1-8DB2-666D905C0009}" name="Spalte13382"/>
    <tableColumn id="13400" xr3:uid="{74EEB494-278C-4502-BC5C-B045F207848F}" name="Spalte13383"/>
    <tableColumn id="13401" xr3:uid="{10B55D98-2781-4C55-AE77-A7D466733E0A}" name="Spalte13384"/>
    <tableColumn id="13402" xr3:uid="{86D05373-2229-4BB8-A27C-C5D93B028FC5}" name="Spalte13385"/>
    <tableColumn id="13403" xr3:uid="{8A47AEAC-E97B-4949-8D75-5ACA9310E743}" name="Spalte13386"/>
    <tableColumn id="13404" xr3:uid="{B5C608E6-5090-42EE-ABE8-6D861CF2B98B}" name="Spalte13387"/>
    <tableColumn id="13405" xr3:uid="{A545FDD3-C46C-415B-87B2-1EBF2DE3115C}" name="Spalte13388"/>
    <tableColumn id="13406" xr3:uid="{5974CD37-B183-44AE-9A35-ADC8A5F6B4D7}" name="Spalte13389"/>
    <tableColumn id="13407" xr3:uid="{93299423-975C-4B0E-862D-C06EDEF43683}" name="Spalte13390"/>
    <tableColumn id="13408" xr3:uid="{A4FC86B0-36FE-4B0D-9070-F88792590D43}" name="Spalte13391"/>
    <tableColumn id="13409" xr3:uid="{9D924A53-1F5C-425D-B11A-6E86DE747F62}" name="Spalte13392"/>
    <tableColumn id="13410" xr3:uid="{15613777-E316-4E31-9471-BAF6DE2E8737}" name="Spalte13393"/>
    <tableColumn id="13411" xr3:uid="{4CE4C762-617F-43F2-B6FA-6584357E2C23}" name="Spalte13394"/>
    <tableColumn id="13412" xr3:uid="{4D6B0036-4A45-4D67-8FCA-C067853119FC}" name="Spalte13395"/>
    <tableColumn id="13413" xr3:uid="{7B3CEDBA-DB3E-4DE1-8CE7-986A68627F08}" name="Spalte13396"/>
    <tableColumn id="13414" xr3:uid="{E1C10712-F899-4133-BF5C-680B1C4773C0}" name="Spalte13397"/>
    <tableColumn id="13415" xr3:uid="{DC089967-7D33-4872-B986-F22754D2E4B6}" name="Spalte13398"/>
    <tableColumn id="13416" xr3:uid="{91A089CC-5A50-49E1-8DD3-A9FFD72DE095}" name="Spalte13399"/>
    <tableColumn id="13417" xr3:uid="{4988AD2F-B661-4316-8185-A93D3BC1C751}" name="Spalte13400"/>
    <tableColumn id="13418" xr3:uid="{4A0DE8E6-D2FF-4A59-929A-985F8B4A13D2}" name="Spalte13401"/>
    <tableColumn id="13419" xr3:uid="{EBC516D0-E2F8-4CE0-9648-36EE2A8709DA}" name="Spalte13402"/>
    <tableColumn id="13420" xr3:uid="{F2E664D1-1C5A-4165-BC59-A0DDEE43BBDC}" name="Spalte13403"/>
    <tableColumn id="13421" xr3:uid="{2197A15B-86F8-4980-BE8B-B85BBC9C0E8A}" name="Spalte13404"/>
    <tableColumn id="13422" xr3:uid="{6BB73BBA-1D2E-4C4F-B6E4-9E2F3E323367}" name="Spalte13405"/>
    <tableColumn id="13423" xr3:uid="{10AA1FA0-7AC4-47BF-A455-451AB988EBA3}" name="Spalte13406"/>
    <tableColumn id="13424" xr3:uid="{1F69147F-0889-4038-BD41-6B862559B152}" name="Spalte13407"/>
    <tableColumn id="13425" xr3:uid="{FD4C7E6B-C7D9-4583-A369-C9D305543FD5}" name="Spalte13408"/>
    <tableColumn id="13426" xr3:uid="{26596B89-762D-4C76-934F-FE6083E24271}" name="Spalte13409"/>
    <tableColumn id="13427" xr3:uid="{C3397858-66D5-46F6-A53B-B0053AE5C535}" name="Spalte13410"/>
    <tableColumn id="13428" xr3:uid="{8348A43B-31D0-454F-9E33-051EA1DDE238}" name="Spalte13411"/>
    <tableColumn id="13429" xr3:uid="{58548706-719E-496E-A928-60FB0B9CF586}" name="Spalte13412"/>
    <tableColumn id="13430" xr3:uid="{A0B191BC-51AB-4811-AB46-82D00C791FE0}" name="Spalte13413"/>
    <tableColumn id="13431" xr3:uid="{AF19DCB4-C6D1-4285-A8BB-815D6EE35CA4}" name="Spalte13414"/>
    <tableColumn id="13432" xr3:uid="{2EB8439D-72F0-4DDB-9767-D38A88FAB393}" name="Spalte13415"/>
    <tableColumn id="13433" xr3:uid="{754F41E4-96EA-47DF-8DDC-B2FDB34C44A7}" name="Spalte13416"/>
    <tableColumn id="13434" xr3:uid="{2ACA20B5-0EA6-41CB-AE87-A99C972E63E4}" name="Spalte13417"/>
    <tableColumn id="13435" xr3:uid="{15CE21AB-AADB-44FA-8091-650CC021F56F}" name="Spalte13418"/>
    <tableColumn id="13436" xr3:uid="{12808358-AF10-441F-BD6E-DF76CC91A98D}" name="Spalte13419"/>
    <tableColumn id="13437" xr3:uid="{737BACBA-BD40-4ABE-882B-D28677FD1DCC}" name="Spalte13420"/>
    <tableColumn id="13438" xr3:uid="{935F7E1A-883D-4888-8C74-F9751CE769E7}" name="Spalte13421"/>
    <tableColumn id="13439" xr3:uid="{FCED2638-F5BD-4B6B-8EE1-FEF4514CFC75}" name="Spalte13422"/>
    <tableColumn id="13440" xr3:uid="{67689E57-0084-4A97-A5A7-C30B14758D7C}" name="Spalte13423"/>
    <tableColumn id="13441" xr3:uid="{A0F861AE-F3CB-4F0E-83EA-3A2FF4447470}" name="Spalte13424"/>
    <tableColumn id="13442" xr3:uid="{73D2C66D-8D3C-408B-A5AF-EC2C3BB09BDD}" name="Spalte13425"/>
    <tableColumn id="13443" xr3:uid="{C1EBC13B-4577-441E-AA58-014A2ADDB0F8}" name="Spalte13426"/>
    <tableColumn id="13444" xr3:uid="{FED63F07-2190-45AE-A74F-A9EB9ADD4729}" name="Spalte13427"/>
    <tableColumn id="13445" xr3:uid="{9DE55B6C-A830-40B2-BADD-1C01467FBBD4}" name="Spalte13428"/>
    <tableColumn id="13446" xr3:uid="{2B1A1E74-6264-4327-B616-CCC24AF8E220}" name="Spalte13429"/>
    <tableColumn id="13447" xr3:uid="{0022FB67-22D0-4946-B6D8-010CEE968F70}" name="Spalte13430"/>
    <tableColumn id="13448" xr3:uid="{F367C77B-F089-4592-9A02-4325C3C3E84A}" name="Spalte13431"/>
    <tableColumn id="13449" xr3:uid="{2E1DBE12-A527-45F1-AF11-F3386803A6C2}" name="Spalte13432"/>
    <tableColumn id="13450" xr3:uid="{3F87E3E6-8169-4E94-89A7-E411109C7DF1}" name="Spalte13433"/>
    <tableColumn id="13451" xr3:uid="{9C9B28D0-E57B-4F38-AD7A-B0284BA02CB2}" name="Spalte13434"/>
    <tableColumn id="13452" xr3:uid="{FDDC7BDA-D9A6-4161-B30E-C04283908C97}" name="Spalte13435"/>
    <tableColumn id="13453" xr3:uid="{AD9DA213-1158-4E81-91D2-C6B01C7B1A2B}" name="Spalte13436"/>
    <tableColumn id="13454" xr3:uid="{8FB675A0-C16A-4AC7-92C0-870A9569613C}" name="Spalte13437"/>
    <tableColumn id="13455" xr3:uid="{AF88B160-4E47-452A-809F-E071A5DAF72E}" name="Spalte13438"/>
    <tableColumn id="13456" xr3:uid="{245E4432-F9DE-4E13-A48D-191CA045C037}" name="Spalte13439"/>
    <tableColumn id="13457" xr3:uid="{5CE8C3E6-D928-40A1-8CBF-2BE6270C2244}" name="Spalte13440"/>
    <tableColumn id="13458" xr3:uid="{AA5E4394-DD9E-437D-9DD9-3B95EA3F2E67}" name="Spalte13441"/>
    <tableColumn id="13459" xr3:uid="{91E83537-8EC9-4857-81F4-8ACE41D7FC3B}" name="Spalte13442"/>
    <tableColumn id="13460" xr3:uid="{2DF7083E-328E-44FA-BE79-6BC16429922D}" name="Spalte13443"/>
    <tableColumn id="13461" xr3:uid="{7B6C46AB-EFAB-4784-8C10-74C94DDA7A4D}" name="Spalte13444"/>
    <tableColumn id="13462" xr3:uid="{1F27F441-3DDB-4EDF-BA92-27DFF54558DE}" name="Spalte13445"/>
    <tableColumn id="13463" xr3:uid="{F8349064-F6BA-440D-9B80-5827E82713B1}" name="Spalte13446"/>
    <tableColumn id="13464" xr3:uid="{8163719E-6B6C-4860-A0B7-4C996D07144E}" name="Spalte13447"/>
    <tableColumn id="13465" xr3:uid="{DFE16399-2FCC-4801-8020-675D58005A0F}" name="Spalte13448"/>
    <tableColumn id="13466" xr3:uid="{6A2F70D6-989F-43BF-BE0B-D04DCAD44C70}" name="Spalte13449"/>
    <tableColumn id="13467" xr3:uid="{AB9A1295-CCC0-416A-AC06-EFE60B04D0F1}" name="Spalte13450"/>
    <tableColumn id="13468" xr3:uid="{CB492036-C336-4A20-86FD-3A6ADBF5E227}" name="Spalte13451"/>
    <tableColumn id="13469" xr3:uid="{FBE29D8E-7D55-4A12-8E7B-440AE5EE3094}" name="Spalte13452"/>
    <tableColumn id="13470" xr3:uid="{36A17862-29F5-4A12-B0C3-896F47FFD52F}" name="Spalte13453"/>
    <tableColumn id="13471" xr3:uid="{24B81805-BFDE-440C-A9AE-EB189E50406F}" name="Spalte13454"/>
    <tableColumn id="13472" xr3:uid="{80998F12-FA41-4585-9DE2-7BCC0D4F76BA}" name="Spalte13455"/>
    <tableColumn id="13473" xr3:uid="{19034CA1-41CD-401D-8F85-9F8AAE41B0F6}" name="Spalte13456"/>
    <tableColumn id="13474" xr3:uid="{73124B4F-6CA3-4CC7-AE63-A9C3BA4406D9}" name="Spalte13457"/>
    <tableColumn id="13475" xr3:uid="{9B673182-816A-4334-87D8-5121B1AF2B11}" name="Spalte13458"/>
    <tableColumn id="13476" xr3:uid="{FA1BEEF2-4839-4B44-BC97-F3B1E85329C3}" name="Spalte13459"/>
    <tableColumn id="13477" xr3:uid="{0BD920ED-6E70-455D-8C6D-A0688EB7CC93}" name="Spalte13460"/>
    <tableColumn id="13478" xr3:uid="{FE1D2105-A59D-40A7-BD5E-7DEB3AC0BAD7}" name="Spalte13461"/>
    <tableColumn id="13479" xr3:uid="{5EB675EB-9988-4DAA-AB97-F6DF45D5C08A}" name="Spalte13462"/>
    <tableColumn id="13480" xr3:uid="{E4EE943E-D4A3-4621-8819-093BE537C424}" name="Spalte13463"/>
    <tableColumn id="13481" xr3:uid="{E335ECEF-4661-4168-A8B3-2BB035C03963}" name="Spalte13464"/>
    <tableColumn id="13482" xr3:uid="{4CE05991-75D2-4CB4-9BC8-0837113161E7}" name="Spalte13465"/>
    <tableColumn id="13483" xr3:uid="{839E53BE-9D3F-4701-88E5-868A1C9DB950}" name="Spalte13466"/>
    <tableColumn id="13484" xr3:uid="{A0A8B604-4B5D-4C33-98F6-8D1F36A53848}" name="Spalte13467"/>
    <tableColumn id="13485" xr3:uid="{43CDD43D-A0E7-4D72-905F-BE2636A62703}" name="Spalte13468"/>
    <tableColumn id="13486" xr3:uid="{F0125BF5-CCFB-4272-9203-ECE6DEB26F3C}" name="Spalte13469"/>
    <tableColumn id="13487" xr3:uid="{FB22E826-F7CE-44AE-8803-C0AD87D0AD74}" name="Spalte13470"/>
    <tableColumn id="13488" xr3:uid="{4D461A97-04DC-4C84-AD57-08FF8A26F467}" name="Spalte13471"/>
    <tableColumn id="13489" xr3:uid="{4923BF82-F4E3-4B4E-B10E-A055FE85D4CB}" name="Spalte13472"/>
    <tableColumn id="13490" xr3:uid="{43E4007E-23D1-4573-8E25-D9863510BA4E}" name="Spalte13473"/>
    <tableColumn id="13491" xr3:uid="{4A071BB7-AD0A-41D2-95B9-30423EF773B2}" name="Spalte13474"/>
    <tableColumn id="13492" xr3:uid="{867A0D9C-BB17-4FC5-8878-9EC2F345DA3E}" name="Spalte13475"/>
    <tableColumn id="13493" xr3:uid="{26DD5C50-63EE-42DD-A88B-C43558D5C43E}" name="Spalte13476"/>
    <tableColumn id="13494" xr3:uid="{C3A34BC2-14D6-4745-B2D5-E67CE8C15756}" name="Spalte13477"/>
    <tableColumn id="13495" xr3:uid="{450F23E6-F81B-47C6-8A4A-C5A7A23A13BF}" name="Spalte13478"/>
    <tableColumn id="13496" xr3:uid="{D94C7B78-3E70-4211-A7E1-F5E17D0A1298}" name="Spalte13479"/>
    <tableColumn id="13497" xr3:uid="{24AA5C19-A392-48F3-808B-C4A4C1D1FA03}" name="Spalte13480"/>
    <tableColumn id="13498" xr3:uid="{3AA508ED-E1B2-4DCD-8B04-CC7235BC2B9F}" name="Spalte13481"/>
    <tableColumn id="13499" xr3:uid="{D0349D9A-5A4E-4DED-9C31-F1CA411DAB57}" name="Spalte13482"/>
    <tableColumn id="13500" xr3:uid="{002205B1-9DC9-44B0-AF0C-D112E4FFADDA}" name="Spalte13483"/>
    <tableColumn id="13501" xr3:uid="{C7D3C13E-387A-491B-9B6C-BA4A7B437448}" name="Spalte13484"/>
    <tableColumn id="13502" xr3:uid="{990CD36C-CDD6-4216-9344-889287BBFD7D}" name="Spalte13485"/>
    <tableColumn id="13503" xr3:uid="{A539A337-50E5-4C28-8BA9-03E04BC99C6C}" name="Spalte13486"/>
    <tableColumn id="13504" xr3:uid="{939C7FF1-4E01-4B2A-9F73-1DA8BDB2B270}" name="Spalte13487"/>
    <tableColumn id="13505" xr3:uid="{D2A8F9A7-C4A2-42CD-939A-A789BAE04EDA}" name="Spalte13488"/>
    <tableColumn id="13506" xr3:uid="{F4F290CC-2063-4B96-B16E-16836957C72B}" name="Spalte13489"/>
    <tableColumn id="13507" xr3:uid="{E2E29D64-B54B-4AB8-9253-E59B1F345F31}" name="Spalte13490"/>
    <tableColumn id="13508" xr3:uid="{37D51809-EA5F-46FE-B6AE-62966C0E6571}" name="Spalte13491"/>
    <tableColumn id="13509" xr3:uid="{3BB18A23-8BD7-4568-8EDB-48C59633C141}" name="Spalte13492"/>
    <tableColumn id="13510" xr3:uid="{AF438B93-2A37-413C-8688-4DA431AA39E1}" name="Spalte13493"/>
    <tableColumn id="13511" xr3:uid="{93B7F1FB-E073-4C85-AC5A-3D549F169FF3}" name="Spalte13494"/>
    <tableColumn id="13512" xr3:uid="{D6F303D0-F76C-46EC-BCCE-D474F0066591}" name="Spalte13495"/>
    <tableColumn id="13513" xr3:uid="{FFFF790B-897A-4EC8-B8DC-799DD13B83DE}" name="Spalte13496"/>
    <tableColumn id="13514" xr3:uid="{DA5B47B7-42E8-4D26-8674-CAAF0590C007}" name="Spalte13497"/>
    <tableColumn id="13515" xr3:uid="{1FFBAF90-D2A7-49B3-965D-C22F5304F90F}" name="Spalte13498"/>
    <tableColumn id="13516" xr3:uid="{0C6E7421-8425-4AF9-9E7B-2E3FCE02C7EA}" name="Spalte13499"/>
    <tableColumn id="13517" xr3:uid="{12DAEA7C-59A2-4B37-AC26-AE82EE4C5D70}" name="Spalte13500"/>
    <tableColumn id="13518" xr3:uid="{ACE01DB1-66B5-4567-908F-A5D527A85852}" name="Spalte13501"/>
    <tableColumn id="13519" xr3:uid="{132BD8AB-6A8D-4A9D-A8DF-7C526BC189B7}" name="Spalte13502"/>
    <tableColumn id="13520" xr3:uid="{9751F0FF-B99D-4A64-9177-1A6B1AC18836}" name="Spalte13503"/>
    <tableColumn id="13521" xr3:uid="{6C9EBDB7-18E7-4B9C-88DA-5EA905CBF341}" name="Spalte13504"/>
    <tableColumn id="13522" xr3:uid="{11169F8B-7FEF-4682-87E2-7019965FB007}" name="Spalte13505"/>
    <tableColumn id="13523" xr3:uid="{1EF20C78-410F-47A2-A9A2-DF7D11C17EAF}" name="Spalte13506"/>
    <tableColumn id="13524" xr3:uid="{FE2BFCBC-0D39-4B1B-95A8-BC6681BE31D3}" name="Spalte13507"/>
    <tableColumn id="13525" xr3:uid="{44227929-3CB8-47CF-95C9-2C663251A826}" name="Spalte13508"/>
    <tableColumn id="13526" xr3:uid="{7465B86B-224F-4377-8A8B-CD0BEE968B02}" name="Spalte13509"/>
    <tableColumn id="13527" xr3:uid="{F8DA276F-5BB7-42A0-834B-81FA62899622}" name="Spalte13510"/>
    <tableColumn id="13528" xr3:uid="{FA3217C9-27D1-4B07-B4F8-3C56EBE947C4}" name="Spalte13511"/>
    <tableColumn id="13529" xr3:uid="{EA20A66E-3408-4DA6-8DE2-B79386BEB241}" name="Spalte13512"/>
    <tableColumn id="13530" xr3:uid="{591CE7FD-8DDE-4B70-A165-0738C6493CE7}" name="Spalte13513"/>
    <tableColumn id="13531" xr3:uid="{3FC0EDCC-2F75-482B-AA11-685299D70AD1}" name="Spalte13514"/>
    <tableColumn id="13532" xr3:uid="{891BF635-8478-4625-B0D3-43656945533D}" name="Spalte13515"/>
    <tableColumn id="13533" xr3:uid="{13E1291A-1F95-4BED-8B18-18A237007DC2}" name="Spalte13516"/>
    <tableColumn id="13534" xr3:uid="{5721DA8E-B267-40A2-B330-9BE241318871}" name="Spalte13517"/>
    <tableColumn id="13535" xr3:uid="{E7A41DD7-FB67-4CAA-8933-CE333049A778}" name="Spalte13518"/>
    <tableColumn id="13536" xr3:uid="{BABE239F-7EB4-4443-9DA1-A55910A142E4}" name="Spalte13519"/>
    <tableColumn id="13537" xr3:uid="{195675C7-4093-4B68-A2B2-1A1BF6DAA644}" name="Spalte13520"/>
    <tableColumn id="13538" xr3:uid="{51052242-31C9-40EC-919D-A0DA437CBA34}" name="Spalte13521"/>
    <tableColumn id="13539" xr3:uid="{C6D18CFB-4D89-4BB2-A233-C813453EFB05}" name="Spalte13522"/>
    <tableColumn id="13540" xr3:uid="{C44977A5-6983-4395-8FC6-9E159A15BF45}" name="Spalte13523"/>
    <tableColumn id="13541" xr3:uid="{7C46EA87-4243-4AD0-B9EF-05ED3AC1639B}" name="Spalte13524"/>
    <tableColumn id="13542" xr3:uid="{05E80EB5-1A94-4587-A7CF-33117334B431}" name="Spalte13525"/>
    <tableColumn id="13543" xr3:uid="{1EF37863-86F0-4E26-9D37-056F67FE0DEB}" name="Spalte13526"/>
    <tableColumn id="13544" xr3:uid="{5ADB070C-3348-42FD-B745-55F702ED91D5}" name="Spalte13527"/>
    <tableColumn id="13545" xr3:uid="{C34523CA-041C-4BCF-BAC2-29A649FD7EC8}" name="Spalte13528"/>
    <tableColumn id="13546" xr3:uid="{0794D2A5-D006-4E33-9AAB-376152F723A5}" name="Spalte13529"/>
    <tableColumn id="13547" xr3:uid="{D9D10A8D-957F-465D-860F-45B8362435C5}" name="Spalte13530"/>
    <tableColumn id="13548" xr3:uid="{6C53FC39-6609-4A6F-9A15-87DB81305DDF}" name="Spalte13531"/>
    <tableColumn id="13549" xr3:uid="{21856FDB-1491-4D23-A6F6-6F08973C8753}" name="Spalte13532"/>
    <tableColumn id="13550" xr3:uid="{55881E8F-C792-4C31-B523-1BE12A3F79A6}" name="Spalte13533"/>
    <tableColumn id="13551" xr3:uid="{02B7636E-E7A6-4229-A35A-A11826251F5B}" name="Spalte13534"/>
    <tableColumn id="13552" xr3:uid="{EF718D46-13DE-4910-A3FF-ADEA52C60B07}" name="Spalte13535"/>
    <tableColumn id="13553" xr3:uid="{E65538BC-097B-4A3E-8051-8D9323845658}" name="Spalte13536"/>
    <tableColumn id="13554" xr3:uid="{4B7CE326-30B7-42E8-90F2-3D56E238E646}" name="Spalte13537"/>
    <tableColumn id="13555" xr3:uid="{2F1D3AA1-BF70-4214-8A23-B13029496020}" name="Spalte13538"/>
    <tableColumn id="13556" xr3:uid="{0DB761DC-7AE3-4C7B-8CE2-975C86B3BAE6}" name="Spalte13539"/>
    <tableColumn id="13557" xr3:uid="{5F75F1EB-FABD-41E5-8A26-1DC7B783A0CD}" name="Spalte13540"/>
    <tableColumn id="13558" xr3:uid="{1E73CD71-2ABD-4A7F-B059-7D5AA1C36F4B}" name="Spalte13541"/>
    <tableColumn id="13559" xr3:uid="{78F45D54-FDA2-4590-9761-59F9C8AA0AD7}" name="Spalte13542"/>
    <tableColumn id="13560" xr3:uid="{1AB73856-968C-4542-ADB7-A7DEDE5AB60A}" name="Spalte13543"/>
    <tableColumn id="13561" xr3:uid="{7BBCB3D7-A234-496D-A703-033D19EC8286}" name="Spalte13544"/>
    <tableColumn id="13562" xr3:uid="{B94FEF1D-C304-404D-88E3-EBF621400ED3}" name="Spalte13545"/>
    <tableColumn id="13563" xr3:uid="{ABF27298-8697-4C08-B432-AE2C38B668C2}" name="Spalte13546"/>
    <tableColumn id="13564" xr3:uid="{FE751BED-004B-4FF4-8346-03C41D6C45A3}" name="Spalte13547"/>
    <tableColumn id="13565" xr3:uid="{A02CF0FF-0332-4E1F-87D9-CA1FD403072F}" name="Spalte13548"/>
    <tableColumn id="13566" xr3:uid="{90ED0AF4-CCAC-480A-95B9-3FCAC36CB472}" name="Spalte13549"/>
    <tableColumn id="13567" xr3:uid="{E1C1A3E7-365D-4D69-8627-CD403327413A}" name="Spalte13550"/>
    <tableColumn id="13568" xr3:uid="{109800AF-E88A-4CE3-AAD6-ECE870AE74B9}" name="Spalte13551"/>
    <tableColumn id="13569" xr3:uid="{E068273B-6A1A-4C1B-89A4-5FEC27704492}" name="Spalte13552"/>
    <tableColumn id="13570" xr3:uid="{7721771B-E24B-4B42-8BCD-C52A8CEC662B}" name="Spalte13553"/>
    <tableColumn id="13571" xr3:uid="{C386C7FF-2832-4704-ACF9-6FB50681C7FB}" name="Spalte13554"/>
    <tableColumn id="13572" xr3:uid="{AE10BEC6-D4F1-4E29-88BE-C32074116F51}" name="Spalte13555"/>
    <tableColumn id="13573" xr3:uid="{E13A39B9-725B-4C21-89FD-60655AB278EA}" name="Spalte13556"/>
    <tableColumn id="13574" xr3:uid="{C0FE9DD6-4B0F-41BA-BC46-922745D17E1D}" name="Spalte13557"/>
    <tableColumn id="13575" xr3:uid="{C2488F6D-14FE-4FDF-9A26-46A284B69FCB}" name="Spalte13558"/>
    <tableColumn id="13576" xr3:uid="{05657AB0-8A35-4A02-B9A0-90E4AB3307B9}" name="Spalte13559"/>
    <tableColumn id="13577" xr3:uid="{9EC5FE52-B679-4B7F-9A92-C08FE3E1B607}" name="Spalte13560"/>
    <tableColumn id="13578" xr3:uid="{49C191F4-C117-4038-AAC0-CA2A953F457A}" name="Spalte13561"/>
    <tableColumn id="13579" xr3:uid="{DB0594A9-FF3C-4EB2-A825-832A1B2877E3}" name="Spalte13562"/>
    <tableColumn id="13580" xr3:uid="{EDDE6056-4C2E-4CFA-8123-52A03F3E4938}" name="Spalte13563"/>
    <tableColumn id="13581" xr3:uid="{8D6314A1-51D6-494B-B2A3-A01C1E0D4828}" name="Spalte13564"/>
    <tableColumn id="13582" xr3:uid="{0EF20B7C-15B7-46F1-AD97-16E577B0797C}" name="Spalte13565"/>
    <tableColumn id="13583" xr3:uid="{F3D6B875-740A-4213-B565-FAF47A8092DC}" name="Spalte13566"/>
    <tableColumn id="13584" xr3:uid="{20D6F029-21B6-4AA1-8FB6-124C1974CAE0}" name="Spalte13567"/>
    <tableColumn id="13585" xr3:uid="{64AF1E34-96BD-4634-AAD3-A90B4C3CE7F7}" name="Spalte13568"/>
    <tableColumn id="13586" xr3:uid="{F5028194-DE78-44DF-B8B4-1CF662897BE9}" name="Spalte13569"/>
    <tableColumn id="13587" xr3:uid="{7CC772C5-6145-4E20-A663-ED6C017FF8E8}" name="Spalte13570"/>
    <tableColumn id="13588" xr3:uid="{D698CE7B-598D-4287-A311-E899CA2FA915}" name="Spalte13571"/>
    <tableColumn id="13589" xr3:uid="{BB62D9D3-6F7C-4FAF-A080-11BDAD616BCA}" name="Spalte13572"/>
    <tableColumn id="13590" xr3:uid="{CEE8453C-9911-4388-93B0-4ED0D1EE6E82}" name="Spalte13573"/>
    <tableColumn id="13591" xr3:uid="{2ABE9D29-E920-4496-A509-F789D0EB5083}" name="Spalte13574"/>
    <tableColumn id="13592" xr3:uid="{3DCDF318-5528-4F96-8D30-5DE828BAAF89}" name="Spalte13575"/>
    <tableColumn id="13593" xr3:uid="{B2B903BA-2C33-4129-9D33-5739522D073E}" name="Spalte13576"/>
    <tableColumn id="13594" xr3:uid="{4A914C6F-23D1-4610-B320-7430D67A8573}" name="Spalte13577"/>
    <tableColumn id="13595" xr3:uid="{C2D1B7C1-5C7B-4710-B93A-3AFE3679E0E6}" name="Spalte13578"/>
    <tableColumn id="13596" xr3:uid="{870DF6C4-5457-40D3-9936-F900105561AC}" name="Spalte13579"/>
    <tableColumn id="13597" xr3:uid="{1DCC194A-35DA-46EE-A6A6-406936B3BBF7}" name="Spalte13580"/>
    <tableColumn id="13598" xr3:uid="{12792429-EB29-4C78-9C49-EB1E6DF66C3F}" name="Spalte13581"/>
    <tableColumn id="13599" xr3:uid="{E7B11C84-AF22-4D64-A048-B6AF8FBFAF09}" name="Spalte13582"/>
    <tableColumn id="13600" xr3:uid="{5B60C78B-3190-4091-8F2D-619113EE1610}" name="Spalte13583"/>
    <tableColumn id="13601" xr3:uid="{BAF92B55-20B3-48F8-B2BC-7028C0CCC779}" name="Spalte13584"/>
    <tableColumn id="13602" xr3:uid="{81406446-1496-4CEE-9529-05A3A57F0A36}" name="Spalte13585"/>
    <tableColumn id="13603" xr3:uid="{28FE7501-3228-4CF9-BCF7-D8FC56B27403}" name="Spalte13586"/>
    <tableColumn id="13604" xr3:uid="{0939A36F-0AA2-4F75-A141-53734297CA75}" name="Spalte13587"/>
    <tableColumn id="13605" xr3:uid="{CF8C732C-F84D-4BDE-83EE-5CB6B798B603}" name="Spalte13588"/>
    <tableColumn id="13606" xr3:uid="{88EA1489-AF10-4F10-B328-7EAB7174D2CB}" name="Spalte13589"/>
    <tableColumn id="13607" xr3:uid="{FB9814C0-A3C1-47D1-B8F8-772E3B0C4DB4}" name="Spalte13590"/>
    <tableColumn id="13608" xr3:uid="{32D3C1FC-DED3-45EF-B331-B19FE2705040}" name="Spalte13591"/>
    <tableColumn id="13609" xr3:uid="{D3F0214D-7266-489C-A470-F86B4BEABD28}" name="Spalte13592"/>
    <tableColumn id="13610" xr3:uid="{AD33864C-96FE-40B4-9B6F-244658483D91}" name="Spalte13593"/>
    <tableColumn id="13611" xr3:uid="{42F2074C-B193-43CE-B7F6-ACB676A1E9A2}" name="Spalte13594"/>
    <tableColumn id="13612" xr3:uid="{0684E7A9-9F3C-43E6-A0BA-920A14E6D209}" name="Spalte13595"/>
    <tableColumn id="13613" xr3:uid="{7D37E1A7-311D-41AD-8A83-A6C4065E1D60}" name="Spalte13596"/>
    <tableColumn id="13614" xr3:uid="{778581B6-D956-4576-8E36-79B794742516}" name="Spalte13597"/>
    <tableColumn id="13615" xr3:uid="{E8FDB3B7-82F5-47FE-9CB3-331706EFB815}" name="Spalte13598"/>
    <tableColumn id="13616" xr3:uid="{3BE1C1AA-C2AA-47A9-9BEB-508A250C006E}" name="Spalte13599"/>
    <tableColumn id="13617" xr3:uid="{902F2E81-CC66-40DB-BB93-9BA1EAD4CD0F}" name="Spalte13600"/>
    <tableColumn id="13618" xr3:uid="{ACA393EC-DE0F-4407-A7C9-01E0EFCC1EF8}" name="Spalte13601"/>
    <tableColumn id="13619" xr3:uid="{4C5E2A0B-EDB2-466C-BE54-7C6234522E20}" name="Spalte13602"/>
    <tableColumn id="13620" xr3:uid="{D06B9274-275E-4FA3-BF70-C0AAAB09386F}" name="Spalte13603"/>
    <tableColumn id="13621" xr3:uid="{459EB06D-6800-47A1-B8B5-675643294CAA}" name="Spalte13604"/>
    <tableColumn id="13622" xr3:uid="{3977548F-B431-440D-ACC9-C9FD8224871D}" name="Spalte13605"/>
    <tableColumn id="13623" xr3:uid="{36F1E336-62DA-4F06-B640-F9E372653A80}" name="Spalte13606"/>
    <tableColumn id="13624" xr3:uid="{5690E16B-DF62-459B-9861-25DCFE613E94}" name="Spalte13607"/>
    <tableColumn id="13625" xr3:uid="{C04F43D9-EDA5-4608-A6A6-34CDECCB236B}" name="Spalte13608"/>
    <tableColumn id="13626" xr3:uid="{CEAF9A7A-A638-4E27-88B8-07770C1E1F94}" name="Spalte13609"/>
    <tableColumn id="13627" xr3:uid="{F4D5D5D3-8F67-4542-BED2-8963EFBBBCC4}" name="Spalte13610"/>
    <tableColumn id="13628" xr3:uid="{559342D6-233C-47BB-969A-30967B20593E}" name="Spalte13611"/>
    <tableColumn id="13629" xr3:uid="{9EA71F5D-3933-479B-B602-00A596930DF9}" name="Spalte13612"/>
    <tableColumn id="13630" xr3:uid="{CA6A8D36-7CBD-4610-AC81-7CFBF2A9D14C}" name="Spalte13613"/>
    <tableColumn id="13631" xr3:uid="{644327CE-1D4E-484F-8CBC-8B719E80571E}" name="Spalte13614"/>
    <tableColumn id="13632" xr3:uid="{37437F5A-F53F-479B-9CE8-BF4E71EA138E}" name="Spalte13615"/>
    <tableColumn id="13633" xr3:uid="{BDF925EE-09BD-4C60-9343-9934CEB83263}" name="Spalte13616"/>
    <tableColumn id="13634" xr3:uid="{141A8B8E-1895-4BDA-9216-2E73804CCF15}" name="Spalte13617"/>
    <tableColumn id="13635" xr3:uid="{2B7AF6EA-2C0F-4683-9717-6BB6C2A74CB3}" name="Spalte13618"/>
    <tableColumn id="13636" xr3:uid="{0E918767-39BF-4AEC-99BB-5525C2161906}" name="Spalte13619"/>
    <tableColumn id="13637" xr3:uid="{8B7F0FE3-2831-4827-AF9C-D62EB8BCD218}" name="Spalte13620"/>
    <tableColumn id="13638" xr3:uid="{9BF410C9-0968-4790-B734-427DA17D6FEA}" name="Spalte13621"/>
    <tableColumn id="13639" xr3:uid="{3BA42858-6736-4CF9-8E6E-9B5EB1DDE19E}" name="Spalte13622"/>
    <tableColumn id="13640" xr3:uid="{9886B6A5-C4A4-4132-883F-83EBDB7D92F9}" name="Spalte13623"/>
    <tableColumn id="13641" xr3:uid="{5B959788-D074-4B73-8FC2-DF9AB66C5300}" name="Spalte13624"/>
    <tableColumn id="13642" xr3:uid="{208A34A5-EF54-4AC0-BAD2-A072944FD4F4}" name="Spalte13625"/>
    <tableColumn id="13643" xr3:uid="{AC8225EA-E8DF-40CE-BC7A-9FA65343A359}" name="Spalte13626"/>
    <tableColumn id="13644" xr3:uid="{9E24F45D-C9FC-4A60-B782-D4A69A21DCB5}" name="Spalte13627"/>
    <tableColumn id="13645" xr3:uid="{98DC2F13-22C5-471C-AC23-964B9E2100BB}" name="Spalte13628"/>
    <tableColumn id="13646" xr3:uid="{1153ACC4-4E81-4E81-8FAA-AF43BFDCB239}" name="Spalte13629"/>
    <tableColumn id="13647" xr3:uid="{2A9DE3DE-9A07-400C-8584-C3C65888105E}" name="Spalte13630"/>
    <tableColumn id="13648" xr3:uid="{41D8068A-E2BF-4841-96F3-FD648472403E}" name="Spalte13631"/>
    <tableColumn id="13649" xr3:uid="{A6352C2D-F8B4-4EF3-824D-F3F179CE96D3}" name="Spalte13632"/>
    <tableColumn id="13650" xr3:uid="{C32AB4AE-E9FC-4460-824B-DA1D2B28467F}" name="Spalte13633"/>
    <tableColumn id="13651" xr3:uid="{02F3718E-7AAB-4AE1-8050-694C7317B468}" name="Spalte13634"/>
    <tableColumn id="13652" xr3:uid="{953C2812-8C48-458A-9479-D73FB6EC4ABA}" name="Spalte13635"/>
    <tableColumn id="13653" xr3:uid="{4E1B1C29-2A1D-4B36-9452-DF98281AE9B8}" name="Spalte13636"/>
    <tableColumn id="13654" xr3:uid="{30063B91-A30B-4B65-9FA8-E2BEC9904AD9}" name="Spalte13637"/>
    <tableColumn id="13655" xr3:uid="{04C281E1-A78D-4E51-B7E9-25ED30847651}" name="Spalte13638"/>
    <tableColumn id="13656" xr3:uid="{D6C236BE-A5D4-46BE-BDE7-23C2A5F7E104}" name="Spalte13639"/>
    <tableColumn id="13657" xr3:uid="{2E152280-92DC-4DAB-B26B-6920FB001D68}" name="Spalte13640"/>
    <tableColumn id="13658" xr3:uid="{63EFAE5F-CF3F-43FC-8882-F7B8E4F3A8F5}" name="Spalte13641"/>
    <tableColumn id="13659" xr3:uid="{D8118F26-8805-49A8-9414-CF96F9922557}" name="Spalte13642"/>
    <tableColumn id="13660" xr3:uid="{E95D0BFC-94B9-4519-84D0-8A6A65068939}" name="Spalte13643"/>
    <tableColumn id="13661" xr3:uid="{2320977D-D554-49A8-B3B0-EABAC21191C3}" name="Spalte13644"/>
    <tableColumn id="13662" xr3:uid="{E7AF7C08-7E94-492C-A839-72DE7939C3C0}" name="Spalte13645"/>
    <tableColumn id="13663" xr3:uid="{81F0E5A8-2A8B-471F-B286-09B354DF597B}" name="Spalte13646"/>
    <tableColumn id="13664" xr3:uid="{B01725E6-FDDF-42C4-AAE6-4AAFDF01CC9D}" name="Spalte13647"/>
    <tableColumn id="13665" xr3:uid="{2C5B9713-E2D3-4FC8-9754-93D22C24C83B}" name="Spalte13648"/>
    <tableColumn id="13666" xr3:uid="{6192264B-72ED-4470-91E4-AD5506F2DFB7}" name="Spalte13649"/>
    <tableColumn id="13667" xr3:uid="{C4005AAE-08A7-4580-BC27-40650BA61C37}" name="Spalte13650"/>
    <tableColumn id="13668" xr3:uid="{1DA233A5-3AE7-43A9-B345-28184BC4D67D}" name="Spalte13651"/>
    <tableColumn id="13669" xr3:uid="{54C27CB3-4E10-40DD-8E3F-823BE5B37E62}" name="Spalte13652"/>
    <tableColumn id="13670" xr3:uid="{D14FA727-CC16-43FC-AAE9-3BEAD9171378}" name="Spalte13653"/>
    <tableColumn id="13671" xr3:uid="{E3245D65-1B2A-417F-9D93-0976F322A1A9}" name="Spalte13654"/>
    <tableColumn id="13672" xr3:uid="{2AA04BA4-FE39-4305-A220-E5AE7CF30F80}" name="Spalte13655"/>
    <tableColumn id="13673" xr3:uid="{C2C723D7-C26A-40AB-927A-210581FC0F67}" name="Spalte13656"/>
    <tableColumn id="13674" xr3:uid="{524E295F-2F04-4F0E-A936-5FF058DD9BC2}" name="Spalte13657"/>
    <tableColumn id="13675" xr3:uid="{68DAB947-29EE-4958-AA45-BB038F4C7043}" name="Spalte13658"/>
    <tableColumn id="13676" xr3:uid="{C715C71D-61DC-4A08-A33E-CAF44C29189A}" name="Spalte13659"/>
    <tableColumn id="13677" xr3:uid="{5DE9945F-E74B-4732-828D-88D59B1AFA8A}" name="Spalte13660"/>
    <tableColumn id="13678" xr3:uid="{576B0402-89D0-4998-B7BE-1C1678169B38}" name="Spalte13661"/>
    <tableColumn id="13679" xr3:uid="{8D296DDC-6BE8-4F64-8C92-E1BC7F2E283D}" name="Spalte13662"/>
    <tableColumn id="13680" xr3:uid="{78722FDF-DA86-4CEC-9F87-E4B1B2965B9D}" name="Spalte13663"/>
    <tableColumn id="13681" xr3:uid="{40696848-D954-48B9-A1DC-D3DE473EA999}" name="Spalte13664"/>
    <tableColumn id="13682" xr3:uid="{DC396E37-AABF-432E-AA2F-0ABB95EE5928}" name="Spalte13665"/>
    <tableColumn id="13683" xr3:uid="{548F9699-F5B7-48A5-9A20-587085DD43FD}" name="Spalte13666"/>
    <tableColumn id="13684" xr3:uid="{ED4170FB-7D3E-49B6-91CC-A0C49109969E}" name="Spalte13667"/>
    <tableColumn id="13685" xr3:uid="{09F35410-0B8D-4566-AE2E-93332C7A61EB}" name="Spalte13668"/>
    <tableColumn id="13686" xr3:uid="{3827E19D-8D6F-42A8-BA48-CBB957FF0124}" name="Spalte13669"/>
    <tableColumn id="13687" xr3:uid="{998ED2EB-F6A6-4421-B2E4-60891ABF237B}" name="Spalte13670"/>
    <tableColumn id="13688" xr3:uid="{25C0044E-C320-4709-8E1C-052739F1F487}" name="Spalte13671"/>
    <tableColumn id="13689" xr3:uid="{1A2677E6-4091-4F0E-BE6B-EDCD9704DA61}" name="Spalte13672"/>
    <tableColumn id="13690" xr3:uid="{DDB98200-3899-43C5-BAA8-E1C1C83D8AEA}" name="Spalte13673"/>
    <tableColumn id="13691" xr3:uid="{2368FD5E-0138-4206-A6D1-BEB95D785BFA}" name="Spalte13674"/>
    <tableColumn id="13692" xr3:uid="{84707B42-1C9F-4501-ACF7-303C47818630}" name="Spalte13675"/>
    <tableColumn id="13693" xr3:uid="{B0711F24-5D93-48F6-9055-2A0B30FF6D50}" name="Spalte13676"/>
    <tableColumn id="13694" xr3:uid="{937C6B4B-EFFD-40C3-9A99-B03FEDAFA5CB}" name="Spalte13677"/>
    <tableColumn id="13695" xr3:uid="{38D57A9C-CECE-4B88-B063-C6850748B8AA}" name="Spalte13678"/>
    <tableColumn id="13696" xr3:uid="{2C1A8547-CA74-4D62-997E-BFF850EE68BF}" name="Spalte13679"/>
    <tableColumn id="13697" xr3:uid="{C87A70E8-A7C5-41D2-9E0E-8D446B296792}" name="Spalte13680"/>
    <tableColumn id="13698" xr3:uid="{2BA99606-EA99-41D8-ACF7-1633B0B1D312}" name="Spalte13681"/>
    <tableColumn id="13699" xr3:uid="{97893204-DDCE-4599-8342-7F87A0192352}" name="Spalte13682"/>
    <tableColumn id="13700" xr3:uid="{99C6CF5A-B7BF-441E-A12F-C9614D497E88}" name="Spalte13683"/>
    <tableColumn id="13701" xr3:uid="{9F2A693D-7097-4F32-85FC-E95BDBAB496B}" name="Spalte13684"/>
    <tableColumn id="13702" xr3:uid="{126059A3-9E03-4381-AAF3-2D3BFF72375B}" name="Spalte13685"/>
    <tableColumn id="13703" xr3:uid="{167C2DA0-E9B8-4298-B370-BAA2250C8260}" name="Spalte13686"/>
    <tableColumn id="13704" xr3:uid="{2BC310B6-E5BA-43A4-A2FF-CB8EC0C3A4A4}" name="Spalte13687"/>
    <tableColumn id="13705" xr3:uid="{BB3B5F3C-6CE5-4795-B730-1124AF15DA98}" name="Spalte13688"/>
    <tableColumn id="13706" xr3:uid="{C601F0D8-F51C-45AA-B8DD-97381856918A}" name="Spalte13689"/>
    <tableColumn id="13707" xr3:uid="{A9500C13-E6CB-41C3-8263-8D22CEFB9D49}" name="Spalte13690"/>
    <tableColumn id="13708" xr3:uid="{1232C00E-0EB7-4DC2-BF8F-162AB1B4677B}" name="Spalte13691"/>
    <tableColumn id="13709" xr3:uid="{015936B4-CB92-4753-8D28-85A1217435E6}" name="Spalte13692"/>
    <tableColumn id="13710" xr3:uid="{7C51738E-6F79-490C-9623-135A0F672BE3}" name="Spalte13693"/>
    <tableColumn id="13711" xr3:uid="{8BA22747-365B-4EA3-B2E3-18C9BA9C50C9}" name="Spalte13694"/>
    <tableColumn id="13712" xr3:uid="{8CDFD5C3-3BC4-48D9-9E49-839D70A82E60}" name="Spalte13695"/>
    <tableColumn id="13713" xr3:uid="{3EB20543-0811-47E7-81ED-BBE1181ED665}" name="Spalte13696"/>
    <tableColumn id="13714" xr3:uid="{A06C210F-3A97-4592-9F38-BB7074855EAD}" name="Spalte13697"/>
    <tableColumn id="13715" xr3:uid="{C980F468-BBFD-4758-975F-8F53089F8557}" name="Spalte13698"/>
    <tableColumn id="13716" xr3:uid="{EC75BB6A-3F86-453C-8793-DE01CE2B7C9A}" name="Spalte13699"/>
    <tableColumn id="13717" xr3:uid="{83F58DDD-688A-4D0F-BEA2-C4E67C6B95CD}" name="Spalte13700"/>
    <tableColumn id="13718" xr3:uid="{730A5D3D-392E-4964-A3B4-97989115FE03}" name="Spalte13701"/>
    <tableColumn id="13719" xr3:uid="{14EC27AA-3103-4997-8A39-7B4A765BCE7B}" name="Spalte13702"/>
    <tableColumn id="13720" xr3:uid="{28781C84-4577-4F62-98CB-6F6A57ECB02F}" name="Spalte13703"/>
    <tableColumn id="13721" xr3:uid="{918827DA-F29B-4827-B31D-7E98F4718CA3}" name="Spalte13704"/>
    <tableColumn id="13722" xr3:uid="{8B073594-ECED-403F-A71C-3B2D2EF5A1BF}" name="Spalte13705"/>
    <tableColumn id="13723" xr3:uid="{B4EB1FF3-FAAA-45E3-B0ED-FA3081435147}" name="Spalte13706"/>
    <tableColumn id="13724" xr3:uid="{C900150C-7381-44FD-8BDD-B28DB5C1EF81}" name="Spalte13707"/>
    <tableColumn id="13725" xr3:uid="{3C39495B-787F-401F-92B7-834B88431B47}" name="Spalte13708"/>
    <tableColumn id="13726" xr3:uid="{B32B4BF1-66D2-4F02-8188-0FCD82479A74}" name="Spalte13709"/>
    <tableColumn id="13727" xr3:uid="{E77A97C4-6E33-447A-9EB0-62582E9EB90F}" name="Spalte13710"/>
    <tableColumn id="13728" xr3:uid="{694E5A4F-2368-421F-8D21-D327C7FB4FFC}" name="Spalte13711"/>
    <tableColumn id="13729" xr3:uid="{855B0AA9-6B9B-46EA-BF62-35BDF34EE846}" name="Spalte13712"/>
    <tableColumn id="13730" xr3:uid="{2B59C8D3-3CDE-41E0-8689-DE4E6C9F538B}" name="Spalte13713"/>
    <tableColumn id="13731" xr3:uid="{1A9BA7D1-4C4E-41D2-84BA-456DC621E1C8}" name="Spalte13714"/>
    <tableColumn id="13732" xr3:uid="{9ECA0076-86D2-49D2-AA69-3BD10DB6C33D}" name="Spalte13715"/>
    <tableColumn id="13733" xr3:uid="{CA24261E-E5BB-45DB-948A-8D16F447B265}" name="Spalte13716"/>
    <tableColumn id="13734" xr3:uid="{350D3FE8-4CE3-4828-B123-AF68BA46EAB6}" name="Spalte13717"/>
    <tableColumn id="13735" xr3:uid="{5ADF95C8-4235-4334-B00D-05E02B244821}" name="Spalte13718"/>
    <tableColumn id="13736" xr3:uid="{463D95E3-85DE-4924-BF0C-B13B4572723C}" name="Spalte13719"/>
    <tableColumn id="13737" xr3:uid="{4B2F1B30-E766-494E-ACB8-2A992A28F4C2}" name="Spalte13720"/>
    <tableColumn id="13738" xr3:uid="{4E1D580C-0F34-45CF-B2CC-9F621BC4CD54}" name="Spalte13721"/>
    <tableColumn id="13739" xr3:uid="{6D2058BA-4002-4601-B3C2-6BCFD4BF66E5}" name="Spalte13722"/>
    <tableColumn id="13740" xr3:uid="{76F0A815-D766-42D8-9D5E-47F2B5222007}" name="Spalte13723"/>
    <tableColumn id="13741" xr3:uid="{B663830C-F79C-4B9E-92D9-93162BD942FD}" name="Spalte13724"/>
    <tableColumn id="13742" xr3:uid="{AA701817-CF5A-4E6D-9E77-13725E189F4B}" name="Spalte13725"/>
    <tableColumn id="13743" xr3:uid="{183FF0CC-E9BF-4E68-AEAE-417BBCB245A3}" name="Spalte13726"/>
    <tableColumn id="13744" xr3:uid="{0A28B45B-BBDE-4ADB-9B56-6837B8B3268F}" name="Spalte13727"/>
    <tableColumn id="13745" xr3:uid="{968C8F80-566C-4211-8405-7812C1CC413F}" name="Spalte13728"/>
    <tableColumn id="13746" xr3:uid="{0993A05B-3BBD-4BBD-A57F-3C7B729A5FE2}" name="Spalte13729"/>
    <tableColumn id="13747" xr3:uid="{5DF31508-ECCB-41CF-8714-9A79DA9C7678}" name="Spalte13730"/>
    <tableColumn id="13748" xr3:uid="{16C265F6-8F9D-4438-8C41-345A9CBEEC73}" name="Spalte13731"/>
    <tableColumn id="13749" xr3:uid="{C65D6160-2B43-40E8-8FC5-2699C2333D48}" name="Spalte13732"/>
    <tableColumn id="13750" xr3:uid="{1D56AA02-1EB3-4709-B5B7-49B663DA7E82}" name="Spalte13733"/>
    <tableColumn id="13751" xr3:uid="{36C14791-ECD7-4169-8E4A-B1C8559CBE37}" name="Spalte13734"/>
    <tableColumn id="13752" xr3:uid="{1DAA8B88-A75C-4891-BFF5-BFF29C153FDD}" name="Spalte13735"/>
    <tableColumn id="13753" xr3:uid="{7F02F1F3-7EB3-4F91-B115-409A9A5CF715}" name="Spalte13736"/>
    <tableColumn id="13754" xr3:uid="{C3DFC3C3-8B19-4DC2-AB63-4F843AAA40CE}" name="Spalte13737"/>
    <tableColumn id="13755" xr3:uid="{51C3AE05-F14F-42F9-A673-05F40FC1BFA5}" name="Spalte13738"/>
    <tableColumn id="13756" xr3:uid="{FF7F121A-77EA-4170-B321-E166520909BB}" name="Spalte13739"/>
    <tableColumn id="13757" xr3:uid="{5C3AB7C8-1D99-406C-8CD2-BE5BA0DBDDC7}" name="Spalte13740"/>
    <tableColumn id="13758" xr3:uid="{408D7EF6-34AA-4F33-B9DE-93C5D6B7D3C0}" name="Spalte13741"/>
    <tableColumn id="13759" xr3:uid="{114D93A8-2FF7-42DB-92CF-FA800A06FCA8}" name="Spalte13742"/>
    <tableColumn id="13760" xr3:uid="{AA755501-5C58-42A7-91C1-30A78ABB1750}" name="Spalte13743"/>
    <tableColumn id="13761" xr3:uid="{2F590CA9-2FC3-4839-A33E-7B387BB329F5}" name="Spalte13744"/>
    <tableColumn id="13762" xr3:uid="{4BFE9FC2-5642-4CC6-8DD7-A44B5DE15037}" name="Spalte13745"/>
    <tableColumn id="13763" xr3:uid="{9C30B399-4071-442F-962C-ACEDA3788C0B}" name="Spalte13746"/>
    <tableColumn id="13764" xr3:uid="{A9E9AF79-8485-4A8E-842F-814052EEA2EA}" name="Spalte13747"/>
    <tableColumn id="13765" xr3:uid="{ECFA4D90-3C96-4656-B59E-DDCD7B6D6E46}" name="Spalte13748"/>
    <tableColumn id="13766" xr3:uid="{61828BD5-F7FB-4D79-931B-25FD0B5512BE}" name="Spalte13749"/>
    <tableColumn id="13767" xr3:uid="{303E0480-FB0E-4CF7-9670-243CDE4B26F4}" name="Spalte13750"/>
    <tableColumn id="13768" xr3:uid="{4512F32D-9D30-4A9E-8C50-7B90B8C81478}" name="Spalte13751"/>
    <tableColumn id="13769" xr3:uid="{54836CAB-4B82-426F-A906-FDC0E914FA32}" name="Spalte13752"/>
    <tableColumn id="13770" xr3:uid="{81AD17B6-D72E-49AF-83A0-3C1F00811281}" name="Spalte13753"/>
    <tableColumn id="13771" xr3:uid="{F6DAB18C-526C-4F35-8D79-CA489057801F}" name="Spalte13754"/>
    <tableColumn id="13772" xr3:uid="{41789CDB-94C0-4B0F-83A3-0B8B93970DD7}" name="Spalte13755"/>
    <tableColumn id="13773" xr3:uid="{379C32F5-0C65-4340-8300-95259218970D}" name="Spalte13756"/>
    <tableColumn id="13774" xr3:uid="{1C0FAEBA-65FC-4B1D-BD39-8DE4EE22C177}" name="Spalte13757"/>
    <tableColumn id="13775" xr3:uid="{3CFB3862-6C3C-49C1-82F0-1108C0DFDA70}" name="Spalte13758"/>
    <tableColumn id="13776" xr3:uid="{B4FF42DE-1BE0-466D-A070-DF859973F97D}" name="Spalte13759"/>
    <tableColumn id="13777" xr3:uid="{73752885-C7D7-4015-8B6C-74F422A5DF2C}" name="Spalte13760"/>
    <tableColumn id="13778" xr3:uid="{0CB2D33B-6AF8-4648-9AEB-74D3F8B88601}" name="Spalte13761"/>
    <tableColumn id="13779" xr3:uid="{65BBD14B-04D9-4DDB-A1FB-8521A3DDBE9D}" name="Spalte13762"/>
    <tableColumn id="13780" xr3:uid="{B2E2AC13-95CB-4558-8CD1-098BE8BCB5FC}" name="Spalte13763"/>
    <tableColumn id="13781" xr3:uid="{8A4B3E4E-ADF1-4192-A292-82FBA648B5CC}" name="Spalte13764"/>
    <tableColumn id="13782" xr3:uid="{076680B6-70C9-477A-864E-65AF569B0A18}" name="Spalte13765"/>
    <tableColumn id="13783" xr3:uid="{D45A8B92-ACE4-41B6-8EE7-781F23F12C8C}" name="Spalte13766"/>
    <tableColumn id="13784" xr3:uid="{9DCD568D-8F3D-4246-B9A6-5D6E449FB73F}" name="Spalte13767"/>
    <tableColumn id="13785" xr3:uid="{42A444E7-2EDF-4A30-857E-0B5AE32FF6D6}" name="Spalte13768"/>
    <tableColumn id="13786" xr3:uid="{B0BACFE8-573F-4DFA-927B-393A515098E2}" name="Spalte13769"/>
    <tableColumn id="13787" xr3:uid="{DA178755-0C3E-4ADA-8395-80AFC4189810}" name="Spalte13770"/>
    <tableColumn id="13788" xr3:uid="{31FC9FC0-5F46-4557-9A8D-5158AD4048DE}" name="Spalte13771"/>
    <tableColumn id="13789" xr3:uid="{AFD48499-8364-498C-93AC-85E362482D93}" name="Spalte13772"/>
    <tableColumn id="13790" xr3:uid="{CFD4D1F4-46D7-435B-93CF-25A827B93346}" name="Spalte13773"/>
    <tableColumn id="13791" xr3:uid="{4E9A1319-B158-423D-9BAF-F046D659F40E}" name="Spalte13774"/>
    <tableColumn id="13792" xr3:uid="{86D0782D-EF24-45A3-9589-CF935702FEFD}" name="Spalte13775"/>
    <tableColumn id="13793" xr3:uid="{4F5A0ECF-3FE5-4B83-A315-CDD837428D54}" name="Spalte13776"/>
    <tableColumn id="13794" xr3:uid="{F1410A6D-081E-4BCA-BA64-3FD7C4B8178D}" name="Spalte13777"/>
    <tableColumn id="13795" xr3:uid="{3A6ECAA0-870E-46BF-92CF-DDF30DA11C9D}" name="Spalte13778"/>
    <tableColumn id="13796" xr3:uid="{37A2E1E1-651D-4D58-83B4-D5947A4061C4}" name="Spalte13779"/>
    <tableColumn id="13797" xr3:uid="{F098213E-93DB-42C4-9CE0-A8C35533B026}" name="Spalte13780"/>
    <tableColumn id="13798" xr3:uid="{A0F185B4-62E3-4EEF-A1B3-FBB2DBFBE80E}" name="Spalte13781"/>
    <tableColumn id="13799" xr3:uid="{79811804-E5A9-4AF1-9960-2FC25DB5897C}" name="Spalte13782"/>
    <tableColumn id="13800" xr3:uid="{3505FA14-A060-4E95-8198-A18A0D2A1F02}" name="Spalte13783"/>
    <tableColumn id="13801" xr3:uid="{2A430855-EB0C-44EC-9AEE-2181BCEF1328}" name="Spalte13784"/>
    <tableColumn id="13802" xr3:uid="{974F8C3A-362B-4ABF-B19E-8DBAA5A06812}" name="Spalte13785"/>
    <tableColumn id="13803" xr3:uid="{CE056102-570B-49AC-A9DD-26D26253D68E}" name="Spalte13786"/>
    <tableColumn id="13804" xr3:uid="{82117C6A-1022-4EB2-A7C8-9D5A53B81137}" name="Spalte13787"/>
    <tableColumn id="13805" xr3:uid="{EB6594D6-D8E2-4185-AE18-B90ED4B091DC}" name="Spalte13788"/>
    <tableColumn id="13806" xr3:uid="{6FAA9D4D-16BB-4498-9FB8-FFD7BD15EBFB}" name="Spalte13789"/>
    <tableColumn id="13807" xr3:uid="{9E02BCF4-1935-4723-B437-4D7B5534021F}" name="Spalte13790"/>
    <tableColumn id="13808" xr3:uid="{9A650F01-9A54-4F78-AE70-8F2B27550460}" name="Spalte13791"/>
    <tableColumn id="13809" xr3:uid="{D9872FD6-C8C2-49D4-B539-F0274C13ECCA}" name="Spalte13792"/>
    <tableColumn id="13810" xr3:uid="{43595825-D741-4C00-B8D4-D58F9D938081}" name="Spalte13793"/>
    <tableColumn id="13811" xr3:uid="{66A7BE91-63C5-44C5-9ABB-8FB0630D72EB}" name="Spalte13794"/>
    <tableColumn id="13812" xr3:uid="{D1E07A0C-D1AB-4618-AA0A-584FF1A21171}" name="Spalte13795"/>
    <tableColumn id="13813" xr3:uid="{FF627B57-7D37-4EF9-9B39-DC2C10FD50AC}" name="Spalte13796"/>
    <tableColumn id="13814" xr3:uid="{5749A1D3-3E9F-4EF1-B8BA-31CA73C950A0}" name="Spalte13797"/>
    <tableColumn id="13815" xr3:uid="{2BCA4EEB-F7A2-4338-BEBA-C84AE285ABC3}" name="Spalte13798"/>
    <tableColumn id="13816" xr3:uid="{6E46F725-70E1-4EA7-8592-34B8D4F67D4E}" name="Spalte13799"/>
    <tableColumn id="13817" xr3:uid="{F1F596B7-0BBD-4073-84D4-1E99394EF4E6}" name="Spalte13800"/>
    <tableColumn id="13818" xr3:uid="{A0E1E557-FB0A-48CB-AB82-51FA545DA131}" name="Spalte13801"/>
    <tableColumn id="13819" xr3:uid="{90A17204-C2C4-4111-990C-9152CCE343C1}" name="Spalte13802"/>
    <tableColumn id="13820" xr3:uid="{9035FB8A-48D5-4E8D-94C5-F75BA4692794}" name="Spalte13803"/>
    <tableColumn id="13821" xr3:uid="{62768113-5B99-456E-9379-51F1917CEBA8}" name="Spalte13804"/>
    <tableColumn id="13822" xr3:uid="{0A391777-E1A8-4236-BEBC-B2E53D33A562}" name="Spalte13805"/>
    <tableColumn id="13823" xr3:uid="{065684CD-EBE1-4599-AD69-75B0CEAA7E88}" name="Spalte13806"/>
    <tableColumn id="13824" xr3:uid="{840B2BFE-0063-4BFC-98FA-ACA305394AF1}" name="Spalte13807"/>
    <tableColumn id="13825" xr3:uid="{214D7F05-8BA1-4018-AB13-68E4422485A1}" name="Spalte13808"/>
    <tableColumn id="13826" xr3:uid="{E2C55984-60EA-4D55-B022-997602318C5F}" name="Spalte13809"/>
    <tableColumn id="13827" xr3:uid="{30D245E7-7C49-4957-87BB-1E94B77FEFA0}" name="Spalte13810"/>
    <tableColumn id="13828" xr3:uid="{6C2C2007-B169-4D09-90B6-54D0D8037667}" name="Spalte13811"/>
    <tableColumn id="13829" xr3:uid="{D2FE92D6-DD71-4388-ACD7-673E3463A2B0}" name="Spalte13812"/>
    <tableColumn id="13830" xr3:uid="{12478B6D-EE50-450C-8AE6-E95728B68EC3}" name="Spalte13813"/>
    <tableColumn id="13831" xr3:uid="{E9704845-C353-40A8-95A9-26736EC50469}" name="Spalte13814"/>
    <tableColumn id="13832" xr3:uid="{BF000728-1833-4236-A243-F032B08B8C90}" name="Spalte13815"/>
    <tableColumn id="13833" xr3:uid="{D1758C0A-793E-4E7B-88DA-E7069E0746FF}" name="Spalte13816"/>
    <tableColumn id="13834" xr3:uid="{D81AAE45-82E6-4CCA-9C35-5672CC90C2C7}" name="Spalte13817"/>
    <tableColumn id="13835" xr3:uid="{8574A787-2241-467D-8284-F1398A2C202E}" name="Spalte13818"/>
    <tableColumn id="13836" xr3:uid="{1C516908-494C-4591-9E96-40D9D8305087}" name="Spalte13819"/>
    <tableColumn id="13837" xr3:uid="{DA524D79-6B0F-4B5F-83D8-E66FBB85187D}" name="Spalte13820"/>
    <tableColumn id="13838" xr3:uid="{7950D539-DFAC-4123-8804-1A311B1DE0CA}" name="Spalte13821"/>
    <tableColumn id="13839" xr3:uid="{386EFA01-1546-47ED-BF31-3593A192306C}" name="Spalte13822"/>
    <tableColumn id="13840" xr3:uid="{3EF057F9-EDF7-491A-98E2-0635CBE29951}" name="Spalte13823"/>
    <tableColumn id="13841" xr3:uid="{410ACCFF-9539-40B5-8172-35833D5A1FFB}" name="Spalte13824"/>
    <tableColumn id="13842" xr3:uid="{96596F7C-4127-4F57-9CEF-AC9D6C88793B}" name="Spalte13825"/>
    <tableColumn id="13843" xr3:uid="{41A5FB61-3452-480F-B781-A3BAFAA07664}" name="Spalte13826"/>
    <tableColumn id="13844" xr3:uid="{39D34D08-67AA-4FCC-AE54-1486237FD01D}" name="Spalte13827"/>
    <tableColumn id="13845" xr3:uid="{61B16249-1194-4DD6-B420-549193CB479F}" name="Spalte13828"/>
    <tableColumn id="13846" xr3:uid="{31DE965E-1ACB-4212-B06A-4E20F841775B}" name="Spalte13829"/>
    <tableColumn id="13847" xr3:uid="{A5A99B83-44B2-4B59-BDC1-499B9C47421E}" name="Spalte13830"/>
    <tableColumn id="13848" xr3:uid="{44EA74BC-5D3A-4DF6-905B-B4B6919987AB}" name="Spalte13831"/>
    <tableColumn id="13849" xr3:uid="{90156BD5-CC70-45B2-81D2-890C72BA6842}" name="Spalte13832"/>
    <tableColumn id="13850" xr3:uid="{40A86F81-0A2A-4A65-8D6C-080408FCC97A}" name="Spalte13833"/>
    <tableColumn id="13851" xr3:uid="{484DA680-8E7A-43AD-8E47-998AD34CDE90}" name="Spalte13834"/>
    <tableColumn id="13852" xr3:uid="{84FBA794-F8A9-4E64-98BE-7A22EDBD2432}" name="Spalte13835"/>
    <tableColumn id="13853" xr3:uid="{FE7D5CB8-2B35-4689-9A3F-7C14B7FEDCF9}" name="Spalte13836"/>
    <tableColumn id="13854" xr3:uid="{B88F615D-1858-4A46-8F15-0EE04A97A3F9}" name="Spalte13837"/>
    <tableColumn id="13855" xr3:uid="{C5636461-6645-4FC0-A520-063F9ECBEDBB}" name="Spalte13838"/>
    <tableColumn id="13856" xr3:uid="{F2DAB4A6-8C05-47E9-821F-9409F9704A92}" name="Spalte13839"/>
    <tableColumn id="13857" xr3:uid="{A255662A-4A9E-4A02-852A-282C12EEED1E}" name="Spalte13840"/>
    <tableColumn id="13858" xr3:uid="{08833A87-A42E-4F57-A284-E68A7E58BE48}" name="Spalte13841"/>
    <tableColumn id="13859" xr3:uid="{13012649-AB25-4C82-9DB3-9F392DB1C60E}" name="Spalte13842"/>
    <tableColumn id="13860" xr3:uid="{02EF40BA-C625-4D12-8372-062EA8CEADF6}" name="Spalte13843"/>
    <tableColumn id="13861" xr3:uid="{D357A8C5-7BB8-4A35-BD29-B030439D3EDB}" name="Spalte13844"/>
    <tableColumn id="13862" xr3:uid="{489E188A-4B2F-49E2-B5C8-1CEF55D39598}" name="Spalte13845"/>
    <tableColumn id="13863" xr3:uid="{75DFFCE6-30C3-43DE-B345-4E898622DC39}" name="Spalte13846"/>
    <tableColumn id="13864" xr3:uid="{6DC767BE-70CB-462F-B5E6-30FC5BFD1DE3}" name="Spalte13847"/>
    <tableColumn id="13865" xr3:uid="{A2CA61A3-622A-4D5E-8171-685B9AC89C27}" name="Spalte13848"/>
    <tableColumn id="13866" xr3:uid="{BB0838FF-CEC8-450E-A06A-077759C40EFB}" name="Spalte13849"/>
    <tableColumn id="13867" xr3:uid="{C2E1CC89-9B26-4376-AB23-AAE82DC7DE64}" name="Spalte13850"/>
    <tableColumn id="13868" xr3:uid="{2857EA41-DC89-4E5F-A10D-6DE7A1A65E42}" name="Spalte13851"/>
    <tableColumn id="13869" xr3:uid="{F4CFF6A9-0CCD-44BE-AB00-5BDFC3FF8965}" name="Spalte13852"/>
    <tableColumn id="13870" xr3:uid="{A384BC72-11D5-4F92-A0C4-9545B8397E27}" name="Spalte13853"/>
    <tableColumn id="13871" xr3:uid="{2162479C-BA92-43F6-985A-E82FA3F9E2F6}" name="Spalte13854"/>
    <tableColumn id="13872" xr3:uid="{49C481E5-1246-4010-BCDF-E331B03BCBA1}" name="Spalte13855"/>
    <tableColumn id="13873" xr3:uid="{F89DAEF4-A608-4197-A520-6CA587B12519}" name="Spalte13856"/>
    <tableColumn id="13874" xr3:uid="{C45C8415-4CE2-4471-AC06-65E5FE2CC100}" name="Spalte13857"/>
    <tableColumn id="13875" xr3:uid="{3145F398-BCFF-4362-A0ED-7C598100704A}" name="Spalte13858"/>
    <tableColumn id="13876" xr3:uid="{66E34F7A-54E1-483C-BCC7-8CC13C50CD0A}" name="Spalte13859"/>
    <tableColumn id="13877" xr3:uid="{EB428982-DF72-4A17-8090-CEA4AB37C20C}" name="Spalte13860"/>
    <tableColumn id="13878" xr3:uid="{6F1752C9-649B-49E0-9E5D-9786D15BE605}" name="Spalte13861"/>
    <tableColumn id="13879" xr3:uid="{4FE6B360-E960-4F1B-8E6B-877422032EA0}" name="Spalte13862"/>
    <tableColumn id="13880" xr3:uid="{D198377B-99DC-4B8A-A351-E05F420F0A18}" name="Spalte13863"/>
    <tableColumn id="13881" xr3:uid="{616D4EE9-8585-429B-AA07-74957B97DE06}" name="Spalte13864"/>
    <tableColumn id="13882" xr3:uid="{88B839B5-C9A8-4A8B-9D56-408DCD7E1885}" name="Spalte13865"/>
    <tableColumn id="13883" xr3:uid="{12D2F681-8950-4DED-80AF-D74F2EBCE6DC}" name="Spalte13866"/>
    <tableColumn id="13884" xr3:uid="{625CDC7B-CD41-4303-8F40-67CD5A95958C}" name="Spalte13867"/>
    <tableColumn id="13885" xr3:uid="{1B07510E-6DE9-4851-94D4-E70A7E491C35}" name="Spalte13868"/>
    <tableColumn id="13886" xr3:uid="{7EB1AA00-80AD-4C7B-B010-17E5FB7BF523}" name="Spalte13869"/>
    <tableColumn id="13887" xr3:uid="{0358F45E-1D00-4369-B23A-B1295CB88B27}" name="Spalte13870"/>
    <tableColumn id="13888" xr3:uid="{0BEDA6F5-8CEA-47BC-8867-D01DF0623C63}" name="Spalte13871"/>
    <tableColumn id="13889" xr3:uid="{8A3C8710-D478-4973-807F-AA28F0F2FA73}" name="Spalte13872"/>
    <tableColumn id="13890" xr3:uid="{B3F5C95C-252B-4A6A-9AC7-23A0C0B04E17}" name="Spalte13873"/>
    <tableColumn id="13891" xr3:uid="{0036E2FF-19BF-4D27-B49A-1371179E4D88}" name="Spalte13874"/>
    <tableColumn id="13892" xr3:uid="{6C6E27C3-1370-4C3F-A54F-80BD6B38C813}" name="Spalte13875"/>
    <tableColumn id="13893" xr3:uid="{88D44F3B-DE86-4060-8985-416D9C0E2CAE}" name="Spalte13876"/>
    <tableColumn id="13894" xr3:uid="{32847CA2-6317-4BB6-9AEE-C61373DF7719}" name="Spalte13877"/>
    <tableColumn id="13895" xr3:uid="{A7D2E1B1-C72D-43DC-9E3F-324262ED0560}" name="Spalte13878"/>
    <tableColumn id="13896" xr3:uid="{D374F28F-3447-466E-A134-B6ED6D07601B}" name="Spalte13879"/>
    <tableColumn id="13897" xr3:uid="{CB833A94-4B4A-4FC8-9AAE-9B14B7DC9242}" name="Spalte13880"/>
    <tableColumn id="13898" xr3:uid="{7CB26DA8-BBCF-4D88-BF20-7664D6239A69}" name="Spalte13881"/>
    <tableColumn id="13899" xr3:uid="{45646FA0-B0B4-4D86-A9F9-6081D8E473A3}" name="Spalte13882"/>
    <tableColumn id="13900" xr3:uid="{F6537ED9-1AB0-41D4-BF2A-87D6F4632FB9}" name="Spalte13883"/>
    <tableColumn id="13901" xr3:uid="{B229DF93-937B-44E1-ABB2-A2152DBBFAD6}" name="Spalte13884"/>
    <tableColumn id="13902" xr3:uid="{253F32B3-5AAB-4ED1-8978-196B79E43363}" name="Spalte13885"/>
    <tableColumn id="13903" xr3:uid="{C22EC272-7B0E-4FF5-8CCE-C1A9DF89C71B}" name="Spalte13886"/>
    <tableColumn id="13904" xr3:uid="{483B8ECD-9B57-4B69-B4DD-5074236D1E60}" name="Spalte13887"/>
    <tableColumn id="13905" xr3:uid="{D762F265-FA05-40AA-9643-2CDFBC15A755}" name="Spalte13888"/>
    <tableColumn id="13906" xr3:uid="{7683F88F-E1B3-43B9-974F-6F064005784C}" name="Spalte13889"/>
    <tableColumn id="13907" xr3:uid="{202529E4-1F42-4D48-98F6-0C1B882A2F6C}" name="Spalte13890"/>
    <tableColumn id="13908" xr3:uid="{C16EB901-12DA-4359-AA58-857F1B9DFD4B}" name="Spalte13891"/>
    <tableColumn id="13909" xr3:uid="{69DE8B55-2C94-4EC1-A823-6B9266D17881}" name="Spalte13892"/>
    <tableColumn id="13910" xr3:uid="{3C7A0372-0D77-4FBA-AE31-84C58DD5B4E6}" name="Spalte13893"/>
    <tableColumn id="13911" xr3:uid="{3AC3C9A4-DAC6-4EC2-9FD2-CB3915BCAAC1}" name="Spalte13894"/>
    <tableColumn id="13912" xr3:uid="{55BCC27A-115D-43A8-9F31-58C5E0C9096E}" name="Spalte13895"/>
    <tableColumn id="13913" xr3:uid="{521018A6-8C00-4D90-9C31-A1C6493D235C}" name="Spalte13896"/>
    <tableColumn id="13914" xr3:uid="{2D0AAA57-E928-4006-852B-0AC5DFFE6421}" name="Spalte13897"/>
    <tableColumn id="13915" xr3:uid="{D0D98956-7A96-4A81-B978-E479D397069B}" name="Spalte13898"/>
    <tableColumn id="13916" xr3:uid="{0169438B-9FB8-4CF6-85CA-47E709BFF92A}" name="Spalte13899"/>
    <tableColumn id="13917" xr3:uid="{7BA3207B-E36E-4528-8F15-7E62D73495F3}" name="Spalte13900"/>
    <tableColumn id="13918" xr3:uid="{4F877CE4-85A2-406D-83CD-8A903DB9F96B}" name="Spalte13901"/>
    <tableColumn id="13919" xr3:uid="{92E715A8-0AC8-41E4-807B-4E2B54FA9937}" name="Spalte13902"/>
    <tableColumn id="13920" xr3:uid="{75CDE1A9-756B-4DA7-9F09-00373930FE00}" name="Spalte13903"/>
    <tableColumn id="13921" xr3:uid="{BAC08CB5-B347-4466-9767-D4309631F643}" name="Spalte13904"/>
    <tableColumn id="13922" xr3:uid="{6009852F-A37E-4208-8F61-F3826ABE5CB3}" name="Spalte13905"/>
    <tableColumn id="13923" xr3:uid="{75B941EB-0EA8-4404-A969-AE458DC6D3A9}" name="Spalte13906"/>
    <tableColumn id="13924" xr3:uid="{9FA4D62B-2DE2-4DF5-97DE-85CEF7C362FB}" name="Spalte13907"/>
    <tableColumn id="13925" xr3:uid="{BAFBBA79-23B4-4207-A03C-43D054179DDB}" name="Spalte13908"/>
    <tableColumn id="13926" xr3:uid="{E842109F-7E69-4358-A546-5C5146673770}" name="Spalte13909"/>
    <tableColumn id="13927" xr3:uid="{41AA3513-26DD-4E90-8F0F-C662265260EF}" name="Spalte13910"/>
    <tableColumn id="13928" xr3:uid="{43C6FEAF-D3FB-42F6-B679-67646D9D7245}" name="Spalte13911"/>
    <tableColumn id="13929" xr3:uid="{ECC42656-D49E-4046-BAEA-812816009C77}" name="Spalte13912"/>
    <tableColumn id="13930" xr3:uid="{B6067B25-7BA6-494B-9A4D-D84441B4214C}" name="Spalte13913"/>
    <tableColumn id="13931" xr3:uid="{526AC7C1-94A8-4B7F-92A7-03DBC4A0EFE2}" name="Spalte13914"/>
    <tableColumn id="13932" xr3:uid="{78CC93B3-DA37-4032-AC58-3FEDD35A77DF}" name="Spalte13915"/>
    <tableColumn id="13933" xr3:uid="{4EDF88CF-075B-4DA2-A73C-2AAFF42D9FCE}" name="Spalte13916"/>
    <tableColumn id="13934" xr3:uid="{99EF2843-E4A9-4C9D-81A7-94CCEBBDBC2C}" name="Spalte13917"/>
    <tableColumn id="13935" xr3:uid="{1067F0DA-835E-4D41-B8FF-EF0B02EC8AE6}" name="Spalte13918"/>
    <tableColumn id="13936" xr3:uid="{D04CF8ED-475D-4349-BF17-5F7894FC7C07}" name="Spalte13919"/>
    <tableColumn id="13937" xr3:uid="{07D306EC-753F-40CA-B771-9A130A7E753C}" name="Spalte13920"/>
    <tableColumn id="13938" xr3:uid="{C7D83015-D3C4-47B7-833E-AC10F40E6904}" name="Spalte13921"/>
    <tableColumn id="13939" xr3:uid="{780A7A29-4EB2-49C5-9C57-43F519B790B3}" name="Spalte13922"/>
    <tableColumn id="13940" xr3:uid="{9C17CD8D-DA93-4768-98B0-E5B5CAFCF24B}" name="Spalte13923"/>
    <tableColumn id="13941" xr3:uid="{CEE18CED-B3F8-40D7-A0C4-B2985E40199B}" name="Spalte13924"/>
    <tableColumn id="13942" xr3:uid="{EA6703A1-89B3-40BC-8C13-E942C36B0B3B}" name="Spalte13925"/>
    <tableColumn id="13943" xr3:uid="{B34BDC2A-248A-4869-A98B-1C4A46B952B5}" name="Spalte13926"/>
    <tableColumn id="13944" xr3:uid="{EFEE10AD-4AE9-4D80-A5B1-8515EFEE1A19}" name="Spalte13927"/>
    <tableColumn id="13945" xr3:uid="{8B889081-C250-455C-B994-0C0983A32AAD}" name="Spalte13928"/>
    <tableColumn id="13946" xr3:uid="{45401037-F7C1-4E11-972E-3311ED0A0D64}" name="Spalte13929"/>
    <tableColumn id="13947" xr3:uid="{DD1ADEBD-46C6-40A7-A142-CD0A20CAD199}" name="Spalte13930"/>
    <tableColumn id="13948" xr3:uid="{5DA2D7A1-72A8-4CDB-9B25-9F9366AB18D9}" name="Spalte13931"/>
    <tableColumn id="13949" xr3:uid="{19C3D25D-EDDD-4D8D-97D2-005750FD2A09}" name="Spalte13932"/>
    <tableColumn id="13950" xr3:uid="{C7C1BEB9-F67D-456D-BE29-BD065B9AFD1C}" name="Spalte13933"/>
    <tableColumn id="13951" xr3:uid="{47685C83-2E81-4787-B98C-E3869FB8362E}" name="Spalte13934"/>
    <tableColumn id="13952" xr3:uid="{7D8172A0-617F-4D83-840D-5A055193055D}" name="Spalte13935"/>
    <tableColumn id="13953" xr3:uid="{F10CE36B-3BFD-4A36-B273-486188AFDEF7}" name="Spalte13936"/>
    <tableColumn id="13954" xr3:uid="{2EAB10E6-D8D6-4D86-BFB5-DF34BBCEBD94}" name="Spalte13937"/>
    <tableColumn id="13955" xr3:uid="{1CA0A12E-9519-43AF-BF8B-1F9ADF0C96A5}" name="Spalte13938"/>
    <tableColumn id="13956" xr3:uid="{E6A7CCA8-C7BB-40FA-B333-99A0027F4A16}" name="Spalte13939"/>
    <tableColumn id="13957" xr3:uid="{2A23C4D7-62B6-47C1-A24A-28BAAE2ED291}" name="Spalte13940"/>
    <tableColumn id="13958" xr3:uid="{06CB517A-4A31-4382-B035-A7E90F7172AE}" name="Spalte13941"/>
    <tableColumn id="13959" xr3:uid="{9E94ED71-B815-40FD-9B23-E57B4339CBF8}" name="Spalte13942"/>
    <tableColumn id="13960" xr3:uid="{C7F6E846-215E-43E5-9419-10382C30CEC8}" name="Spalte13943"/>
    <tableColumn id="13961" xr3:uid="{90255E9D-545B-4C8D-8D22-372635CC9210}" name="Spalte13944"/>
    <tableColumn id="13962" xr3:uid="{DBA63F45-BEC3-4339-8C60-BB6DD18CA2EE}" name="Spalte13945"/>
    <tableColumn id="13963" xr3:uid="{A16032F7-A2E1-413A-BE96-E3DAD7C3161C}" name="Spalte13946"/>
    <tableColumn id="13964" xr3:uid="{7AE2167C-D8D3-4EFD-AFFB-73AAEC3AB850}" name="Spalte13947"/>
    <tableColumn id="13965" xr3:uid="{08507919-8533-4BE5-B7FC-B2CF906B4805}" name="Spalte13948"/>
    <tableColumn id="13966" xr3:uid="{65E5F0B2-9514-4932-92FE-27322F02230F}" name="Spalte13949"/>
    <tableColumn id="13967" xr3:uid="{443E6F5B-515A-4A50-A93C-141B59953ED2}" name="Spalte13950"/>
    <tableColumn id="13968" xr3:uid="{9851CE51-F805-4F41-B5CF-BF82F921056D}" name="Spalte13951"/>
    <tableColumn id="13969" xr3:uid="{1FCDA4C7-82DA-4A8C-99FA-18AD3FB0780A}" name="Spalte13952"/>
    <tableColumn id="13970" xr3:uid="{5BB424B0-A59B-42A0-AC45-5A3D0889E0F9}" name="Spalte13953"/>
    <tableColumn id="13971" xr3:uid="{80E6AA7F-9305-40F6-A61A-6B4C5234915D}" name="Spalte13954"/>
    <tableColumn id="13972" xr3:uid="{DED2509A-7890-4027-B5A8-22FDF5DDCBBC}" name="Spalte13955"/>
    <tableColumn id="13973" xr3:uid="{AEB5464E-E08A-43DA-B5ED-7B480A6C90B6}" name="Spalte13956"/>
    <tableColumn id="13974" xr3:uid="{A3F798BE-D52E-4727-B1DF-7FF0161BD886}" name="Spalte13957"/>
    <tableColumn id="13975" xr3:uid="{110AFCF8-7ED0-444D-821B-0CB60CF10EAA}" name="Spalte13958"/>
    <tableColumn id="13976" xr3:uid="{3340A0AA-F51F-401E-8833-F86E2E5201D5}" name="Spalte13959"/>
    <tableColumn id="13977" xr3:uid="{84C0783E-4A38-4589-B8C6-B2F42C2C6B59}" name="Spalte13960"/>
    <tableColumn id="13978" xr3:uid="{B15F47AC-0C00-4BEB-B80F-4699D92034CE}" name="Spalte13961"/>
    <tableColumn id="13979" xr3:uid="{A64350A5-54BA-4D53-8EC5-11BB90D8C0FD}" name="Spalte13962"/>
    <tableColumn id="13980" xr3:uid="{105B3263-5C4D-42B8-8072-653E2E5A2567}" name="Spalte13963"/>
    <tableColumn id="13981" xr3:uid="{41D18B1A-C01C-416D-9F15-14C052FD03DB}" name="Spalte13964"/>
    <tableColumn id="13982" xr3:uid="{97F909AA-924D-48B2-B7EE-7394CC8B1C61}" name="Spalte13965"/>
    <tableColumn id="13983" xr3:uid="{9753D590-4963-4EC7-A620-5F668CEFF390}" name="Spalte13966"/>
    <tableColumn id="13984" xr3:uid="{E53C6F01-2847-41F1-93FC-14B3038B1073}" name="Spalte13967"/>
    <tableColumn id="13985" xr3:uid="{93F9F5BB-6499-4900-A50A-CB1431A8DA2F}" name="Spalte13968"/>
    <tableColumn id="13986" xr3:uid="{A6CC9DCC-30DD-4209-8239-20FFCEB74492}" name="Spalte13969"/>
    <tableColumn id="13987" xr3:uid="{5BEE457C-7096-4CF2-8926-3826BC8ACDFA}" name="Spalte13970"/>
    <tableColumn id="13988" xr3:uid="{CCE3787B-DD36-4411-A9B3-341A075EB576}" name="Spalte13971"/>
    <tableColumn id="13989" xr3:uid="{DE064984-80A5-4BF4-9F15-56B7DC7DBC50}" name="Spalte13972"/>
    <tableColumn id="13990" xr3:uid="{175BE640-7DCB-4988-B8FF-BC461AB00F40}" name="Spalte13973"/>
    <tableColumn id="13991" xr3:uid="{7D0B9361-8BAD-4404-8995-D7EF7B35F557}" name="Spalte13974"/>
    <tableColumn id="13992" xr3:uid="{DFE0D916-F885-49D3-AE86-7B9A3ED3CDFC}" name="Spalte13975"/>
    <tableColumn id="13993" xr3:uid="{44A6A247-F2B3-4DAE-8923-20C28E0C863E}" name="Spalte13976"/>
    <tableColumn id="13994" xr3:uid="{43F43253-AC5A-4820-A14D-2BCFC878BB01}" name="Spalte13977"/>
    <tableColumn id="13995" xr3:uid="{328048C9-A758-440A-BCB8-442B73A8C495}" name="Spalte13978"/>
    <tableColumn id="13996" xr3:uid="{046DDF9B-B4E4-4C4B-894B-6A66CAC6D333}" name="Spalte13979"/>
    <tableColumn id="13997" xr3:uid="{8BDF7F27-A707-4771-B560-D564D7570C8E}" name="Spalte13980"/>
    <tableColumn id="13998" xr3:uid="{A6DE5685-CE66-4B33-B32A-299D7B3EF455}" name="Spalte13981"/>
    <tableColumn id="13999" xr3:uid="{44E6AA0A-87F5-4529-8E6C-853FA5CCE5E6}" name="Spalte13982"/>
    <tableColumn id="14000" xr3:uid="{1445D47D-D4C1-4593-8931-CC866F7D3AB0}" name="Spalte13983"/>
    <tableColumn id="14001" xr3:uid="{76DE4103-C299-4A95-BCCD-2AD15BD60E02}" name="Spalte13984"/>
    <tableColumn id="14002" xr3:uid="{BB3A796C-4DA2-4B33-81F6-87B3927A7631}" name="Spalte13985"/>
    <tableColumn id="14003" xr3:uid="{E3B1B805-E4FA-49B9-8EB5-DB7AAB522C2F}" name="Spalte13986"/>
    <tableColumn id="14004" xr3:uid="{939B49E0-4A0A-4078-9D67-DD607CBC9E10}" name="Spalte13987"/>
    <tableColumn id="14005" xr3:uid="{43CA1382-E6EB-4346-9E8C-037A646E1D1C}" name="Spalte13988"/>
    <tableColumn id="14006" xr3:uid="{9C415E36-9D63-43FD-AEF6-524EB3A2BF51}" name="Spalte13989"/>
    <tableColumn id="14007" xr3:uid="{FFF4CC0F-7F7F-4D01-B7BD-2D4F796CAE45}" name="Spalte13990"/>
    <tableColumn id="14008" xr3:uid="{423CA354-EC16-4C15-8895-ACBE7AD50E73}" name="Spalte13991"/>
    <tableColumn id="14009" xr3:uid="{0EAC0A5F-065A-4A8D-BD6B-42CDEF19D00E}" name="Spalte13992"/>
    <tableColumn id="14010" xr3:uid="{E9084835-A82F-44F6-8E8B-CA458B3A1F7E}" name="Spalte13993"/>
    <tableColumn id="14011" xr3:uid="{B7B5C50D-6923-457A-BB15-9CF5B8E55042}" name="Spalte13994"/>
    <tableColumn id="14012" xr3:uid="{891D074F-EADA-4F24-BB1B-6266B72A318E}" name="Spalte13995"/>
    <tableColumn id="14013" xr3:uid="{6C8C7512-179B-4845-B2D2-8859B81C4C89}" name="Spalte13996"/>
    <tableColumn id="14014" xr3:uid="{2740B249-73A5-4BD5-B5E0-7DDD430317FC}" name="Spalte13997"/>
    <tableColumn id="14015" xr3:uid="{D947A366-6B9E-476F-9BBC-83B1213213C3}" name="Spalte13998"/>
    <tableColumn id="14016" xr3:uid="{FD4DB176-FE7D-43D5-B520-FB7133C03D3D}" name="Spalte13999"/>
    <tableColumn id="14017" xr3:uid="{09EFE519-2389-4A6D-A60D-9500A21FFD16}" name="Spalte14000"/>
    <tableColumn id="14018" xr3:uid="{CDAB3791-BF91-46BF-8BAE-5B905216535C}" name="Spalte14001"/>
    <tableColumn id="14019" xr3:uid="{82C7E2F3-99E0-4D3C-A75D-94749B43CB5F}" name="Spalte14002"/>
    <tableColumn id="14020" xr3:uid="{D88E85B7-BDE5-4080-A44D-8C32E1F552BB}" name="Spalte14003"/>
    <tableColumn id="14021" xr3:uid="{CE504F40-C08E-4600-B621-0D31E1588344}" name="Spalte14004"/>
    <tableColumn id="14022" xr3:uid="{B97A439B-99AA-4076-B840-F2612F158428}" name="Spalte14005"/>
    <tableColumn id="14023" xr3:uid="{6E8102C0-AE5D-4820-B0C2-FC79425CF985}" name="Spalte14006"/>
    <tableColumn id="14024" xr3:uid="{B328C087-B235-496B-9DF0-77801CC535C1}" name="Spalte14007"/>
    <tableColumn id="14025" xr3:uid="{2D0F8295-3043-497C-9E14-4C7E9FD65B54}" name="Spalte14008"/>
    <tableColumn id="14026" xr3:uid="{606C853D-1D33-4215-9147-76CED7AFDCFB}" name="Spalte14009"/>
    <tableColumn id="14027" xr3:uid="{53A4D0E5-29E9-45EF-8C1A-66C8E62A3E01}" name="Spalte14010"/>
    <tableColumn id="14028" xr3:uid="{621AB8C8-50CB-4868-BFEB-FD7BCADC911A}" name="Spalte14011"/>
    <tableColumn id="14029" xr3:uid="{A617D84A-1FF2-4D8A-BE22-883DF2E3EC0D}" name="Spalte14012"/>
    <tableColumn id="14030" xr3:uid="{7E084013-7EFB-4CF6-8E30-6F8C5FD4C5F4}" name="Spalte14013"/>
    <tableColumn id="14031" xr3:uid="{6FA8AD78-113B-4B5E-BB09-02570014889A}" name="Spalte14014"/>
    <tableColumn id="14032" xr3:uid="{E0884592-BD98-4A44-9487-A661E9F185BF}" name="Spalte14015"/>
    <tableColumn id="14033" xr3:uid="{8D2C9BAA-6987-4573-B238-C9F23869954C}" name="Spalte14016"/>
    <tableColumn id="14034" xr3:uid="{82FE6FD6-FE16-42A3-9EB4-4C9255F3F8A3}" name="Spalte14017"/>
    <tableColumn id="14035" xr3:uid="{0DD30765-F23D-40DE-A3BF-073768A1D67A}" name="Spalte14018"/>
    <tableColumn id="14036" xr3:uid="{FBA3602C-9F06-4466-9DD4-C5E24F815E56}" name="Spalte14019"/>
    <tableColumn id="14037" xr3:uid="{22BDEEE0-9DB8-4647-AFF3-DFD332E0D783}" name="Spalte14020"/>
    <tableColumn id="14038" xr3:uid="{C5377B99-CA22-499D-A366-DFE79FAEA76C}" name="Spalte14021"/>
    <tableColumn id="14039" xr3:uid="{0B19F013-E4FB-48C1-8A59-8CF1AEAF6E3A}" name="Spalte14022"/>
    <tableColumn id="14040" xr3:uid="{686A78FB-001C-4A82-8425-869890BAAEA1}" name="Spalte14023"/>
    <tableColumn id="14041" xr3:uid="{B5FE7270-67F5-408E-8523-4748453D832C}" name="Spalte14024"/>
    <tableColumn id="14042" xr3:uid="{1DE33256-446A-4966-80B7-6E19C803745D}" name="Spalte14025"/>
    <tableColumn id="14043" xr3:uid="{AAE13413-01F3-471E-8CA0-8A7D3CA520E0}" name="Spalte14026"/>
    <tableColumn id="14044" xr3:uid="{72A58ED9-018E-4429-9946-1DFC4CACAF19}" name="Spalte14027"/>
    <tableColumn id="14045" xr3:uid="{D151A228-1CE6-4766-8947-A6464FBE3BDF}" name="Spalte14028"/>
    <tableColumn id="14046" xr3:uid="{409F6AF5-5037-487F-B5E5-3B36B859B836}" name="Spalte14029"/>
    <tableColumn id="14047" xr3:uid="{38761127-BB74-42EB-BD80-732F8FCC29DA}" name="Spalte14030"/>
    <tableColumn id="14048" xr3:uid="{2C0142AB-4123-414A-ACBB-81A0408F9C8C}" name="Spalte14031"/>
    <tableColumn id="14049" xr3:uid="{70B2DA64-12D8-4AA0-96CB-40CB785A394C}" name="Spalte14032"/>
    <tableColumn id="14050" xr3:uid="{BD324F7D-4A49-4F27-AF4E-A62F7175AC20}" name="Spalte14033"/>
    <tableColumn id="14051" xr3:uid="{98878D92-F47F-480C-81EC-008971019FD3}" name="Spalte14034"/>
    <tableColumn id="14052" xr3:uid="{000AA7C8-CC3E-4142-90C7-E0F0B33C2FDA}" name="Spalte14035"/>
    <tableColumn id="14053" xr3:uid="{2150E2EC-9ECF-4020-9627-7ABAB28A5AB2}" name="Spalte14036"/>
    <tableColumn id="14054" xr3:uid="{184AC882-254B-48DF-9324-95B9C4A88963}" name="Spalte14037"/>
    <tableColumn id="14055" xr3:uid="{398E78C7-5D07-4C67-8C76-BB89D1E5BE69}" name="Spalte14038"/>
    <tableColumn id="14056" xr3:uid="{3E3B91AB-6D32-42FF-8103-0E346ED3B41A}" name="Spalte14039"/>
    <tableColumn id="14057" xr3:uid="{73F2DE1B-5C7D-4248-8116-555AA39E5516}" name="Spalte14040"/>
    <tableColumn id="14058" xr3:uid="{14C9FAE8-54A2-4E6E-A46B-6255C81D171E}" name="Spalte14041"/>
    <tableColumn id="14059" xr3:uid="{734C23C8-EEC5-43EA-8E8D-6256004A0A46}" name="Spalte14042"/>
    <tableColumn id="14060" xr3:uid="{660E847A-DF92-4EE6-8F97-ED2110CE4469}" name="Spalte14043"/>
    <tableColumn id="14061" xr3:uid="{78A0D1D1-1FDD-460F-B13F-1949009A9E4B}" name="Spalte14044"/>
    <tableColumn id="14062" xr3:uid="{6887C3D4-295F-4464-8555-C170E7907A1F}" name="Spalte14045"/>
    <tableColumn id="14063" xr3:uid="{A4235C7B-5EA0-4CE4-845E-10C7D1701027}" name="Spalte14046"/>
    <tableColumn id="14064" xr3:uid="{D0892752-63A6-4E59-A54B-93B923B29290}" name="Spalte14047"/>
    <tableColumn id="14065" xr3:uid="{141B6980-48A7-4838-8A24-138D416C5C0F}" name="Spalte14048"/>
    <tableColumn id="14066" xr3:uid="{E4E3EA54-CBC7-4EBC-9A6B-3952B1611531}" name="Spalte14049"/>
    <tableColumn id="14067" xr3:uid="{D02E6F87-67B0-4098-8A30-244043CE2490}" name="Spalte14050"/>
    <tableColumn id="14068" xr3:uid="{2996FC8C-CDED-4CF9-8CCE-B00D598D0263}" name="Spalte14051"/>
    <tableColumn id="14069" xr3:uid="{1E80BE76-364B-4505-9FC6-F99E9B248894}" name="Spalte14052"/>
    <tableColumn id="14070" xr3:uid="{A10A14B6-BD5D-40C9-8DC3-C3A13226CB61}" name="Spalte14053"/>
    <tableColumn id="14071" xr3:uid="{F8135E21-4546-4820-B9E5-D846CA64AD03}" name="Spalte14054"/>
    <tableColumn id="14072" xr3:uid="{2BBF9C5C-488F-4693-8F3B-7757032955EF}" name="Spalte14055"/>
    <tableColumn id="14073" xr3:uid="{88FA61D0-5EBC-4DE6-86E2-59983E6934DD}" name="Spalte14056"/>
    <tableColumn id="14074" xr3:uid="{02275F9F-8A46-4182-A6EA-7CB6F5644461}" name="Spalte14057"/>
    <tableColumn id="14075" xr3:uid="{4287C378-A667-4D2D-ADCE-1D1BB5A5052E}" name="Spalte14058"/>
    <tableColumn id="14076" xr3:uid="{520E7F03-E445-4198-A984-1501383095E1}" name="Spalte14059"/>
    <tableColumn id="14077" xr3:uid="{63E0520A-AC33-486E-85FF-ACC5A65E9CC6}" name="Spalte14060"/>
    <tableColumn id="14078" xr3:uid="{355A7D69-079E-44CE-8F21-E96955F8F9FC}" name="Spalte14061"/>
    <tableColumn id="14079" xr3:uid="{675EEF6D-8440-4CF1-A4B3-3BD1B4FB1D73}" name="Spalte14062"/>
    <tableColumn id="14080" xr3:uid="{7C50A2E9-0B1C-45A2-9D90-A20068C3CF93}" name="Spalte14063"/>
    <tableColumn id="14081" xr3:uid="{B6E1F756-C676-488D-8A43-EA873F60BAA4}" name="Spalte14064"/>
    <tableColumn id="14082" xr3:uid="{74647714-2FF0-40DB-AD62-323659D3B430}" name="Spalte14065"/>
    <tableColumn id="14083" xr3:uid="{446B403B-9EF6-4A56-88E2-6735D930E6F4}" name="Spalte14066"/>
    <tableColumn id="14084" xr3:uid="{7BDA1612-6368-40C4-B6E5-26BD7B8F70D1}" name="Spalte14067"/>
    <tableColumn id="14085" xr3:uid="{F0AAB166-7F5E-4940-9D09-51E2D4DFB761}" name="Spalte14068"/>
    <tableColumn id="14086" xr3:uid="{9D91121B-B8C4-4EF2-98B1-51F21061D4A0}" name="Spalte14069"/>
    <tableColumn id="14087" xr3:uid="{96F218D8-9C7B-4CE1-AA74-21FDC4247988}" name="Spalte14070"/>
    <tableColumn id="14088" xr3:uid="{F073A6AD-FCFF-411D-A73D-73E102DEC2DD}" name="Spalte14071"/>
    <tableColumn id="14089" xr3:uid="{B4F88D1C-3911-4C51-BED8-1D58A4494031}" name="Spalte14072"/>
    <tableColumn id="14090" xr3:uid="{7E49B0CD-12D9-4FB1-B394-DC1F7348F75E}" name="Spalte14073"/>
    <tableColumn id="14091" xr3:uid="{106D7846-6E72-4BC7-A3F0-A8B3AAE75929}" name="Spalte14074"/>
    <tableColumn id="14092" xr3:uid="{1A8E4571-DD3E-427F-89AB-74C138A9271E}" name="Spalte14075"/>
    <tableColumn id="14093" xr3:uid="{407152FF-C9A4-4D9C-A0A6-8CC68CC8DE55}" name="Spalte14076"/>
    <tableColumn id="14094" xr3:uid="{3C4F771E-9345-4F15-9422-6F730D568AFC}" name="Spalte14077"/>
    <tableColumn id="14095" xr3:uid="{8684C8EE-2FC0-4C7C-B45D-EDC414D6D86A}" name="Spalte14078"/>
    <tableColumn id="14096" xr3:uid="{6C190FC1-32D8-4EE2-961E-7E4A073AA70C}" name="Spalte14079"/>
    <tableColumn id="14097" xr3:uid="{34EDED8C-C965-404C-99E7-0FD3471FE3EB}" name="Spalte14080"/>
    <tableColumn id="14098" xr3:uid="{D7D58A60-0C2A-4489-9FAC-E63368C0D253}" name="Spalte14081"/>
    <tableColumn id="14099" xr3:uid="{CC169EED-7077-4E2E-AF68-DC6FEBD62C10}" name="Spalte14082"/>
    <tableColumn id="14100" xr3:uid="{8A59D228-C8A7-4595-8D67-8AB50BC9D508}" name="Spalte14083"/>
    <tableColumn id="14101" xr3:uid="{57C9B331-E3BE-408C-827E-B7AD85D582F3}" name="Spalte14084"/>
    <tableColumn id="14102" xr3:uid="{B25BDCEE-1899-46B2-806D-03AFDEB019B3}" name="Spalte14085"/>
    <tableColumn id="14103" xr3:uid="{B1F1C440-A340-4D53-90CE-3B97886CC780}" name="Spalte14086"/>
    <tableColumn id="14104" xr3:uid="{57B10921-9908-49C5-BFC0-594A3A834035}" name="Spalte14087"/>
    <tableColumn id="14105" xr3:uid="{45BE9265-2106-4EA9-B0CD-2BAD256635ED}" name="Spalte14088"/>
    <tableColumn id="14106" xr3:uid="{92E2F515-0818-4017-8AFB-F16AFB0C80D7}" name="Spalte14089"/>
    <tableColumn id="14107" xr3:uid="{AABC9900-5824-4DB0-8CB5-AB71D3F748C3}" name="Spalte14090"/>
    <tableColumn id="14108" xr3:uid="{1EA04AC2-573B-4853-ADE5-175B751101E2}" name="Spalte14091"/>
    <tableColumn id="14109" xr3:uid="{1B57EA33-79D8-480D-B690-D76DFFF464C0}" name="Spalte14092"/>
    <tableColumn id="14110" xr3:uid="{AFE8DF99-2834-475A-93F5-498F38271F68}" name="Spalte14093"/>
    <tableColumn id="14111" xr3:uid="{40729CCE-3F35-4F70-916E-D7EEC98BA04C}" name="Spalte14094"/>
    <tableColumn id="14112" xr3:uid="{8071E59C-FF03-4CF8-81E7-75FE9BD1969C}" name="Spalte14095"/>
    <tableColumn id="14113" xr3:uid="{C366B833-9978-4F2B-90DA-6832E6F0BAAC}" name="Spalte14096"/>
    <tableColumn id="14114" xr3:uid="{9179A663-D7E5-4967-B86E-09F20D286900}" name="Spalte14097"/>
    <tableColumn id="14115" xr3:uid="{5C3FE3AE-1470-42DC-AF5D-D8B332D4A522}" name="Spalte14098"/>
    <tableColumn id="14116" xr3:uid="{0C1417D7-5EAC-4BF2-9854-001D0A419FD6}" name="Spalte14099"/>
    <tableColumn id="14117" xr3:uid="{1C15259E-85DA-4B3C-856F-C43FBE27CA16}" name="Spalte14100"/>
    <tableColumn id="14118" xr3:uid="{57490738-241F-4DE5-A5AC-DCFB9FBE538D}" name="Spalte14101"/>
    <tableColumn id="14119" xr3:uid="{468023CF-C6D8-4257-A78C-286B55201AE3}" name="Spalte14102"/>
    <tableColumn id="14120" xr3:uid="{09C527D5-D2A4-4EB7-BC98-2F2B7BE522D4}" name="Spalte14103"/>
    <tableColumn id="14121" xr3:uid="{A2A3069D-60D3-4F59-85A6-A62ABB8B2D1A}" name="Spalte14104"/>
    <tableColumn id="14122" xr3:uid="{63EB884D-2748-47D3-8592-CB3990FEF541}" name="Spalte14105"/>
    <tableColumn id="14123" xr3:uid="{38C968AB-F055-42AC-B778-99E8F0F5822D}" name="Spalte14106"/>
    <tableColumn id="14124" xr3:uid="{441D4F1A-D684-4A1A-A488-2127180CDA0B}" name="Spalte14107"/>
    <tableColumn id="14125" xr3:uid="{89295480-B8E0-4A84-918F-9390C9DDE6AA}" name="Spalte14108"/>
    <tableColumn id="14126" xr3:uid="{C0A46A87-194D-4DA5-995A-853E750323AF}" name="Spalte14109"/>
    <tableColumn id="14127" xr3:uid="{ABED7933-5FA5-4215-BD7F-704115B12496}" name="Spalte14110"/>
    <tableColumn id="14128" xr3:uid="{70083319-939A-48A8-AF84-1C88A5851974}" name="Spalte14111"/>
    <tableColumn id="14129" xr3:uid="{6DE5EF4A-72DA-468B-A506-EC4A7B8511B6}" name="Spalte14112"/>
    <tableColumn id="14130" xr3:uid="{DDC1543D-F477-453F-AFC6-5297AD130406}" name="Spalte14113"/>
    <tableColumn id="14131" xr3:uid="{B57C4A34-2643-467B-93C8-7F183E37EA83}" name="Spalte14114"/>
    <tableColumn id="14132" xr3:uid="{728EB260-3687-4BDC-9C77-30AD286EC93A}" name="Spalte14115"/>
    <tableColumn id="14133" xr3:uid="{4C6F71D0-3084-4658-909F-D7FADE37137F}" name="Spalte14116"/>
    <tableColumn id="14134" xr3:uid="{57EA3220-7F85-4D15-9671-38F167A35E03}" name="Spalte14117"/>
    <tableColumn id="14135" xr3:uid="{918C3FB6-0E51-4BAC-84DB-D6F4DAE67845}" name="Spalte14118"/>
    <tableColumn id="14136" xr3:uid="{AA751C28-0882-4FE2-A711-C864E668A869}" name="Spalte14119"/>
    <tableColumn id="14137" xr3:uid="{41F12495-9FD5-4320-A68D-7DA122295B18}" name="Spalte14120"/>
    <tableColumn id="14138" xr3:uid="{D67E5BA7-F469-455A-B5EA-E0963ECD33BE}" name="Spalte14121"/>
    <tableColumn id="14139" xr3:uid="{4D6BBBE9-6DC1-4336-B2B7-7CFD0F5BFC81}" name="Spalte14122"/>
    <tableColumn id="14140" xr3:uid="{2058ADBC-D5DF-4C18-88DD-1BACB2D1DC05}" name="Spalte14123"/>
    <tableColumn id="14141" xr3:uid="{A570F78D-F773-426A-A23C-FB6CEEAB5357}" name="Spalte14124"/>
    <tableColumn id="14142" xr3:uid="{420B4647-491C-4426-89C7-8111D6BE6391}" name="Spalte14125"/>
    <tableColumn id="14143" xr3:uid="{F097F4E0-4C35-4A11-AC4F-4E2945129EFE}" name="Spalte14126"/>
    <tableColumn id="14144" xr3:uid="{8E33E781-AA5C-474A-B706-EBD59459CADC}" name="Spalte14127"/>
    <tableColumn id="14145" xr3:uid="{C537EA79-31CD-46EF-851E-8CDF99EA229A}" name="Spalte14128"/>
    <tableColumn id="14146" xr3:uid="{BE9B9C95-98EC-49F0-9CCD-700B204E64E7}" name="Spalte14129"/>
    <tableColumn id="14147" xr3:uid="{1A88E96C-6840-49E9-B6A1-9757F32EDDF8}" name="Spalte14130"/>
    <tableColumn id="14148" xr3:uid="{66BD928C-7C3E-4DA0-BC66-B940C79C2BC3}" name="Spalte14131"/>
    <tableColumn id="14149" xr3:uid="{C73F5D3D-56B0-47AB-A302-09472E5243E6}" name="Spalte14132"/>
    <tableColumn id="14150" xr3:uid="{01C5BAFF-BECA-4894-B69F-67A97BB899D4}" name="Spalte14133"/>
    <tableColumn id="14151" xr3:uid="{234B82A6-D918-4446-B6CE-6A03E808E1B8}" name="Spalte14134"/>
    <tableColumn id="14152" xr3:uid="{F0FDD648-0EF3-4739-BA7D-79F839DB8E09}" name="Spalte14135"/>
    <tableColumn id="14153" xr3:uid="{5EA4778B-9F41-4E4B-8F06-B68CC3E81BAF}" name="Spalte14136"/>
    <tableColumn id="14154" xr3:uid="{6BCA9792-3358-44BB-B70D-6FE287956FC8}" name="Spalte14137"/>
    <tableColumn id="14155" xr3:uid="{34DDA659-0230-4504-9BC4-BB92C1A30908}" name="Spalte14138"/>
    <tableColumn id="14156" xr3:uid="{4EC31582-394E-4C54-9840-6397962CFCC4}" name="Spalte14139"/>
    <tableColumn id="14157" xr3:uid="{233024EB-F618-4522-BF22-2F1D85BF1C4D}" name="Spalte14140"/>
    <tableColumn id="14158" xr3:uid="{619E1C31-BCF0-488B-83AB-459EBA0B5AC1}" name="Spalte14141"/>
    <tableColumn id="14159" xr3:uid="{ED82F006-4FE6-4EFA-AE77-BD0852810CBD}" name="Spalte14142"/>
    <tableColumn id="14160" xr3:uid="{03878DBD-32EA-49A7-81D4-52F2FD6683AC}" name="Spalte14143"/>
    <tableColumn id="14161" xr3:uid="{AB1ADCC9-50D5-4554-AFDA-39561180EB4A}" name="Spalte14144"/>
    <tableColumn id="14162" xr3:uid="{0F139D7D-645B-441C-81B8-DAF89976DD51}" name="Spalte14145"/>
    <tableColumn id="14163" xr3:uid="{B16F63D9-E843-4BAE-8991-9D1F6F4D8305}" name="Spalte14146"/>
    <tableColumn id="14164" xr3:uid="{CDAC645F-83D9-4FE2-B083-5AC615B40A47}" name="Spalte14147"/>
    <tableColumn id="14165" xr3:uid="{F2678AD3-3887-4AE1-9508-36A15962ABFF}" name="Spalte14148"/>
    <tableColumn id="14166" xr3:uid="{9DE656F3-6EB5-414B-A077-333BE16530B6}" name="Spalte14149"/>
    <tableColumn id="14167" xr3:uid="{CF344A72-5BA4-4782-AECE-9595BDE35213}" name="Spalte14150"/>
    <tableColumn id="14168" xr3:uid="{00167835-C275-4ABE-A579-E2EAF889B3B6}" name="Spalte14151"/>
    <tableColumn id="14169" xr3:uid="{A47F70E2-8649-4A57-93BE-2A51036E334A}" name="Spalte14152"/>
    <tableColumn id="14170" xr3:uid="{DA9B1696-FD2C-4221-BE77-572F500F69F6}" name="Spalte14153"/>
    <tableColumn id="14171" xr3:uid="{F83450A7-CB17-4F8C-B499-126D1C0FD009}" name="Spalte14154"/>
    <tableColumn id="14172" xr3:uid="{41031BD5-CB8D-4DD8-84E8-0D53B228A5DF}" name="Spalte14155"/>
    <tableColumn id="14173" xr3:uid="{FDAC4ECD-3EAB-4A2D-AC50-DE0B967A7960}" name="Spalte14156"/>
    <tableColumn id="14174" xr3:uid="{44A3FAB2-0B7F-4F93-BEAC-1AEBBCD65E61}" name="Spalte14157"/>
    <tableColumn id="14175" xr3:uid="{7C8A190F-2DE1-4F9F-957D-152BAFBDF7B4}" name="Spalte14158"/>
    <tableColumn id="14176" xr3:uid="{1F7383DC-EFB5-421D-B997-271C38CCBDD9}" name="Spalte14159"/>
    <tableColumn id="14177" xr3:uid="{33F50E4E-0785-44F7-A8C1-9288FCC71112}" name="Spalte14160"/>
    <tableColumn id="14178" xr3:uid="{67834217-1A97-4798-8A72-0695C0298C0A}" name="Spalte14161"/>
    <tableColumn id="14179" xr3:uid="{69EDB910-A754-4124-8D60-64DEA0500769}" name="Spalte14162"/>
    <tableColumn id="14180" xr3:uid="{694B1800-0676-464E-81A1-29CD921ADB60}" name="Spalte14163"/>
    <tableColumn id="14181" xr3:uid="{9990F667-8FA4-469B-B995-D822B8A750F5}" name="Spalte14164"/>
    <tableColumn id="14182" xr3:uid="{3BA09CFB-D0AC-40FC-802D-A54BAE1E326B}" name="Spalte14165"/>
    <tableColumn id="14183" xr3:uid="{A9DE82C0-4DF3-4C8C-BE01-B53582301936}" name="Spalte14166"/>
    <tableColumn id="14184" xr3:uid="{A9CFE2D4-B024-4652-BB68-DC23C2645DB7}" name="Spalte14167"/>
    <tableColumn id="14185" xr3:uid="{0234895D-3FBA-4560-8F67-740EF0590C8C}" name="Spalte14168"/>
    <tableColumn id="14186" xr3:uid="{5132B602-BC70-400B-8E9A-69F2C1696E39}" name="Spalte14169"/>
    <tableColumn id="14187" xr3:uid="{86EBD788-73C4-4DFA-85DC-48AFC099E059}" name="Spalte14170"/>
    <tableColumn id="14188" xr3:uid="{73B2EA35-E805-4368-B373-7783684D28B7}" name="Spalte14171"/>
    <tableColumn id="14189" xr3:uid="{7405A07B-59F2-4EFF-81B3-E999924CB9AE}" name="Spalte14172"/>
    <tableColumn id="14190" xr3:uid="{BDF62870-44B6-4889-99C0-C0BA929F1486}" name="Spalte14173"/>
    <tableColumn id="14191" xr3:uid="{5684F901-5309-489D-9B91-B483E7614DB8}" name="Spalte14174"/>
    <tableColumn id="14192" xr3:uid="{8E995767-C844-4655-8281-9097D57D4506}" name="Spalte14175"/>
    <tableColumn id="14193" xr3:uid="{1CDFB7C5-AFA0-40C5-ACB3-DEF568D07BA2}" name="Spalte14176"/>
    <tableColumn id="14194" xr3:uid="{173D8166-18DC-48C3-B45B-5E7DF9D07B8C}" name="Spalte14177"/>
    <tableColumn id="14195" xr3:uid="{E9EE8321-27FB-4692-83F5-8E177D7A42FB}" name="Spalte14178"/>
    <tableColumn id="14196" xr3:uid="{54DD61D7-3590-461B-9CF3-BFDF733BAEDA}" name="Spalte14179"/>
    <tableColumn id="14197" xr3:uid="{A7AE389A-65DC-4A1D-915C-3B4072A31692}" name="Spalte14180"/>
    <tableColumn id="14198" xr3:uid="{96F57014-2EE7-47D8-A4E8-8DA2F7D09F23}" name="Spalte14181"/>
    <tableColumn id="14199" xr3:uid="{678AAEAC-AFDA-495D-82BE-4022BB84216A}" name="Spalte14182"/>
    <tableColumn id="14200" xr3:uid="{B30342BC-DC3E-4074-9219-137AECD22E6D}" name="Spalte14183"/>
    <tableColumn id="14201" xr3:uid="{54EBB76A-A89A-4A24-90FA-546D42A20316}" name="Spalte14184"/>
    <tableColumn id="14202" xr3:uid="{688F1437-5B9B-473D-BADA-45212042DE69}" name="Spalte14185"/>
    <tableColumn id="14203" xr3:uid="{415E56D9-B74C-45D1-B30B-0F92748E9564}" name="Spalte14186"/>
    <tableColumn id="14204" xr3:uid="{2F418DAD-842C-4221-BCB5-6A28CF9CCD36}" name="Spalte14187"/>
    <tableColumn id="14205" xr3:uid="{B84EBC56-E04F-4C65-AF9F-7F14F44204BC}" name="Spalte14188"/>
    <tableColumn id="14206" xr3:uid="{DBFAF909-A3B9-4032-87D0-07DF7BD8061E}" name="Spalte14189"/>
    <tableColumn id="14207" xr3:uid="{C14342AE-A5D0-4C28-9151-DCF71A736639}" name="Spalte14190"/>
    <tableColumn id="14208" xr3:uid="{89D0F00C-8F18-438C-9693-C28763079FB5}" name="Spalte14191"/>
    <tableColumn id="14209" xr3:uid="{A1200F42-FC38-4524-9920-F5B1BCB0F750}" name="Spalte14192"/>
    <tableColumn id="14210" xr3:uid="{57A0AED0-9F63-4F1E-B120-CC0367DD9F15}" name="Spalte14193"/>
    <tableColumn id="14211" xr3:uid="{70910CC5-9E8B-4863-9C0F-E6ED06802E72}" name="Spalte14194"/>
    <tableColumn id="14212" xr3:uid="{14B19079-6588-4A46-8E9C-CD6946DDDA25}" name="Spalte14195"/>
    <tableColumn id="14213" xr3:uid="{995E24A5-969C-4167-9D69-D03023A1D16B}" name="Spalte14196"/>
    <tableColumn id="14214" xr3:uid="{5D760AC7-CEA2-4BA4-8F19-2AFC081CF914}" name="Spalte14197"/>
    <tableColumn id="14215" xr3:uid="{38B4D1FC-1186-45D8-9AC8-BDA0057C93F2}" name="Spalte14198"/>
    <tableColumn id="14216" xr3:uid="{90C516C8-DCA5-4D88-8955-0BDDCBD08D98}" name="Spalte14199"/>
    <tableColumn id="14217" xr3:uid="{B2F2D36C-1901-46A9-9717-FE13757D04C8}" name="Spalte14200"/>
    <tableColumn id="14218" xr3:uid="{2DF8FF82-822A-45EC-82DD-44ACFA60B48F}" name="Spalte14201"/>
    <tableColumn id="14219" xr3:uid="{AB805C2E-52FF-4287-AD73-836810C714C5}" name="Spalte14202"/>
    <tableColumn id="14220" xr3:uid="{D3292F59-F69D-45F9-8EC7-8FCABB548E70}" name="Spalte14203"/>
    <tableColumn id="14221" xr3:uid="{FEBC3508-150E-463F-901A-7B89CE929487}" name="Spalte14204"/>
    <tableColumn id="14222" xr3:uid="{60B1CAB3-6520-416F-969A-47AF37096074}" name="Spalte14205"/>
    <tableColumn id="14223" xr3:uid="{2EE38936-BF43-4214-BA5D-439BE9B096D9}" name="Spalte14206"/>
    <tableColumn id="14224" xr3:uid="{4A110B8B-496B-4518-904B-BB563D35D825}" name="Spalte14207"/>
    <tableColumn id="14225" xr3:uid="{45B1F8EB-50CA-4F76-9BAE-D952DDB5731E}" name="Spalte14208"/>
    <tableColumn id="14226" xr3:uid="{A523FBFD-9D6B-4810-AEE9-67E6AFE5D28F}" name="Spalte14209"/>
    <tableColumn id="14227" xr3:uid="{47290E9B-42DC-4205-8693-EA8929A2C863}" name="Spalte14210"/>
    <tableColumn id="14228" xr3:uid="{D40397F5-9E57-4F3B-9740-B582C154CBC4}" name="Spalte14211"/>
    <tableColumn id="14229" xr3:uid="{2D609A40-970B-43FD-A6D9-AA60172FCC43}" name="Spalte14212"/>
    <tableColumn id="14230" xr3:uid="{AF5EE432-930D-49A7-8E79-798EF75E6ED6}" name="Spalte14213"/>
    <tableColumn id="14231" xr3:uid="{7CFBCBCD-1380-4DA4-B743-E1A24637CBB6}" name="Spalte14214"/>
    <tableColumn id="14232" xr3:uid="{AA1919B4-92AA-4DE8-875F-7EDD3E82B311}" name="Spalte14215"/>
    <tableColumn id="14233" xr3:uid="{C0B18316-9974-4AF1-8042-15F8834F1EB1}" name="Spalte14216"/>
    <tableColumn id="14234" xr3:uid="{8AB2B831-11D6-4CEE-9784-A4CFCBDB0617}" name="Spalte14217"/>
    <tableColumn id="14235" xr3:uid="{65A3E3AE-8B83-4DF8-9D04-85AC7B1879D1}" name="Spalte14218"/>
    <tableColumn id="14236" xr3:uid="{B9532777-7821-4F3B-95E9-7B0153C2722E}" name="Spalte14219"/>
    <tableColumn id="14237" xr3:uid="{60CDE5BC-E409-4C90-B03D-50BEC472CBFF}" name="Spalte14220"/>
    <tableColumn id="14238" xr3:uid="{D47B8980-5E10-44FE-B65F-34C2685265A6}" name="Spalte14221"/>
    <tableColumn id="14239" xr3:uid="{CD4CF880-2D1B-43E5-9929-788C6F313441}" name="Spalte14222"/>
    <tableColumn id="14240" xr3:uid="{AA04BCC6-F125-4956-8DCD-81C770A70B5D}" name="Spalte14223"/>
    <tableColumn id="14241" xr3:uid="{1108A159-0D2D-4D3F-BCFE-51F5961DDAC9}" name="Spalte14224"/>
    <tableColumn id="14242" xr3:uid="{1FBA5603-FDB5-4D5F-BD30-9B6F66A46D0A}" name="Spalte14225"/>
    <tableColumn id="14243" xr3:uid="{B1F6B87F-8B78-4ACB-B405-F16E8DF4D456}" name="Spalte14226"/>
    <tableColumn id="14244" xr3:uid="{DEA8218D-8B74-4930-B00A-3C4D473B2215}" name="Spalte14227"/>
    <tableColumn id="14245" xr3:uid="{CF77F361-26B7-4B7D-B85A-E250A8683448}" name="Spalte14228"/>
    <tableColumn id="14246" xr3:uid="{464AE2DE-0BFB-4C37-8812-8B99FC7FA556}" name="Spalte14229"/>
    <tableColumn id="14247" xr3:uid="{542FAADC-824F-403C-AB58-E6F5B3E64005}" name="Spalte14230"/>
    <tableColumn id="14248" xr3:uid="{2AFE0B03-3E3C-4BBC-A496-489B4A9562BA}" name="Spalte14231"/>
    <tableColumn id="14249" xr3:uid="{E0A815E7-EABD-4AF0-81C3-EA48FFE75803}" name="Spalte14232"/>
    <tableColumn id="14250" xr3:uid="{2C5121C4-F5CA-4F80-90A8-74FAA9DBFFFF}" name="Spalte14233"/>
    <tableColumn id="14251" xr3:uid="{C0A61F2D-8231-46BB-BEE1-896FAACB3A8C}" name="Spalte14234"/>
    <tableColumn id="14252" xr3:uid="{BE06D95C-FDBD-4A0F-BA0D-333BA04444A8}" name="Spalte14235"/>
    <tableColumn id="14253" xr3:uid="{FAA3523C-B9B9-4EEA-BA3A-C067338E7D8D}" name="Spalte14236"/>
    <tableColumn id="14254" xr3:uid="{E3E0F7AD-56B8-422D-BE22-DA79211B0734}" name="Spalte14237"/>
    <tableColumn id="14255" xr3:uid="{2FC57130-FFE4-4127-8265-71EEFABD2826}" name="Spalte14238"/>
    <tableColumn id="14256" xr3:uid="{EC3EBD2A-27E0-4D09-BFA5-E7D44C6B8A97}" name="Spalte14239"/>
    <tableColumn id="14257" xr3:uid="{69A231B4-2229-4E87-9EBC-85461D3A830D}" name="Spalte14240"/>
    <tableColumn id="14258" xr3:uid="{487B58A4-03CE-434C-B0EE-536E144AAC6F}" name="Spalte14241"/>
    <tableColumn id="14259" xr3:uid="{2B3FE736-54DE-4D63-A31C-01410B189BA3}" name="Spalte14242"/>
    <tableColumn id="14260" xr3:uid="{BA936132-E8D1-4636-98C0-3F5E9F96374F}" name="Spalte14243"/>
    <tableColumn id="14261" xr3:uid="{B2B33345-B9AE-4884-90BF-D63EB2173E90}" name="Spalte14244"/>
    <tableColumn id="14262" xr3:uid="{5FA4E2CF-9CE9-4F86-ABCC-77E824C55530}" name="Spalte14245"/>
    <tableColumn id="14263" xr3:uid="{2F7A2A4B-A013-4DB6-9C58-1F79D95E7E86}" name="Spalte14246"/>
    <tableColumn id="14264" xr3:uid="{AB8BC764-CAC3-4EA7-AABA-728FC70A5A1E}" name="Spalte14247"/>
    <tableColumn id="14265" xr3:uid="{4BED5292-68AC-4C51-8BA3-472B0D1C44D1}" name="Spalte14248"/>
    <tableColumn id="14266" xr3:uid="{FA1FC54A-7F09-4872-B65A-FB40108CC4E7}" name="Spalte14249"/>
    <tableColumn id="14267" xr3:uid="{3114E8D5-5A2B-4F2B-B50F-6CBD16018C47}" name="Spalte14250"/>
    <tableColumn id="14268" xr3:uid="{4CD4E61B-2EA4-4B48-89CB-E27AA03607B9}" name="Spalte14251"/>
    <tableColumn id="14269" xr3:uid="{18DEC19E-C49D-4F80-B05C-62C0B31725A7}" name="Spalte14252"/>
    <tableColumn id="14270" xr3:uid="{CA95BD0C-156B-433E-8D41-B924B6F64A39}" name="Spalte14253"/>
    <tableColumn id="14271" xr3:uid="{B2622975-BEDD-499A-8211-458BB48B07C1}" name="Spalte14254"/>
    <tableColumn id="14272" xr3:uid="{C8AF74A9-8A2B-4F30-9A5E-EFEE8BBFD42E}" name="Spalte14255"/>
    <tableColumn id="14273" xr3:uid="{5DF52BAE-43A7-49BA-801E-0671C9541333}" name="Spalte14256"/>
    <tableColumn id="14274" xr3:uid="{B8A4431C-778C-46FD-A5CA-968254903F82}" name="Spalte14257"/>
    <tableColumn id="14275" xr3:uid="{C3713924-09E0-443C-BDFF-3356C47EABC5}" name="Spalte14258"/>
    <tableColumn id="14276" xr3:uid="{26193C81-0AC8-41D6-934B-DC67D56A5963}" name="Spalte14259"/>
    <tableColumn id="14277" xr3:uid="{54003C83-75F5-4955-8422-32FF0E3CE778}" name="Spalte14260"/>
    <tableColumn id="14278" xr3:uid="{6C3C8208-20BE-4C4B-A09D-2EF95AF2B82A}" name="Spalte14261"/>
    <tableColumn id="14279" xr3:uid="{3A4EAA41-EA2F-44AC-BA50-98C435D9672B}" name="Spalte14262"/>
    <tableColumn id="14280" xr3:uid="{7C26AAF2-7007-4852-BD24-0B61AE12DA74}" name="Spalte14263"/>
    <tableColumn id="14281" xr3:uid="{D9CE3F89-31D4-4EFA-8B7A-D13F3B782757}" name="Spalte14264"/>
    <tableColumn id="14282" xr3:uid="{61B97BF6-ABFD-4CB9-8082-284FF1E04557}" name="Spalte14265"/>
    <tableColumn id="14283" xr3:uid="{F09F4D68-631A-456E-9247-90F105FD16E2}" name="Spalte14266"/>
    <tableColumn id="14284" xr3:uid="{8E0708D8-A4B0-4131-B934-6717388ACB0F}" name="Spalte14267"/>
    <tableColumn id="14285" xr3:uid="{AF969648-16C6-4414-BD1D-B0D5C2673713}" name="Spalte14268"/>
    <tableColumn id="14286" xr3:uid="{EA9F013C-28D5-4182-974F-FD216D91C9D7}" name="Spalte14269"/>
    <tableColumn id="14287" xr3:uid="{F602855F-9714-4FC7-9631-89C59C8B7578}" name="Spalte14270"/>
    <tableColumn id="14288" xr3:uid="{0676B242-DFB0-429F-995F-24AD1B00C3EC}" name="Spalte14271"/>
    <tableColumn id="14289" xr3:uid="{7F5029D7-D3C3-476E-B967-AA6D53392B2D}" name="Spalte14272"/>
    <tableColumn id="14290" xr3:uid="{1C771774-E624-4A96-9F18-CAC11206B074}" name="Spalte14273"/>
    <tableColumn id="14291" xr3:uid="{7BB4D55D-3BA8-41B1-9DBB-721D3BCA1848}" name="Spalte14274"/>
    <tableColumn id="14292" xr3:uid="{B0E3CBA1-C5F5-4048-9C5C-B33696829B00}" name="Spalte14275"/>
    <tableColumn id="14293" xr3:uid="{D2EE56AA-28CC-444B-8AEC-9F9040554D2A}" name="Spalte14276"/>
    <tableColumn id="14294" xr3:uid="{B57FE062-A427-4C40-B8F4-3F5CF1EB881D}" name="Spalte14277"/>
    <tableColumn id="14295" xr3:uid="{349E2DCE-E0A5-43FF-BED7-5DC9DF3BFB41}" name="Spalte14278"/>
    <tableColumn id="14296" xr3:uid="{96BC89B9-C134-45E9-AD33-7507437F2F43}" name="Spalte14279"/>
    <tableColumn id="14297" xr3:uid="{E8AAC2EF-C7B8-4DD9-BB57-42C514C4633A}" name="Spalte14280"/>
    <tableColumn id="14298" xr3:uid="{1FC64B33-20DF-4D9A-90DB-7104AB45DD35}" name="Spalte14281"/>
    <tableColumn id="14299" xr3:uid="{3F643615-DACC-4F98-8DD5-DF9AEFC4476A}" name="Spalte14282"/>
    <tableColumn id="14300" xr3:uid="{B61C2EFA-9257-46B4-B9C1-329F38D6016C}" name="Spalte14283"/>
    <tableColumn id="14301" xr3:uid="{6F8D63A5-D80B-4EB3-85E8-305083E20299}" name="Spalte14284"/>
    <tableColumn id="14302" xr3:uid="{34D2986C-732F-4C6B-97AE-1AB2F590314F}" name="Spalte14285"/>
    <tableColumn id="14303" xr3:uid="{467A7DBC-156B-4E74-B9EF-8452FE10393C}" name="Spalte14286"/>
    <tableColumn id="14304" xr3:uid="{77B56BBF-131A-4788-A27E-2DD0C7B64780}" name="Spalte14287"/>
    <tableColumn id="14305" xr3:uid="{3AFBDC1E-D4B5-4997-B6C9-7D788C7ECD5B}" name="Spalte14288"/>
    <tableColumn id="14306" xr3:uid="{E83892D4-354F-453B-B3CF-85F0A3303F48}" name="Spalte14289"/>
    <tableColumn id="14307" xr3:uid="{EC14F4C3-5DDE-47AF-AFED-F50A9D9495BB}" name="Spalte14290"/>
    <tableColumn id="14308" xr3:uid="{7EC14982-45D9-4C82-BB02-56A05AB64351}" name="Spalte14291"/>
    <tableColumn id="14309" xr3:uid="{08186033-A633-49B6-995A-1C864850EF71}" name="Spalte14292"/>
    <tableColumn id="14310" xr3:uid="{D2C566DE-30A3-4531-BA74-2B3F4C1E8FF5}" name="Spalte14293"/>
    <tableColumn id="14311" xr3:uid="{217F46B8-447A-4FFD-A813-2542371A6D48}" name="Spalte14294"/>
    <tableColumn id="14312" xr3:uid="{1183C315-67FF-4A9C-881E-F886CE9AACDC}" name="Spalte14295"/>
    <tableColumn id="14313" xr3:uid="{69EC64CA-48B3-4307-8C1B-2B6943CBED0D}" name="Spalte14296"/>
    <tableColumn id="14314" xr3:uid="{E4E05041-FC47-461C-A63C-90BF2B83CE3D}" name="Spalte14297"/>
    <tableColumn id="14315" xr3:uid="{1C44E226-C760-4B90-B633-13BA87679FED}" name="Spalte14298"/>
    <tableColumn id="14316" xr3:uid="{74943606-1C82-48AB-99BB-5975CCF7FE41}" name="Spalte14299"/>
    <tableColumn id="14317" xr3:uid="{CE85885E-DE48-4793-A673-1015B359BBE1}" name="Spalte14300"/>
    <tableColumn id="14318" xr3:uid="{561D2B8B-7259-4AF3-A224-787C6B855853}" name="Spalte14301"/>
    <tableColumn id="14319" xr3:uid="{9B158075-E8B8-48D5-9EDE-90A77A325F87}" name="Spalte14302"/>
    <tableColumn id="14320" xr3:uid="{17415678-B751-4008-BAFE-71EBDFBE9E4A}" name="Spalte14303"/>
    <tableColumn id="14321" xr3:uid="{6B95C793-DD85-453A-9A9C-60061C5DC9C9}" name="Spalte14304"/>
    <tableColumn id="14322" xr3:uid="{B728F4FC-259A-481B-B77E-E517F46CF330}" name="Spalte14305"/>
    <tableColumn id="14323" xr3:uid="{EFD89CB7-3F81-41DD-8407-EF82487DB60A}" name="Spalte14306"/>
    <tableColumn id="14324" xr3:uid="{280632D3-8746-4330-8429-1B7E7CA52223}" name="Spalte14307"/>
    <tableColumn id="14325" xr3:uid="{6D66AB5C-C0D9-4D61-AAF9-06BB96D636FD}" name="Spalte14308"/>
    <tableColumn id="14326" xr3:uid="{03924119-F95D-4ADB-9192-A44DCB53EA08}" name="Spalte14309"/>
    <tableColumn id="14327" xr3:uid="{029F249D-62D1-49C5-9B7E-F107AC6164C1}" name="Spalte14310"/>
    <tableColumn id="14328" xr3:uid="{20BD32D4-6D31-43E6-98A2-6CE306871C2D}" name="Spalte14311"/>
    <tableColumn id="14329" xr3:uid="{2F0DC69B-7B54-4E5D-8821-0F2C26E842A2}" name="Spalte14312"/>
    <tableColumn id="14330" xr3:uid="{0B3ECC76-EEB1-4392-A0D3-439FB9F7E51E}" name="Spalte14313"/>
    <tableColumn id="14331" xr3:uid="{64F3F644-8817-48CA-8F92-030B6A713E37}" name="Spalte14314"/>
    <tableColumn id="14332" xr3:uid="{3F0EF4A2-6366-43EA-AD2E-2D5E915307FA}" name="Spalte14315"/>
    <tableColumn id="14333" xr3:uid="{244AC511-A469-4A8F-92A8-E551299D9B33}" name="Spalte14316"/>
    <tableColumn id="14334" xr3:uid="{2E7A1509-93C0-4777-9E37-7EDC26E10C0B}" name="Spalte14317"/>
    <tableColumn id="14335" xr3:uid="{423ABD2E-F24A-46FA-B91B-22572935DC34}" name="Spalte14318"/>
    <tableColumn id="14336" xr3:uid="{BF8AEB95-4B52-43D6-AE3F-6A7D4400B4B4}" name="Spalte14319"/>
    <tableColumn id="14337" xr3:uid="{25245932-FCBE-4362-BADE-5088B12EC6EC}" name="Spalte14320"/>
    <tableColumn id="14338" xr3:uid="{8733BC08-F53E-43A0-B4D3-0C4320D79FFC}" name="Spalte14321"/>
    <tableColumn id="14339" xr3:uid="{BBEFF5E9-7C25-4496-ADF9-4077572FCD3E}" name="Spalte14322"/>
    <tableColumn id="14340" xr3:uid="{B35FCC52-D46F-490E-9461-2A8BDAD09488}" name="Spalte14323"/>
    <tableColumn id="14341" xr3:uid="{D5EA1221-192F-47AE-BA33-008536A488D1}" name="Spalte14324"/>
    <tableColumn id="14342" xr3:uid="{40532671-9749-40F7-9639-DC60C91D333E}" name="Spalte14325"/>
    <tableColumn id="14343" xr3:uid="{1295B02F-662C-4F60-93F2-B5891189F028}" name="Spalte14326"/>
    <tableColumn id="14344" xr3:uid="{3088253D-7387-43D9-A68A-4C2A70645354}" name="Spalte14327"/>
    <tableColumn id="14345" xr3:uid="{6A0263F5-9072-4446-B0A4-9E252AFD654D}" name="Spalte14328"/>
    <tableColumn id="14346" xr3:uid="{65C69D96-BD5C-4F78-B9B6-F01F7170EBA0}" name="Spalte14329"/>
    <tableColumn id="14347" xr3:uid="{D4007A92-6097-4F70-B937-79ECC1446E1C}" name="Spalte14330"/>
    <tableColumn id="14348" xr3:uid="{564F2912-8B29-4EED-A2FA-38AD04AD6E04}" name="Spalte14331"/>
    <tableColumn id="14349" xr3:uid="{BC02BCB6-CE63-448C-A6C6-D1E33AF09B7A}" name="Spalte14332"/>
    <tableColumn id="14350" xr3:uid="{0551E397-C00B-480C-AAB1-F300D24C7833}" name="Spalte14333"/>
    <tableColumn id="14351" xr3:uid="{78887157-D5B1-455D-B7E3-AB2859C22550}" name="Spalte14334"/>
    <tableColumn id="14352" xr3:uid="{0156D859-4601-4381-88C8-82A9689A3DDB}" name="Spalte14335"/>
    <tableColumn id="14353" xr3:uid="{C05400DB-93F3-4249-9D01-3B23C7C9A14D}" name="Spalte14336"/>
    <tableColumn id="14354" xr3:uid="{59650C28-8C8C-4DA0-A0ED-E6FD78A6E06D}" name="Spalte14337"/>
    <tableColumn id="14355" xr3:uid="{20317B2F-9B6D-4B38-A69E-22D48903F72E}" name="Spalte14338"/>
    <tableColumn id="14356" xr3:uid="{26D12D20-3974-414F-99D9-14B91D00BB80}" name="Spalte14339"/>
    <tableColumn id="14357" xr3:uid="{C3D26D88-F320-49F5-8BB1-390C808BB7DB}" name="Spalte14340"/>
    <tableColumn id="14358" xr3:uid="{7D86E205-A3F6-4FE2-97E9-4AA580580A00}" name="Spalte14341"/>
    <tableColumn id="14359" xr3:uid="{315CC685-51B5-4D6F-96CB-FA8389DDD1AD}" name="Spalte14342"/>
    <tableColumn id="14360" xr3:uid="{BC5B75C1-0B39-49E8-9290-966FFCACC301}" name="Spalte14343"/>
    <tableColumn id="14361" xr3:uid="{70F4458D-7028-4BA5-84FC-DD251763A66E}" name="Spalte14344"/>
    <tableColumn id="14362" xr3:uid="{C1C4622F-64CC-4644-AAD9-87959A1A5A6E}" name="Spalte14345"/>
    <tableColumn id="14363" xr3:uid="{6A273DCE-8DF8-4115-9076-165833086D8B}" name="Spalte14346"/>
    <tableColumn id="14364" xr3:uid="{5D7C90A3-AD40-4966-B578-887101DECF16}" name="Spalte14347"/>
    <tableColumn id="14365" xr3:uid="{3A8B5E48-7DCB-4544-822D-5D1FD943053C}" name="Spalte14348"/>
    <tableColumn id="14366" xr3:uid="{6C7250FA-7BB3-4941-9DB2-69A6478C9C4C}" name="Spalte14349"/>
    <tableColumn id="14367" xr3:uid="{ADFC3E5D-EEF1-4FBF-A8FE-CE637379E049}" name="Spalte14350"/>
    <tableColumn id="14368" xr3:uid="{0F959CDD-43F8-4C3F-819A-0D3C077AD1A9}" name="Spalte14351"/>
    <tableColumn id="14369" xr3:uid="{12886219-3E85-4440-A18C-3AA3A2D06E27}" name="Spalte14352"/>
    <tableColumn id="14370" xr3:uid="{9E465DF9-D105-45CC-BBE2-0FE8D7DEA6BC}" name="Spalte14353"/>
    <tableColumn id="14371" xr3:uid="{DF807B35-5BB8-45F5-BAA7-6707B31DA984}" name="Spalte14354"/>
    <tableColumn id="14372" xr3:uid="{CC21DBC5-0227-483A-A3B6-0A2B6C15D0C2}" name="Spalte14355"/>
    <tableColumn id="14373" xr3:uid="{5C4A4F24-9899-430D-8350-33795F68F57A}" name="Spalte14356"/>
    <tableColumn id="14374" xr3:uid="{A1F693DB-9FBC-4A62-A21D-B1C25563F529}" name="Spalte14357"/>
    <tableColumn id="14375" xr3:uid="{3FEE45B4-953D-4A95-8A88-07B7CEBC285C}" name="Spalte14358"/>
    <tableColumn id="14376" xr3:uid="{98767B3C-A062-478E-AEFC-89D3D590E1D4}" name="Spalte14359"/>
    <tableColumn id="14377" xr3:uid="{8E23EBF8-A701-4ADD-9F27-B31F4858FD85}" name="Spalte14360"/>
    <tableColumn id="14378" xr3:uid="{D15CEC1E-C6D0-4AB2-AFBB-12B15C50627F}" name="Spalte14361"/>
    <tableColumn id="14379" xr3:uid="{8F1BC2A4-4D55-4EBC-A804-C3E1B46310C5}" name="Spalte14362"/>
    <tableColumn id="14380" xr3:uid="{9BF61735-07A7-40C3-A0C0-5E912C7AE05D}" name="Spalte14363"/>
    <tableColumn id="14381" xr3:uid="{119E1E61-C97C-472D-82E0-46ACD861B0AE}" name="Spalte14364"/>
    <tableColumn id="14382" xr3:uid="{A2C71D8D-F223-450E-997E-EC86EE861289}" name="Spalte14365"/>
    <tableColumn id="14383" xr3:uid="{C72DF050-F440-404E-B7AB-0889103195BE}" name="Spalte14366"/>
    <tableColumn id="14384" xr3:uid="{8BFBCD7F-ECA8-44D8-8F0A-D6895B8EAA58}" name="Spalte14367"/>
    <tableColumn id="14385" xr3:uid="{D2DC9DE6-B0E8-49B5-A5D5-C303A35908A3}" name="Spalte14368"/>
    <tableColumn id="14386" xr3:uid="{D6A60633-D4CA-440F-A28A-90FE309D112A}" name="Spalte14369"/>
    <tableColumn id="14387" xr3:uid="{0B562BAA-D658-4FBB-8266-E2AC24C3447C}" name="Spalte14370"/>
    <tableColumn id="14388" xr3:uid="{BD4DA526-A751-4B5B-992A-838D593064A9}" name="Spalte14371"/>
    <tableColumn id="14389" xr3:uid="{544A6B4B-CB6E-49CB-BB83-5491D9BD945B}" name="Spalte14372"/>
    <tableColumn id="14390" xr3:uid="{9EE1AF65-A669-4840-A464-E9C6B0606DD6}" name="Spalte14373"/>
    <tableColumn id="14391" xr3:uid="{046FFB72-B6B9-4CE8-8D4D-FADB1189C3D9}" name="Spalte14374"/>
    <tableColumn id="14392" xr3:uid="{B484D9B0-2890-40AB-8D7E-15EBB1521EFB}" name="Spalte14375"/>
    <tableColumn id="14393" xr3:uid="{2D2773D5-92F7-4F3B-B48C-2C62BAAB3A12}" name="Spalte14376"/>
    <tableColumn id="14394" xr3:uid="{46056564-520F-4952-A004-4AC2217160FB}" name="Spalte14377"/>
    <tableColumn id="14395" xr3:uid="{4332AB23-3F51-4BD2-A027-50878E6EE11E}" name="Spalte14378"/>
    <tableColumn id="14396" xr3:uid="{2B3A47A4-B5E2-461B-93AC-914E9CDA90FC}" name="Spalte14379"/>
    <tableColumn id="14397" xr3:uid="{59B4CAF8-547A-4E5E-BD96-66A09E9C8997}" name="Spalte14380"/>
    <tableColumn id="14398" xr3:uid="{2887A506-7FF1-48FF-AD05-994ACE680F91}" name="Spalte14381"/>
    <tableColumn id="14399" xr3:uid="{09FD626F-CB1A-4A28-BB94-0F732B181668}" name="Spalte14382"/>
    <tableColumn id="14400" xr3:uid="{77CC028F-83C1-45DD-A198-1DB5225BA6B3}" name="Spalte14383"/>
    <tableColumn id="14401" xr3:uid="{19BE0555-2DE0-4024-876F-DE5B68FC2675}" name="Spalte14384"/>
    <tableColumn id="14402" xr3:uid="{92987B62-ADCD-46ED-B5C2-AC68F2A10739}" name="Spalte14385"/>
    <tableColumn id="14403" xr3:uid="{DC71E129-99A3-4FA8-B753-68D20B4D8192}" name="Spalte14386"/>
    <tableColumn id="14404" xr3:uid="{7DE2A8CE-1C8C-457F-B7D2-D1C3B9D4DCA0}" name="Spalte14387"/>
    <tableColumn id="14405" xr3:uid="{73F43C1D-9BF1-4DE2-BBC4-B8672723F4DC}" name="Spalte14388"/>
    <tableColumn id="14406" xr3:uid="{B4106EED-5F7E-40CD-9315-879F7F3BF28A}" name="Spalte14389"/>
    <tableColumn id="14407" xr3:uid="{30B5288A-BD46-43CC-A9E9-9F0B98C4A265}" name="Spalte14390"/>
    <tableColumn id="14408" xr3:uid="{F37D1C7E-BB8F-4386-A0C9-6FC42EE8AFE5}" name="Spalte14391"/>
    <tableColumn id="14409" xr3:uid="{D3B186C6-DD14-4034-8BC1-2D53A4D35991}" name="Spalte14392"/>
    <tableColumn id="14410" xr3:uid="{20AAD3E8-8A17-4A02-8DE3-0F00FAA517FC}" name="Spalte14393"/>
    <tableColumn id="14411" xr3:uid="{A9B74E52-2850-48F3-BF00-5070152FBDBE}" name="Spalte14394"/>
    <tableColumn id="14412" xr3:uid="{C91A921F-67E3-45F8-B40A-3FE351714978}" name="Spalte14395"/>
    <tableColumn id="14413" xr3:uid="{6E8A0E7B-4423-4EFE-9C2E-DA75D45E26AB}" name="Spalte14396"/>
    <tableColumn id="14414" xr3:uid="{A3E15BC5-A3F1-4312-900E-249AEBAF01E7}" name="Spalte14397"/>
    <tableColumn id="14415" xr3:uid="{ADB4E13D-E667-4290-BA03-ECCBE91F886C}" name="Spalte14398"/>
    <tableColumn id="14416" xr3:uid="{3CB3759D-C078-4D93-82E7-99D0FF95BD6A}" name="Spalte14399"/>
    <tableColumn id="14417" xr3:uid="{75FC9C30-4F85-4C59-BA45-A4AE68F9EB73}" name="Spalte14400"/>
    <tableColumn id="14418" xr3:uid="{7F130FEB-51FB-4499-B7E3-34D23CA54FC1}" name="Spalte14401"/>
    <tableColumn id="14419" xr3:uid="{238D3D84-6A38-443B-8B84-433ADFDE4F2B}" name="Spalte14402"/>
    <tableColumn id="14420" xr3:uid="{032DA1FD-1CC0-4709-A48E-CCBF20809477}" name="Spalte14403"/>
    <tableColumn id="14421" xr3:uid="{EE8D9CA3-70BA-4E62-8143-A8505F9DCF23}" name="Spalte14404"/>
    <tableColumn id="14422" xr3:uid="{AB72A8E5-50AE-4B9A-B8B9-57CB8DD00512}" name="Spalte14405"/>
    <tableColumn id="14423" xr3:uid="{E47F7064-8599-4F0D-8173-81A4CBE162E6}" name="Spalte14406"/>
    <tableColumn id="14424" xr3:uid="{A3E204C4-6409-4ED1-8E45-0D4A6477BEF5}" name="Spalte14407"/>
    <tableColumn id="14425" xr3:uid="{B3522026-73AB-4FD4-94C1-0E871CBE3488}" name="Spalte14408"/>
    <tableColumn id="14426" xr3:uid="{76FBF4E9-4D74-416C-9377-96DB671112B7}" name="Spalte14409"/>
    <tableColumn id="14427" xr3:uid="{9C0B2202-989F-4622-A9B5-165EFAFA85DA}" name="Spalte14410"/>
    <tableColumn id="14428" xr3:uid="{9FE2ABA6-3E0A-4B64-B51D-D920C2AB4EFF}" name="Spalte14411"/>
    <tableColumn id="14429" xr3:uid="{ADFF91E3-09E0-4273-A172-7818E7A926CE}" name="Spalte14412"/>
    <tableColumn id="14430" xr3:uid="{CE9732A4-D6E4-48DE-8CF2-1B7139318609}" name="Spalte14413"/>
    <tableColumn id="14431" xr3:uid="{21876A01-7807-416D-B4EC-509FB6E2A065}" name="Spalte14414"/>
    <tableColumn id="14432" xr3:uid="{8C8B6409-0200-448F-A691-E7F24BA3521D}" name="Spalte14415"/>
    <tableColumn id="14433" xr3:uid="{5A2AA5DA-34E2-4A27-83F5-3CCDF6CE1B6D}" name="Spalte14416"/>
    <tableColumn id="14434" xr3:uid="{08C82BEA-3607-4BC7-A0D9-55A714B2730B}" name="Spalte14417"/>
    <tableColumn id="14435" xr3:uid="{6D18BAEC-A274-4974-8698-41E7CB7C8ADF}" name="Spalte14418"/>
    <tableColumn id="14436" xr3:uid="{C87D6867-0A7B-47EE-805C-C51FBED7A4D2}" name="Spalte14419"/>
    <tableColumn id="14437" xr3:uid="{6D62DD12-D90F-41AE-A04D-38730269B98C}" name="Spalte14420"/>
    <tableColumn id="14438" xr3:uid="{CA7CA585-F3F7-46DE-9A53-0ABB36FB297D}" name="Spalte14421"/>
    <tableColumn id="14439" xr3:uid="{16BA9FB1-2380-45D4-95CE-3F1C1CE773E0}" name="Spalte14422"/>
    <tableColumn id="14440" xr3:uid="{B8DC11B1-7F54-49CC-A726-0E4AC21EE5B2}" name="Spalte14423"/>
    <tableColumn id="14441" xr3:uid="{15464225-C8D7-4CB4-8FDA-262207E33E07}" name="Spalte14424"/>
    <tableColumn id="14442" xr3:uid="{FB8FEC9C-6CCB-482F-898E-164883A5F819}" name="Spalte14425"/>
    <tableColumn id="14443" xr3:uid="{AD1AEE4A-85AB-4498-9DD7-966BE07E7002}" name="Spalte14426"/>
    <tableColumn id="14444" xr3:uid="{E1152578-5555-48DC-8225-14ECD254BEED}" name="Spalte14427"/>
    <tableColumn id="14445" xr3:uid="{56E375F7-91E5-49F0-BB34-4C54EBCB5A26}" name="Spalte14428"/>
    <tableColumn id="14446" xr3:uid="{224F0451-F1B0-4F19-B442-49850F46453D}" name="Spalte14429"/>
    <tableColumn id="14447" xr3:uid="{39BD02B1-E583-428C-9466-FA0F76C3A7D5}" name="Spalte14430"/>
    <tableColumn id="14448" xr3:uid="{A086D0FD-B3E0-4607-8C53-4A2A0D851B4B}" name="Spalte14431"/>
    <tableColumn id="14449" xr3:uid="{2140C4F0-388B-4345-8B93-2C71B07CC761}" name="Spalte14432"/>
    <tableColumn id="14450" xr3:uid="{4A1E22A6-96FA-4DC7-8034-55FFD5135214}" name="Spalte14433"/>
    <tableColumn id="14451" xr3:uid="{CFC20B2A-FDC0-4E5B-8EBA-4D94ACE27738}" name="Spalte14434"/>
    <tableColumn id="14452" xr3:uid="{29B110B9-3C91-4B56-ACB7-37DE58FD1741}" name="Spalte14435"/>
    <tableColumn id="14453" xr3:uid="{E53C8CEC-6875-4CAC-B801-526A71366369}" name="Spalte14436"/>
    <tableColumn id="14454" xr3:uid="{4BBE8E4C-0F00-41D0-BD86-D47057E969DA}" name="Spalte14437"/>
    <tableColumn id="14455" xr3:uid="{17DE749B-A7E3-4241-AF16-25D6298EE24E}" name="Spalte14438"/>
    <tableColumn id="14456" xr3:uid="{FCC3F022-71D2-4F82-A00C-7A65570381A2}" name="Spalte14439"/>
    <tableColumn id="14457" xr3:uid="{C47212E3-3D8C-4BC8-9E20-FE16A73BAEED}" name="Spalte14440"/>
    <tableColumn id="14458" xr3:uid="{08F81E0E-34A3-4BA1-BA7F-CED2F1628F0B}" name="Spalte14441"/>
    <tableColumn id="14459" xr3:uid="{06015446-CA1E-4E85-8175-90565CA5B4EC}" name="Spalte14442"/>
    <tableColumn id="14460" xr3:uid="{8E1A5E44-F6B9-4304-B165-6DEE2AB4AB5D}" name="Spalte14443"/>
    <tableColumn id="14461" xr3:uid="{E14FA2C1-8A2F-45B8-A8A4-760EF73AE0EE}" name="Spalte14444"/>
    <tableColumn id="14462" xr3:uid="{7099B72B-5E4A-498C-9D8C-C9B01632A9E3}" name="Spalte14445"/>
    <tableColumn id="14463" xr3:uid="{624B04D8-885D-4CD2-864C-A5DBDB28DA2D}" name="Spalte14446"/>
    <tableColumn id="14464" xr3:uid="{771A45E3-FAF2-413E-B8B4-E784F7963D13}" name="Spalte14447"/>
    <tableColumn id="14465" xr3:uid="{DC5F0F7E-01E0-4985-9AA9-D1FEFD66E84B}" name="Spalte14448"/>
    <tableColumn id="14466" xr3:uid="{2404F47E-A7B3-4522-9344-A431FCA68C20}" name="Spalte14449"/>
    <tableColumn id="14467" xr3:uid="{A802FFC5-CD95-4A31-AD69-93FFC949650D}" name="Spalte14450"/>
    <tableColumn id="14468" xr3:uid="{41BCB584-702F-468C-BE84-2125959ACA47}" name="Spalte14451"/>
    <tableColumn id="14469" xr3:uid="{D6286024-ABA3-44BD-A5F1-F0F396DE7DB1}" name="Spalte14452"/>
    <tableColumn id="14470" xr3:uid="{1BC94C61-43E3-441E-9BCA-86E353F8951E}" name="Spalte14453"/>
    <tableColumn id="14471" xr3:uid="{5B5A788D-DD2D-4985-9CDE-9E0E60E193F8}" name="Spalte14454"/>
    <tableColumn id="14472" xr3:uid="{0D2DD616-188D-42CA-B80D-96F28EAB7C1F}" name="Spalte14455"/>
    <tableColumn id="14473" xr3:uid="{C96C82E2-2B79-4FF2-95D9-F17A406C777E}" name="Spalte14456"/>
    <tableColumn id="14474" xr3:uid="{26556C52-3DAE-4343-A1AA-16783455AD37}" name="Spalte14457"/>
    <tableColumn id="14475" xr3:uid="{A7FF208A-06CE-42D4-98E5-B7506177040F}" name="Spalte14458"/>
    <tableColumn id="14476" xr3:uid="{E405B625-749A-4694-A51D-C7EBFFD080C9}" name="Spalte14459"/>
    <tableColumn id="14477" xr3:uid="{D78FBE50-8737-436F-8CFC-E5E2AA4F722C}" name="Spalte14460"/>
    <tableColumn id="14478" xr3:uid="{7A7E7D04-D722-4FD6-9EC0-C556955611F1}" name="Spalte14461"/>
    <tableColumn id="14479" xr3:uid="{839E73CB-4AFB-49D1-AA4C-D33B9FDFA71A}" name="Spalte14462"/>
    <tableColumn id="14480" xr3:uid="{A2A4E684-88D4-4176-AB43-564292611386}" name="Spalte14463"/>
    <tableColumn id="14481" xr3:uid="{060789CA-2D83-46D2-94FD-63C67EE5A3D9}" name="Spalte14464"/>
    <tableColumn id="14482" xr3:uid="{45A5C902-CA63-4EC8-A7CE-8F261E349B41}" name="Spalte14465"/>
    <tableColumn id="14483" xr3:uid="{DA682C65-B5CC-4A40-9464-EFE773B4B5B6}" name="Spalte14466"/>
    <tableColumn id="14484" xr3:uid="{D71C64F4-E6E4-45FF-B488-E49EFEA4293A}" name="Spalte14467"/>
    <tableColumn id="14485" xr3:uid="{CFD25E43-C1D5-4956-8D09-77983EC171C9}" name="Spalte14468"/>
    <tableColumn id="14486" xr3:uid="{B6B36B2F-105D-4B47-BB29-7A638A7C1C74}" name="Spalte14469"/>
    <tableColumn id="14487" xr3:uid="{DA404B2E-B99A-40AE-895B-9BDA8AB1DB9C}" name="Spalte14470"/>
    <tableColumn id="14488" xr3:uid="{5AF94C60-35AC-4CF3-B32A-31D6CAC6AA22}" name="Spalte14471"/>
    <tableColumn id="14489" xr3:uid="{EAD1D125-16D0-45E4-8991-912ACF7CE76A}" name="Spalte14472"/>
    <tableColumn id="14490" xr3:uid="{9A719383-4633-44AB-AEBD-D02D38C41287}" name="Spalte14473"/>
    <tableColumn id="14491" xr3:uid="{CAEDF136-C4CF-4552-BE5A-EFFCB71A8F88}" name="Spalte14474"/>
    <tableColumn id="14492" xr3:uid="{AE893912-1053-4D44-8CD6-C5F3BA12D3B0}" name="Spalte14475"/>
    <tableColumn id="14493" xr3:uid="{ADE95478-6154-43E3-B4F5-CF1EF6357895}" name="Spalte14476"/>
    <tableColumn id="14494" xr3:uid="{C4E49292-0AEE-43D0-AD16-68AD615FD960}" name="Spalte14477"/>
    <tableColumn id="14495" xr3:uid="{0FB2D636-682E-4872-BF72-21DBF557526F}" name="Spalte14478"/>
    <tableColumn id="14496" xr3:uid="{176D6F64-EE75-487F-A285-1955E9F9A996}" name="Spalte14479"/>
    <tableColumn id="14497" xr3:uid="{3A92A252-E4C8-447F-8B99-575E313B95A3}" name="Spalte14480"/>
    <tableColumn id="14498" xr3:uid="{8B8873EE-1029-42AA-9FAF-483D82761E4A}" name="Spalte14481"/>
    <tableColumn id="14499" xr3:uid="{46B592BE-DC29-4882-A7D5-A93496B88ADA}" name="Spalte14482"/>
    <tableColumn id="14500" xr3:uid="{2DC2E410-7AB6-4824-8AE3-BBDFC319B9B9}" name="Spalte14483"/>
    <tableColumn id="14501" xr3:uid="{8532A57C-49A9-4944-97EE-A8025E4B1573}" name="Spalte14484"/>
    <tableColumn id="14502" xr3:uid="{27718737-1577-483C-854C-E5630CD23D29}" name="Spalte14485"/>
    <tableColumn id="14503" xr3:uid="{76152EEA-80E8-4A53-8395-6A3493EBD41A}" name="Spalte14486"/>
    <tableColumn id="14504" xr3:uid="{25E773AD-F87E-43F4-8661-F39AACC2A4C9}" name="Spalte14487"/>
    <tableColumn id="14505" xr3:uid="{5645D702-36FB-44AB-8030-6D77C6BA9988}" name="Spalte14488"/>
    <tableColumn id="14506" xr3:uid="{3830282A-1908-4ADA-B9F4-1F51A9C96E9B}" name="Spalte14489"/>
    <tableColumn id="14507" xr3:uid="{2861F2CF-7E0A-4F96-BE8D-2F30470055D7}" name="Spalte14490"/>
    <tableColumn id="14508" xr3:uid="{523E4B4F-3E85-498B-983B-A8697FC71A90}" name="Spalte14491"/>
    <tableColumn id="14509" xr3:uid="{019B9E6F-13AB-40EE-A76C-55D10F019CC2}" name="Spalte14492"/>
    <tableColumn id="14510" xr3:uid="{17439EF7-7A4A-4704-8F94-D1B8FE3FBCF8}" name="Spalte14493"/>
    <tableColumn id="14511" xr3:uid="{FF369103-7541-451C-9DC6-C408A97E0E1B}" name="Spalte14494"/>
    <tableColumn id="14512" xr3:uid="{EF45E3A9-CE9F-49AB-91AD-CF72F8BA165B}" name="Spalte14495"/>
    <tableColumn id="14513" xr3:uid="{8C442B78-20E2-4908-90C8-ED863B8FE8EB}" name="Spalte14496"/>
    <tableColumn id="14514" xr3:uid="{F73F4712-136C-46CA-823F-C33D08927E06}" name="Spalte14497"/>
    <tableColumn id="14515" xr3:uid="{6FA03D1B-9116-473A-8B94-9C5DCD31E986}" name="Spalte14498"/>
    <tableColumn id="14516" xr3:uid="{664B2776-691E-44A3-BE68-8EE4608D5057}" name="Spalte14499"/>
    <tableColumn id="14517" xr3:uid="{AC6602EA-0EFC-49A4-A919-96855CB65D14}" name="Spalte14500"/>
    <tableColumn id="14518" xr3:uid="{5F3379C0-CCBA-4AFE-9D17-5F4E93DF093B}" name="Spalte14501"/>
    <tableColumn id="14519" xr3:uid="{B8152AED-6167-4A68-9B48-BEBEA1E5EE5C}" name="Spalte14502"/>
    <tableColumn id="14520" xr3:uid="{5B1CA430-EF93-4198-93A2-A34AFF97E836}" name="Spalte14503"/>
    <tableColumn id="14521" xr3:uid="{4F6846FA-843F-4882-B8F4-1266CD3EB6BB}" name="Spalte14504"/>
    <tableColumn id="14522" xr3:uid="{57ECB838-56EA-4AB8-9AC5-7C99C56AA892}" name="Spalte14505"/>
    <tableColumn id="14523" xr3:uid="{3EDA3FCD-8597-4ED7-84B0-1F21CF0ECD62}" name="Spalte14506"/>
    <tableColumn id="14524" xr3:uid="{8FC4AAF0-970A-4A58-854E-0CBDEA3381D2}" name="Spalte14507"/>
    <tableColumn id="14525" xr3:uid="{2DCFD234-3DCE-4C13-8F50-41D3047155AE}" name="Spalte14508"/>
    <tableColumn id="14526" xr3:uid="{724E925F-D710-45D9-BE4B-E714D8D739CB}" name="Spalte14509"/>
    <tableColumn id="14527" xr3:uid="{0F4D127B-5848-425F-AD1B-82F88E4CF07D}" name="Spalte14510"/>
    <tableColumn id="14528" xr3:uid="{2D7E8044-001F-4508-AE47-1D752B908531}" name="Spalte14511"/>
    <tableColumn id="14529" xr3:uid="{C53F1033-508A-45E1-952E-A192E73BDE80}" name="Spalte14512"/>
    <tableColumn id="14530" xr3:uid="{961C5AB9-3660-4853-AE6E-975C51A70C93}" name="Spalte14513"/>
    <tableColumn id="14531" xr3:uid="{7A0CACCD-1F77-416F-9D4C-22FB6F0D0AEA}" name="Spalte14514"/>
    <tableColumn id="14532" xr3:uid="{4009B2E1-A6F6-46EE-BBD7-2714284573C8}" name="Spalte14515"/>
    <tableColumn id="14533" xr3:uid="{E62AE6F0-BB7E-4F32-967F-041662A99818}" name="Spalte14516"/>
    <tableColumn id="14534" xr3:uid="{0886C5EB-2512-4548-AB76-2C7D47AF5072}" name="Spalte14517"/>
    <tableColumn id="14535" xr3:uid="{7C6C8BCF-6497-47B9-B361-282E8DD930C3}" name="Spalte14518"/>
    <tableColumn id="14536" xr3:uid="{5F832FD1-6A9B-494C-8938-4E1B04DC5658}" name="Spalte14519"/>
    <tableColumn id="14537" xr3:uid="{161CB462-35C4-4524-9563-F4D82B277B5B}" name="Spalte14520"/>
    <tableColumn id="14538" xr3:uid="{9D09A4C7-8DF8-4163-95E1-1A161D7993CF}" name="Spalte14521"/>
    <tableColumn id="14539" xr3:uid="{0A8CEE39-511D-4864-91A7-0D7C805CD604}" name="Spalte14522"/>
    <tableColumn id="14540" xr3:uid="{F9F0AE39-4920-4349-B359-26B121926FAE}" name="Spalte14523"/>
    <tableColumn id="14541" xr3:uid="{1026F02B-058F-476A-BD0F-107C45E37FAF}" name="Spalte14524"/>
    <tableColumn id="14542" xr3:uid="{BDCB6D4A-0C83-444D-B2BC-22293C29473C}" name="Spalte14525"/>
    <tableColumn id="14543" xr3:uid="{FEE54F62-C6D6-4EFF-AD10-0C75417801FD}" name="Spalte14526"/>
    <tableColumn id="14544" xr3:uid="{AB1C8FE5-23F8-4086-BCED-5D1CB83086BF}" name="Spalte14527"/>
    <tableColumn id="14545" xr3:uid="{BF01BA08-1866-4300-849C-053F6020F2DB}" name="Spalte14528"/>
    <tableColumn id="14546" xr3:uid="{69E4DA8C-7587-4E7C-B0AD-3E11D9C5EB78}" name="Spalte14529"/>
    <tableColumn id="14547" xr3:uid="{28B039CC-64AA-4E1D-98EA-84EB7B9B5A81}" name="Spalte14530"/>
    <tableColumn id="14548" xr3:uid="{7D468CE8-4EE0-4CCE-8165-BF91866A15F8}" name="Spalte14531"/>
    <tableColumn id="14549" xr3:uid="{90FF65CC-2793-4C30-8BEE-2BC3966D16F6}" name="Spalte14532"/>
    <tableColumn id="14550" xr3:uid="{95E14874-D385-4309-8542-75C103F16537}" name="Spalte14533"/>
    <tableColumn id="14551" xr3:uid="{0ECD1C80-E1D4-4CF3-9093-B012D9278B00}" name="Spalte14534"/>
    <tableColumn id="14552" xr3:uid="{14175E56-337D-499E-B0F4-DB9665886063}" name="Spalte14535"/>
    <tableColumn id="14553" xr3:uid="{A1369854-8368-4AB0-912C-DD60CACDC8FC}" name="Spalte14536"/>
    <tableColumn id="14554" xr3:uid="{B500C9BA-A846-4C36-B79E-2872F0CA1C48}" name="Spalte14537"/>
    <tableColumn id="14555" xr3:uid="{3AD443B3-B6F3-4FF0-8892-8A7308CF2C2D}" name="Spalte14538"/>
    <tableColumn id="14556" xr3:uid="{6C8C664A-C5FF-4230-B5E5-F8D23CA30A87}" name="Spalte14539"/>
    <tableColumn id="14557" xr3:uid="{D6C39A35-737E-432C-BD93-FC12E0EC7F35}" name="Spalte14540"/>
    <tableColumn id="14558" xr3:uid="{B8E7E214-7C0A-4ED8-926B-8C6BD4D8FCDB}" name="Spalte14541"/>
    <tableColumn id="14559" xr3:uid="{D9D6C6AE-D902-4A07-9530-196E95721650}" name="Spalte14542"/>
    <tableColumn id="14560" xr3:uid="{0F3A8A7E-B8FA-4285-B180-B99D11AAAE67}" name="Spalte14543"/>
    <tableColumn id="14561" xr3:uid="{D9FC57A4-30C3-404B-87D5-7C41B2CD1E82}" name="Spalte14544"/>
    <tableColumn id="14562" xr3:uid="{02C690EA-4FB0-4E67-8EE1-BF28D6641B85}" name="Spalte14545"/>
    <tableColumn id="14563" xr3:uid="{CABDD496-80BE-49B0-9082-BCE59435421B}" name="Spalte14546"/>
    <tableColumn id="14564" xr3:uid="{80B857E1-0FFE-42BA-B97A-2EBE7F84F203}" name="Spalte14547"/>
    <tableColumn id="14565" xr3:uid="{EB9922B7-7F70-4843-A232-DE7B148901FA}" name="Spalte14548"/>
    <tableColumn id="14566" xr3:uid="{90AE9E66-4EE3-44EA-A583-D177E5677B95}" name="Spalte14549"/>
    <tableColumn id="14567" xr3:uid="{7B97FD5F-5A3F-43D1-8FAF-C970A59676DD}" name="Spalte14550"/>
    <tableColumn id="14568" xr3:uid="{7C7F4301-AC1B-4C52-880E-6ECD47D64CCB}" name="Spalte14551"/>
    <tableColumn id="14569" xr3:uid="{A68DE083-666B-4757-A134-E017DFD3B2D9}" name="Spalte14552"/>
    <tableColumn id="14570" xr3:uid="{73C8E79F-2DFA-4277-89A6-3EC950D4B5FB}" name="Spalte14553"/>
    <tableColumn id="14571" xr3:uid="{9B959613-D3F3-4C95-811B-2E06A357FA0A}" name="Spalte14554"/>
    <tableColumn id="14572" xr3:uid="{32710D72-12BD-4CC8-BA73-4AAF3E039397}" name="Spalte14555"/>
    <tableColumn id="14573" xr3:uid="{90DEF9A6-F8D7-4EBF-A499-5260F208CAD1}" name="Spalte14556"/>
    <tableColumn id="14574" xr3:uid="{4FC91EAC-536D-4922-80AA-7EE8FB4F2812}" name="Spalte14557"/>
    <tableColumn id="14575" xr3:uid="{EACF811B-54C0-4FC6-9D09-3AC77ABE54AD}" name="Spalte14558"/>
    <tableColumn id="14576" xr3:uid="{3B02A5A3-4610-4A69-94C6-CDF777177208}" name="Spalte14559"/>
    <tableColumn id="14577" xr3:uid="{E60F9BD9-9C4B-4889-AD31-CA1A09FE0EA8}" name="Spalte14560"/>
    <tableColumn id="14578" xr3:uid="{D29FAC98-BE0C-40D7-8956-DC92799D7466}" name="Spalte14561"/>
    <tableColumn id="14579" xr3:uid="{C4382291-F75D-481D-9990-FE6A8EBCC70A}" name="Spalte14562"/>
    <tableColumn id="14580" xr3:uid="{245662D2-D9DA-4FDE-9703-627AEA30310C}" name="Spalte14563"/>
    <tableColumn id="14581" xr3:uid="{6BF09556-BCC7-4230-B898-F94DEEF2F546}" name="Spalte14564"/>
    <tableColumn id="14582" xr3:uid="{66B6B526-7FED-4DF1-B2F6-E7EA7A08082A}" name="Spalte14565"/>
    <tableColumn id="14583" xr3:uid="{1ADD3DB6-26D2-4729-979A-1924CF365A46}" name="Spalte14566"/>
    <tableColumn id="14584" xr3:uid="{30DDF665-99E4-42E1-AADC-81823C54A4DD}" name="Spalte14567"/>
    <tableColumn id="14585" xr3:uid="{2241FB1D-8B25-4062-BB90-E1D8EF9EDE69}" name="Spalte14568"/>
    <tableColumn id="14586" xr3:uid="{FC02D1B4-AB06-4202-8CF9-94ACCC91EAB4}" name="Spalte14569"/>
    <tableColumn id="14587" xr3:uid="{BBD21E92-9638-48E8-B27C-F857A7B623B3}" name="Spalte14570"/>
    <tableColumn id="14588" xr3:uid="{A0894093-4F57-4BB8-9434-9D95FAC3C6CD}" name="Spalte14571"/>
    <tableColumn id="14589" xr3:uid="{168532BA-146B-451E-B079-509E98BC6509}" name="Spalte14572"/>
    <tableColumn id="14590" xr3:uid="{D65F54EA-15C3-48F2-BCB1-F5621CEE84DC}" name="Spalte14573"/>
    <tableColumn id="14591" xr3:uid="{C4873D45-0C14-49CC-A8E7-0BED210D3654}" name="Spalte14574"/>
    <tableColumn id="14592" xr3:uid="{F58140CD-967E-4C81-8137-3EF1286D94E2}" name="Spalte14575"/>
    <tableColumn id="14593" xr3:uid="{771DA7C5-CFFA-4B7F-A1B8-D66FC113E0F4}" name="Spalte14576"/>
    <tableColumn id="14594" xr3:uid="{F61FB7E7-3012-4A8D-96E0-C714D9C3290E}" name="Spalte14577"/>
    <tableColumn id="14595" xr3:uid="{F819F78F-3761-4357-9D80-755417541EB2}" name="Spalte14578"/>
    <tableColumn id="14596" xr3:uid="{21CFA5F1-9459-4FB4-B325-AC941F74AFE0}" name="Spalte14579"/>
    <tableColumn id="14597" xr3:uid="{91BAB0D4-E8B6-420B-85EC-B1724E61A645}" name="Spalte14580"/>
    <tableColumn id="14598" xr3:uid="{0353DB5C-2C8A-4487-B476-A056E941EC6E}" name="Spalte14581"/>
    <tableColumn id="14599" xr3:uid="{A76D3130-3CD4-4CFB-8B1A-E69493DD94D6}" name="Spalte14582"/>
    <tableColumn id="14600" xr3:uid="{2A0D923F-63C0-46F0-9B1B-EC606CE7C6B2}" name="Spalte14583"/>
    <tableColumn id="14601" xr3:uid="{53145546-78CF-4180-9B41-5B316D7CF468}" name="Spalte14584"/>
    <tableColumn id="14602" xr3:uid="{6903BC7F-32E2-4663-B59F-71E7E68E0543}" name="Spalte14585"/>
    <tableColumn id="14603" xr3:uid="{8AE06943-3F31-43CC-98DE-A1AC302BEEB1}" name="Spalte14586"/>
    <tableColumn id="14604" xr3:uid="{E23CC15A-D439-4E3B-829F-41FECDFA1F79}" name="Spalte14587"/>
    <tableColumn id="14605" xr3:uid="{341B16D4-F6B4-4C9B-8F66-96B78F4D54CC}" name="Spalte14588"/>
    <tableColumn id="14606" xr3:uid="{90107C92-C907-4419-A973-CD85EEE7D6D5}" name="Spalte14589"/>
    <tableColumn id="14607" xr3:uid="{1D481D2E-E46B-4DBE-A947-8A1EECD33C26}" name="Spalte14590"/>
    <tableColumn id="14608" xr3:uid="{F90F8568-338F-4166-B0AA-1805A4DFDF67}" name="Spalte14591"/>
    <tableColumn id="14609" xr3:uid="{A3427917-0058-4435-971C-FF397E694B06}" name="Spalte14592"/>
    <tableColumn id="14610" xr3:uid="{D6D68F4D-2B43-4DF3-8AEC-EB93A71F6BEC}" name="Spalte14593"/>
    <tableColumn id="14611" xr3:uid="{C0784AF3-400C-4F3A-8A40-9D00068E91CD}" name="Spalte14594"/>
    <tableColumn id="14612" xr3:uid="{B570A3C7-0797-4F6A-8BC4-AC6636FF7655}" name="Spalte14595"/>
    <tableColumn id="14613" xr3:uid="{75CD0C66-86BF-4135-B36B-2BE1EC9713D7}" name="Spalte14596"/>
    <tableColumn id="14614" xr3:uid="{32941CB2-4A8D-4CFD-9944-20A1E7CD9FDD}" name="Spalte14597"/>
    <tableColumn id="14615" xr3:uid="{9B61B359-E38E-4574-AF33-A5F1B4C61149}" name="Spalte14598"/>
    <tableColumn id="14616" xr3:uid="{21E2B09C-523E-4E16-A9EF-1D873DC123FD}" name="Spalte14599"/>
    <tableColumn id="14617" xr3:uid="{064C9721-C8B6-43E4-B985-14B30DBE88C3}" name="Spalte14600"/>
    <tableColumn id="14618" xr3:uid="{151D6879-3493-4DBF-B135-B446434E7A41}" name="Spalte14601"/>
    <tableColumn id="14619" xr3:uid="{4F375B52-FDEE-48D7-938C-DA7A886CCB6B}" name="Spalte14602"/>
    <tableColumn id="14620" xr3:uid="{A7ABFE65-AB59-452A-9FD8-D3C94A294ACA}" name="Spalte14603"/>
    <tableColumn id="14621" xr3:uid="{585C29B0-E57A-44F7-910B-99BDE9657C76}" name="Spalte14604"/>
    <tableColumn id="14622" xr3:uid="{721A3743-EECB-4137-AB98-83671A2449A8}" name="Spalte14605"/>
    <tableColumn id="14623" xr3:uid="{7197DD87-9F2D-4AE9-BBC3-CF08432D78D6}" name="Spalte14606"/>
    <tableColumn id="14624" xr3:uid="{842E932C-E3E5-4243-BFD8-967776637E96}" name="Spalte14607"/>
    <tableColumn id="14625" xr3:uid="{0AE2E238-411D-4420-B2CC-B4395AD39C32}" name="Spalte14608"/>
    <tableColumn id="14626" xr3:uid="{DA596C9E-A2F5-4D39-8B62-C0C9079D4D5C}" name="Spalte14609"/>
    <tableColumn id="14627" xr3:uid="{DFC2C7B8-C80A-4507-9FB9-F5F3FF72CAFF}" name="Spalte14610"/>
    <tableColumn id="14628" xr3:uid="{D5BED6C5-CCD2-49C8-82FA-99622070C067}" name="Spalte14611"/>
    <tableColumn id="14629" xr3:uid="{681EAF5D-C264-4E52-84FA-AA774C7E3DB4}" name="Spalte14612"/>
    <tableColumn id="14630" xr3:uid="{F468AB0D-4DE2-4A9E-BBBD-C24A8732FE94}" name="Spalte14613"/>
    <tableColumn id="14631" xr3:uid="{0C43B6A0-3CF7-4B52-8A1B-3CF69BBF1FF5}" name="Spalte14614"/>
    <tableColumn id="14632" xr3:uid="{FAF384EC-078C-4400-9890-EB26BE0A5A5F}" name="Spalte14615"/>
    <tableColumn id="14633" xr3:uid="{0918F24B-8E7B-40BD-A11B-5B45B0BE1EE8}" name="Spalte14616"/>
    <tableColumn id="14634" xr3:uid="{0AC2C5B7-389F-4C14-857A-9307199AA3D2}" name="Spalte14617"/>
    <tableColumn id="14635" xr3:uid="{75538BE9-4E95-4A02-986E-6C73DE907379}" name="Spalte14618"/>
    <tableColumn id="14636" xr3:uid="{D2480AE3-8AFC-4434-9FA9-34C88809FB91}" name="Spalte14619"/>
    <tableColumn id="14637" xr3:uid="{2AE2176A-7F81-4E64-9DB8-86388BBF69BA}" name="Spalte14620"/>
    <tableColumn id="14638" xr3:uid="{313E2E3E-DFC9-48F7-85A4-5BDBC8348CF3}" name="Spalte14621"/>
    <tableColumn id="14639" xr3:uid="{95FC08F6-41F0-4F4B-894D-17DE327B9A3B}" name="Spalte14622"/>
    <tableColumn id="14640" xr3:uid="{EF401D23-0741-4CE6-B64B-16705258461D}" name="Spalte14623"/>
    <tableColumn id="14641" xr3:uid="{43B91185-CE57-43FA-8D13-52F86DD04778}" name="Spalte14624"/>
    <tableColumn id="14642" xr3:uid="{6B6C1FA3-46DA-459A-9430-106F1A5A3BBA}" name="Spalte14625"/>
    <tableColumn id="14643" xr3:uid="{36921CA2-E22B-4D3E-B2CB-2901E18FDE3A}" name="Spalte14626"/>
    <tableColumn id="14644" xr3:uid="{984946AC-33C3-4FDE-A71D-E85AE64D0813}" name="Spalte14627"/>
    <tableColumn id="14645" xr3:uid="{2BBEB547-F886-47C6-9AD8-9290E06F79FB}" name="Spalte14628"/>
    <tableColumn id="14646" xr3:uid="{022B59E2-AC5A-4191-953D-CA2E82939D0D}" name="Spalte14629"/>
    <tableColumn id="14647" xr3:uid="{165433AC-7931-4579-9099-F43A58D97623}" name="Spalte14630"/>
    <tableColumn id="14648" xr3:uid="{20FA1F75-0BC9-47A3-AB5B-81DC34CF258E}" name="Spalte14631"/>
    <tableColumn id="14649" xr3:uid="{182D5E26-7486-4458-A7CE-C65748CB1749}" name="Spalte14632"/>
    <tableColumn id="14650" xr3:uid="{B4643CF0-309C-446C-99AB-40E0F6F86118}" name="Spalte14633"/>
    <tableColumn id="14651" xr3:uid="{830C9990-94DD-4578-B183-E9A46BAFD1FD}" name="Spalte14634"/>
    <tableColumn id="14652" xr3:uid="{6F3A8055-577C-4BC6-AF22-E6D7792BA2B7}" name="Spalte14635"/>
    <tableColumn id="14653" xr3:uid="{8E0253FD-1CBE-4366-8C43-582F915105A0}" name="Spalte14636"/>
    <tableColumn id="14654" xr3:uid="{CB7E0F86-2FD2-40DF-A98F-EE4E58E8F9B7}" name="Spalte14637"/>
    <tableColumn id="14655" xr3:uid="{1BE58EBC-6654-41DA-912B-3DB49882D4AE}" name="Spalte14638"/>
    <tableColumn id="14656" xr3:uid="{DBDF3FAC-06FC-4B05-A478-34C01A3F4661}" name="Spalte14639"/>
    <tableColumn id="14657" xr3:uid="{3DA6B9AC-A627-4C69-A80D-5D6E4A8F25F2}" name="Spalte14640"/>
    <tableColumn id="14658" xr3:uid="{AA8B52B3-0573-49B5-B383-E0A1BA970B43}" name="Spalte14641"/>
    <tableColumn id="14659" xr3:uid="{F41D1F59-DE4B-4470-87F6-5239395D44A3}" name="Spalte14642"/>
    <tableColumn id="14660" xr3:uid="{BD1AE21E-5E59-4414-A8CA-600DA3D05127}" name="Spalte14643"/>
    <tableColumn id="14661" xr3:uid="{B81947C4-E654-4437-A49E-CE64251136C8}" name="Spalte14644"/>
    <tableColumn id="14662" xr3:uid="{0BBF0C45-D0DA-42B3-A863-6171123C177C}" name="Spalte14645"/>
    <tableColumn id="14663" xr3:uid="{CF8833FD-4638-444A-A174-F11D744E9310}" name="Spalte14646"/>
    <tableColumn id="14664" xr3:uid="{E3F65353-BC7C-4674-B82A-883B292FC3D4}" name="Spalte14647"/>
    <tableColumn id="14665" xr3:uid="{FD8BF15B-D49E-4814-885E-43DAEA3DB6E2}" name="Spalte14648"/>
    <tableColumn id="14666" xr3:uid="{130079BD-DDEF-4FD0-9DF0-9D8EAD6D35DC}" name="Spalte14649"/>
    <tableColumn id="14667" xr3:uid="{A6F08813-D3FC-40E1-8D8B-DE32327C940F}" name="Spalte14650"/>
    <tableColumn id="14668" xr3:uid="{F9729DDD-3F29-44B3-A87E-B7F4CAB347A0}" name="Spalte14651"/>
    <tableColumn id="14669" xr3:uid="{83E3E1D8-A6A6-491A-8274-D19375C66C1D}" name="Spalte14652"/>
    <tableColumn id="14670" xr3:uid="{7DF4D77A-7E94-4887-B98B-C42C729416CB}" name="Spalte14653"/>
    <tableColumn id="14671" xr3:uid="{4955E691-3740-4E32-ADF4-0A3445268CCB}" name="Spalte14654"/>
    <tableColumn id="14672" xr3:uid="{DA07FA3D-865D-48C2-9DF7-02A45F860258}" name="Spalte14655"/>
    <tableColumn id="14673" xr3:uid="{5EAEE31A-7600-42CA-B9B6-75CC420F398D}" name="Spalte14656"/>
    <tableColumn id="14674" xr3:uid="{B1B66D2B-6238-4712-B52B-E8518D11AA33}" name="Spalte14657"/>
    <tableColumn id="14675" xr3:uid="{D9C8D735-999C-4CA5-9912-1496A9CCEBA7}" name="Spalte14658"/>
    <tableColumn id="14676" xr3:uid="{89AEA0D8-72BD-4B00-A432-B292F6EE5FBC}" name="Spalte14659"/>
    <tableColumn id="14677" xr3:uid="{F23F59B5-C396-4F97-B9DE-D38FB4F98353}" name="Spalte14660"/>
    <tableColumn id="14678" xr3:uid="{8DCCC489-113E-4A46-9CB6-974DBA2AF398}" name="Spalte14661"/>
    <tableColumn id="14679" xr3:uid="{AABA5AA6-721B-4717-B4C9-1A419835FCCB}" name="Spalte14662"/>
    <tableColumn id="14680" xr3:uid="{5212E905-5C6A-4DC5-938D-E69638D97C34}" name="Spalte14663"/>
    <tableColumn id="14681" xr3:uid="{7903286A-D1E1-4A17-95F5-21F982DFEAA7}" name="Spalte14664"/>
    <tableColumn id="14682" xr3:uid="{59576C0D-B3C0-4A18-95D7-B80EB6CE210C}" name="Spalte14665"/>
    <tableColumn id="14683" xr3:uid="{632D8AE2-C7BC-4E02-A09C-06E6C42DDB9E}" name="Spalte14666"/>
    <tableColumn id="14684" xr3:uid="{0082BDB9-DB91-45EA-B5A9-643488D4CC95}" name="Spalte14667"/>
    <tableColumn id="14685" xr3:uid="{3D3C00BF-F63F-4B74-8CA4-99E1A58BE980}" name="Spalte14668"/>
    <tableColumn id="14686" xr3:uid="{E04264C7-A5CF-45BF-BA5B-187828F4599E}" name="Spalte14669"/>
    <tableColumn id="14687" xr3:uid="{BAEAB0B6-5A42-4884-9B0F-3AA1DD5962B1}" name="Spalte14670"/>
    <tableColumn id="14688" xr3:uid="{E9D286F9-BFFF-45AC-B1E2-5796F8A84356}" name="Spalte14671"/>
    <tableColumn id="14689" xr3:uid="{F60F3A31-9FD4-4049-88A3-7B607412A093}" name="Spalte14672"/>
    <tableColumn id="14690" xr3:uid="{C5663677-8FC2-4C26-880B-2AF5D113BB9A}" name="Spalte14673"/>
    <tableColumn id="14691" xr3:uid="{07C72975-778F-43C8-88E9-131F916533CB}" name="Spalte14674"/>
    <tableColumn id="14692" xr3:uid="{A2E5DBF3-F1F5-4972-AE4C-4134F60124E8}" name="Spalte14675"/>
    <tableColumn id="14693" xr3:uid="{D58D2384-53A4-4475-AACC-C0761665FB36}" name="Spalte14676"/>
    <tableColumn id="14694" xr3:uid="{D1402E77-0AE5-4A18-98B9-E36D2F78C039}" name="Spalte14677"/>
    <tableColumn id="14695" xr3:uid="{96EB0017-0B44-4138-9E92-73ED032A7687}" name="Spalte14678"/>
    <tableColumn id="14696" xr3:uid="{C1BA740C-EE6D-470A-BA6A-4B8F7F56C034}" name="Spalte14679"/>
    <tableColumn id="14697" xr3:uid="{AD3FCD4D-7553-4CEF-8005-5FB3FF0C4027}" name="Spalte14680"/>
    <tableColumn id="14698" xr3:uid="{FE46CC4F-080C-4199-BB99-10EE7B30F7B4}" name="Spalte14681"/>
    <tableColumn id="14699" xr3:uid="{D52B24EB-E2B1-442E-8CC7-59196F57D8EB}" name="Spalte14682"/>
    <tableColumn id="14700" xr3:uid="{78AAB71E-4D25-424D-B24E-7B7F63FCF6D2}" name="Spalte14683"/>
    <tableColumn id="14701" xr3:uid="{AB5BA1DB-C584-4AEF-ABFC-F23524B9587D}" name="Spalte14684"/>
    <tableColumn id="14702" xr3:uid="{CD32D4CB-236C-4C42-960F-988298A42EEC}" name="Spalte14685"/>
    <tableColumn id="14703" xr3:uid="{094F34DA-AA9B-45FB-B661-1DB97029CDDF}" name="Spalte14686"/>
    <tableColumn id="14704" xr3:uid="{91B58746-786E-460B-A6A2-B20C3E820D44}" name="Spalte14687"/>
    <tableColumn id="14705" xr3:uid="{CCDC109C-9D29-4BED-BB95-4CC4549B2201}" name="Spalte14688"/>
    <tableColumn id="14706" xr3:uid="{CB02A901-EF21-44A0-B400-163A7198A7B5}" name="Spalte14689"/>
    <tableColumn id="14707" xr3:uid="{01F22FA4-0BE8-49D2-AB39-B031416F00A5}" name="Spalte14690"/>
    <tableColumn id="14708" xr3:uid="{7897DBF5-D6F7-4C3F-A7D5-E6D7257A05A2}" name="Spalte14691"/>
    <tableColumn id="14709" xr3:uid="{D0B8A37C-7FD4-477F-A706-45AA18A6E494}" name="Spalte14692"/>
    <tableColumn id="14710" xr3:uid="{EC69D282-3C44-42EF-AF77-EEDE560EAFCC}" name="Spalte14693"/>
    <tableColumn id="14711" xr3:uid="{D4B52BAC-03F3-4062-9F70-1884C39F46DD}" name="Spalte14694"/>
    <tableColumn id="14712" xr3:uid="{0BCE2828-8750-4CCF-982B-4AEB53072BD1}" name="Spalte14695"/>
    <tableColumn id="14713" xr3:uid="{F91F449B-7CDA-4006-8E77-B9C3BA730553}" name="Spalte14696"/>
    <tableColumn id="14714" xr3:uid="{2FC3BF5E-C1ED-4E61-8912-B7011762B42C}" name="Spalte14697"/>
    <tableColumn id="14715" xr3:uid="{41C31582-5A47-4920-B656-58B63615CCA1}" name="Spalte14698"/>
    <tableColumn id="14716" xr3:uid="{DC029A4A-11D5-41A6-9FC1-66BD2C7EBB27}" name="Spalte14699"/>
    <tableColumn id="14717" xr3:uid="{32EDEE55-993F-4F62-952D-0EF8A0B87038}" name="Spalte14700"/>
    <tableColumn id="14718" xr3:uid="{D169E1A7-A55D-47E0-8C68-21F96EAAFB56}" name="Spalte14701"/>
    <tableColumn id="14719" xr3:uid="{29922077-CD75-432A-ACD7-94974DAFD9C3}" name="Spalte14702"/>
    <tableColumn id="14720" xr3:uid="{9C2AA6DB-5140-4A2C-8E15-F00EC980A098}" name="Spalte14703"/>
    <tableColumn id="14721" xr3:uid="{5F4851A9-39EC-41CC-9BA9-F40B55B3F5A4}" name="Spalte14704"/>
    <tableColumn id="14722" xr3:uid="{603B1BA7-584B-4059-93E4-9303D2A23790}" name="Spalte14705"/>
    <tableColumn id="14723" xr3:uid="{E9CAC707-FE93-4E80-B4BB-2875EDAAC606}" name="Spalte14706"/>
    <tableColumn id="14724" xr3:uid="{24E33670-FD28-4C2C-AE79-083CBB71A310}" name="Spalte14707"/>
    <tableColumn id="14725" xr3:uid="{2D75A478-39DC-482F-96E3-EB6BFE519BE9}" name="Spalte14708"/>
    <tableColumn id="14726" xr3:uid="{A96E36FD-72BD-4DEB-B756-26BA029F9BAA}" name="Spalte14709"/>
    <tableColumn id="14727" xr3:uid="{97E083AF-1291-4932-9217-A04AC1A0A4C1}" name="Spalte14710"/>
    <tableColumn id="14728" xr3:uid="{A3415A84-BE70-4734-BC67-86E0E6104245}" name="Spalte14711"/>
    <tableColumn id="14729" xr3:uid="{32CF97C2-8D5D-4EB2-829E-10E8FFDAEB74}" name="Spalte14712"/>
    <tableColumn id="14730" xr3:uid="{BE56F49C-DBAE-4BF7-96CD-7570113D612A}" name="Spalte14713"/>
    <tableColumn id="14731" xr3:uid="{C77E9DBD-DF88-406B-BF03-5EB2EDEEAB27}" name="Spalte14714"/>
    <tableColumn id="14732" xr3:uid="{16E55F20-E0C4-4D5D-B45B-6BFD7026B312}" name="Spalte14715"/>
    <tableColumn id="14733" xr3:uid="{1B46CF03-6DB5-4AD3-B73D-CAD6F611F222}" name="Spalte14716"/>
    <tableColumn id="14734" xr3:uid="{C1998A89-144D-4D51-A10B-C6A07FDE85A3}" name="Spalte14717"/>
    <tableColumn id="14735" xr3:uid="{2797CC18-A476-428F-853B-C77A4F3FAB74}" name="Spalte14718"/>
    <tableColumn id="14736" xr3:uid="{3659109C-E3BD-4A41-9E01-DC4444FF97EC}" name="Spalte14719"/>
    <tableColumn id="14737" xr3:uid="{EF4F69C5-1C74-4C26-8F0D-F543BEFB9C77}" name="Spalte14720"/>
    <tableColumn id="14738" xr3:uid="{4E605392-FE4F-4D12-97D6-A0A15C3433AC}" name="Spalte14721"/>
    <tableColumn id="14739" xr3:uid="{A0388161-B7C1-4CB4-9CF5-FCA4D1F7BDF1}" name="Spalte14722"/>
    <tableColumn id="14740" xr3:uid="{03831B06-989C-42B2-998B-9BD6E764EE30}" name="Spalte14723"/>
    <tableColumn id="14741" xr3:uid="{6BCD7207-3991-44DA-B17C-B7AF0A63C896}" name="Spalte14724"/>
    <tableColumn id="14742" xr3:uid="{A957A736-B4C9-47D0-8494-9A1C1AA8DF2B}" name="Spalte14725"/>
    <tableColumn id="14743" xr3:uid="{4E27ABA5-C129-4D53-B880-AC1A5D9798DB}" name="Spalte14726"/>
    <tableColumn id="14744" xr3:uid="{DC39273C-D12E-4304-962E-0D2EE0252841}" name="Spalte14727"/>
    <tableColumn id="14745" xr3:uid="{9FB78CA9-EE9F-46F4-A3BD-F39A96F298C0}" name="Spalte14728"/>
    <tableColumn id="14746" xr3:uid="{B95ED8CC-F332-47A5-BB39-49A5AE7F3C91}" name="Spalte14729"/>
    <tableColumn id="14747" xr3:uid="{FBF1D544-FF9D-422D-9EF4-718A773D0B55}" name="Spalte14730"/>
    <tableColumn id="14748" xr3:uid="{A3661667-9D97-4CE3-9DC5-76925ED41DB2}" name="Spalte14731"/>
    <tableColumn id="14749" xr3:uid="{A94AF173-1550-4E4D-9B2F-B22309881C24}" name="Spalte14732"/>
    <tableColumn id="14750" xr3:uid="{825452B7-DB9B-4B3F-A44F-A8D0344FB9CF}" name="Spalte14733"/>
    <tableColumn id="14751" xr3:uid="{2973E7B9-39D4-47F3-B3D2-6833F6266B5E}" name="Spalte14734"/>
    <tableColumn id="14752" xr3:uid="{0580F0AD-99BC-47C5-9DDA-95C17EC58717}" name="Spalte14735"/>
    <tableColumn id="14753" xr3:uid="{1AFA2BC0-5392-4030-8FBA-0BA44C962A3E}" name="Spalte14736"/>
    <tableColumn id="14754" xr3:uid="{1079ADC2-BFC5-4929-BDAE-85370CCAC870}" name="Spalte14737"/>
    <tableColumn id="14755" xr3:uid="{1E458F4C-B075-49C9-ADFE-2F00DA198C47}" name="Spalte14738"/>
    <tableColumn id="14756" xr3:uid="{18883229-FAF2-4899-85C2-DE45CC0835E8}" name="Spalte14739"/>
    <tableColumn id="14757" xr3:uid="{01263932-EA20-4DB9-AA72-FCA71C637532}" name="Spalte14740"/>
    <tableColumn id="14758" xr3:uid="{BB0BB0E7-4579-4AB3-8195-0FD687CBDEBE}" name="Spalte14741"/>
    <tableColumn id="14759" xr3:uid="{2C55BAE3-3923-4F4E-B4E6-32A32D7764CA}" name="Spalte14742"/>
    <tableColumn id="14760" xr3:uid="{FEBA0BE8-D92A-4363-9AAE-F568545F584B}" name="Spalte14743"/>
    <tableColumn id="14761" xr3:uid="{DB5CA6EA-C790-4F23-AB3C-0059EED95CA3}" name="Spalte14744"/>
    <tableColumn id="14762" xr3:uid="{65A62ED3-520C-4EA5-923C-09BB684DFCB2}" name="Spalte14745"/>
    <tableColumn id="14763" xr3:uid="{D90A0A5B-FE03-49C0-BC7F-CC3E2D2C0D95}" name="Spalte14746"/>
    <tableColumn id="14764" xr3:uid="{E2F9FB45-7538-4885-AF77-10F989D4A0E8}" name="Spalte14747"/>
    <tableColumn id="14765" xr3:uid="{C58D486A-1E9F-481B-9AF8-56A53184D595}" name="Spalte14748"/>
    <tableColumn id="14766" xr3:uid="{2E582BCB-315D-4E4A-81B4-7092234805DA}" name="Spalte14749"/>
    <tableColumn id="14767" xr3:uid="{46985841-A22A-4F62-9736-EA5C9D1EE9A4}" name="Spalte14750"/>
    <tableColumn id="14768" xr3:uid="{712B78D3-388D-420F-B38F-0BECF4E094DB}" name="Spalte14751"/>
    <tableColumn id="14769" xr3:uid="{FCAF8ED9-72ED-4433-A7DA-EEE1D1963CDB}" name="Spalte14752"/>
    <tableColumn id="14770" xr3:uid="{003F115C-BD3B-4645-8626-D022BB8EF7EA}" name="Spalte14753"/>
    <tableColumn id="14771" xr3:uid="{09E2A410-A256-4FDF-AFA4-9C16149A9481}" name="Spalte14754"/>
    <tableColumn id="14772" xr3:uid="{7A9B8122-42A0-489D-81E9-4848D9EB9430}" name="Spalte14755"/>
    <tableColumn id="14773" xr3:uid="{52F27B4D-66B8-49E7-B727-1314BD5EC1A2}" name="Spalte14756"/>
    <tableColumn id="14774" xr3:uid="{43E2B79E-ED19-4EC3-AC93-5911807F74EE}" name="Spalte14757"/>
    <tableColumn id="14775" xr3:uid="{ECCAAD9E-EA36-4B0B-825D-E2CD8C70722A}" name="Spalte14758"/>
    <tableColumn id="14776" xr3:uid="{FE2375B4-50A0-4842-8A62-91085330AE4C}" name="Spalte14759"/>
    <tableColumn id="14777" xr3:uid="{F6C7E8FF-B17D-4E53-9EC5-D43F19F41406}" name="Spalte14760"/>
    <tableColumn id="14778" xr3:uid="{3C9A3E06-3C56-4794-BB43-F1D34706E51A}" name="Spalte14761"/>
    <tableColumn id="14779" xr3:uid="{4594882A-8D4D-437F-98DC-A3F589896EBF}" name="Spalte14762"/>
    <tableColumn id="14780" xr3:uid="{C29BCDD5-9880-4257-85F9-AB4A393DD067}" name="Spalte14763"/>
    <tableColumn id="14781" xr3:uid="{64E87C30-932E-44B9-A098-FDE344156F99}" name="Spalte14764"/>
    <tableColumn id="14782" xr3:uid="{C3D385ED-2704-46B8-BF58-DD3C77EB5C4C}" name="Spalte14765"/>
    <tableColumn id="14783" xr3:uid="{4728DBDA-4BDD-4A65-A089-478C4F40BFE4}" name="Spalte14766"/>
    <tableColumn id="14784" xr3:uid="{353BEBE2-6CAF-4F8E-A11E-54BF1AE67C81}" name="Spalte14767"/>
    <tableColumn id="14785" xr3:uid="{D608E966-C107-4CFC-AC45-B93CA0FB1FEC}" name="Spalte14768"/>
    <tableColumn id="14786" xr3:uid="{517542E7-9640-46C4-ACAC-38A2598DC063}" name="Spalte14769"/>
    <tableColumn id="14787" xr3:uid="{5BCCE6FE-4C1D-4128-B682-1CEC2E8AB544}" name="Spalte14770"/>
    <tableColumn id="14788" xr3:uid="{8624F65F-9C8F-4E92-94A3-72E2D655E115}" name="Spalte14771"/>
    <tableColumn id="14789" xr3:uid="{9A327429-E582-447A-BA5A-2E1923C1B2CC}" name="Spalte14772"/>
    <tableColumn id="14790" xr3:uid="{C3967413-B508-4014-B7E3-D325B72DFD00}" name="Spalte14773"/>
    <tableColumn id="14791" xr3:uid="{FE8BACED-DEFD-4C99-BE41-EEB0D819CFC3}" name="Spalte14774"/>
    <tableColumn id="14792" xr3:uid="{270A9A42-19B1-407A-8EAA-732FB4FB6C6B}" name="Spalte14775"/>
    <tableColumn id="14793" xr3:uid="{10D6C5D7-2382-407D-BC77-35C48DD89169}" name="Spalte14776"/>
    <tableColumn id="14794" xr3:uid="{DF39A7BD-D5FD-4899-8C7E-3F465AC2FF64}" name="Spalte14777"/>
    <tableColumn id="14795" xr3:uid="{1318E4E3-0F58-407D-B2BB-01354A8651BE}" name="Spalte14778"/>
    <tableColumn id="14796" xr3:uid="{A3D68BFD-D0A5-4FDD-848C-154B1E1AACFB}" name="Spalte14779"/>
    <tableColumn id="14797" xr3:uid="{6E194668-B64D-43F4-B231-596D63654CD4}" name="Spalte14780"/>
    <tableColumn id="14798" xr3:uid="{B1C8085F-E7E8-4CFF-8B49-B63BAC13919B}" name="Spalte14781"/>
    <tableColumn id="14799" xr3:uid="{3C714FBA-13AC-4F95-BDFD-C3229183C9FA}" name="Spalte14782"/>
    <tableColumn id="14800" xr3:uid="{9D1C140A-8FC4-409A-8B41-DD4B7AD2334E}" name="Spalte14783"/>
    <tableColumn id="14801" xr3:uid="{153A66D7-2997-4468-A143-F0EC8D948CD4}" name="Spalte14784"/>
    <tableColumn id="14802" xr3:uid="{C03DCBA8-2A2A-4A5D-84D8-7F129FEF4B66}" name="Spalte14785"/>
    <tableColumn id="14803" xr3:uid="{7A69234C-5E97-4D78-8CC1-6BA48E7D378A}" name="Spalte14786"/>
    <tableColumn id="14804" xr3:uid="{DD6DF380-5080-4380-8D5B-E7D011E0B865}" name="Spalte14787"/>
    <tableColumn id="14805" xr3:uid="{1E845730-A797-4E89-B9D3-9E924C15D10B}" name="Spalte14788"/>
    <tableColumn id="14806" xr3:uid="{B6A829FE-EF29-4026-830F-8E7F6C2F96B1}" name="Spalte14789"/>
    <tableColumn id="14807" xr3:uid="{9731E0CF-D2FD-444F-A5B3-017DBC56F79C}" name="Spalte14790"/>
    <tableColumn id="14808" xr3:uid="{EF868640-B4A4-4844-BB4B-63BE77208F92}" name="Spalte14791"/>
    <tableColumn id="14809" xr3:uid="{FFC77DDA-6C83-42DB-B77C-5D48509498E9}" name="Spalte14792"/>
    <tableColumn id="14810" xr3:uid="{679B4BA6-798C-41CC-B3ED-54E19B850B16}" name="Spalte14793"/>
    <tableColumn id="14811" xr3:uid="{0607BEFE-5191-49D1-9F7C-A05FB396794E}" name="Spalte14794"/>
    <tableColumn id="14812" xr3:uid="{7EDB7EE6-DC27-4C9C-8464-4E3E6AB01A16}" name="Spalte14795"/>
    <tableColumn id="14813" xr3:uid="{3A180CF1-F93F-4C32-BC27-CE5C9E75B586}" name="Spalte14796"/>
    <tableColumn id="14814" xr3:uid="{62BEEFDA-2EF1-4A0B-9CFF-ACBBC4D83F8F}" name="Spalte14797"/>
    <tableColumn id="14815" xr3:uid="{BB2CBDA8-EAB4-469F-9CB6-E1EDCF738E5A}" name="Spalte14798"/>
    <tableColumn id="14816" xr3:uid="{A7E92EC7-23FD-4645-BDB8-91A3B43153E3}" name="Spalte14799"/>
    <tableColumn id="14817" xr3:uid="{A09FB2E4-64DE-4FD1-8960-C15265E5C9B7}" name="Spalte14800"/>
    <tableColumn id="14818" xr3:uid="{B11CFA4D-6DC6-47C1-9B09-2C9BFE79645D}" name="Spalte14801"/>
    <tableColumn id="14819" xr3:uid="{A98E9298-2808-4F37-B8F9-E26074588685}" name="Spalte14802"/>
    <tableColumn id="14820" xr3:uid="{C15846EB-FA8A-47BD-B8D2-437C9D88FBF7}" name="Spalte14803"/>
    <tableColumn id="14821" xr3:uid="{1C2D2803-0677-482C-9BB1-CAB12121D403}" name="Spalte14804"/>
    <tableColumn id="14822" xr3:uid="{F3B5E1DA-F8B4-4B44-9DC6-919A61DD548B}" name="Spalte14805"/>
    <tableColumn id="14823" xr3:uid="{E06506AB-E56E-43DA-A117-7383F30F789C}" name="Spalte14806"/>
    <tableColumn id="14824" xr3:uid="{04D7CE9E-55E0-4F17-8093-E3FFCCA775DA}" name="Spalte14807"/>
    <tableColumn id="14825" xr3:uid="{93340157-AFFE-4F98-8656-D796A7FCFA32}" name="Spalte14808"/>
    <tableColumn id="14826" xr3:uid="{29AB935D-0FF5-43F6-A60B-07DF698D877A}" name="Spalte14809"/>
    <tableColumn id="14827" xr3:uid="{62A8244D-757D-47D1-BCC9-AE11E2AEA17C}" name="Spalte14810"/>
    <tableColumn id="14828" xr3:uid="{15B9393A-1EE3-4BC3-9826-DE399100A262}" name="Spalte14811"/>
    <tableColumn id="14829" xr3:uid="{833DAEDC-A46B-45B1-993C-953C1D92D42A}" name="Spalte14812"/>
    <tableColumn id="14830" xr3:uid="{8401FDCD-36D8-4DD0-AD08-B1AFAF9143D3}" name="Spalte14813"/>
    <tableColumn id="14831" xr3:uid="{82BDF5CA-2750-4D27-A78C-4EE5FEAA297B}" name="Spalte14814"/>
    <tableColumn id="14832" xr3:uid="{A1BF6A87-F73F-4FEE-954F-360DCA98988B}" name="Spalte14815"/>
    <tableColumn id="14833" xr3:uid="{4B973567-DD78-4362-8CAF-1183CA62034E}" name="Spalte14816"/>
    <tableColumn id="14834" xr3:uid="{56A7B690-61E8-4B04-B4A9-A8486DD71BA1}" name="Spalte14817"/>
    <tableColumn id="14835" xr3:uid="{209B5BCF-94F8-43CE-AD53-04D1189DA5B1}" name="Spalte14818"/>
    <tableColumn id="14836" xr3:uid="{EB41CB20-FA34-4280-8B8B-3980FBB1A391}" name="Spalte14819"/>
    <tableColumn id="14837" xr3:uid="{A4BCF522-8D6D-460C-B357-9F8B121FBDD2}" name="Spalte14820"/>
    <tableColumn id="14838" xr3:uid="{6B611734-8A41-4900-B099-14FB90BB2251}" name="Spalte14821"/>
    <tableColumn id="14839" xr3:uid="{C4496261-C8AC-48DB-B37D-2456C29D853F}" name="Spalte14822"/>
    <tableColumn id="14840" xr3:uid="{216300A1-4964-4AF8-A63D-160FA2EE14BF}" name="Spalte14823"/>
    <tableColumn id="14841" xr3:uid="{AC42B7BF-4EE8-4587-8734-3047CFD9081B}" name="Spalte14824"/>
    <tableColumn id="14842" xr3:uid="{ED76E0A5-4C2F-4276-B2A8-5EAD5364CDBE}" name="Spalte14825"/>
    <tableColumn id="14843" xr3:uid="{47A050B5-1F96-4CBD-A271-A6343406745E}" name="Spalte14826"/>
    <tableColumn id="14844" xr3:uid="{EDAFCAB3-BC2A-488A-B784-5E3CE1938D2F}" name="Spalte14827"/>
    <tableColumn id="14845" xr3:uid="{DF031C0B-2FF6-4548-B8CE-23ADF4F8AAB8}" name="Spalte14828"/>
    <tableColumn id="14846" xr3:uid="{166468C2-31AF-401D-A6ED-AC79DC07C87A}" name="Spalte14829"/>
    <tableColumn id="14847" xr3:uid="{C023061D-A8C2-4F66-A2DE-2D1E95EC1F92}" name="Spalte14830"/>
    <tableColumn id="14848" xr3:uid="{328333A2-D651-4D53-A01D-36C92BBA6AFD}" name="Spalte14831"/>
    <tableColumn id="14849" xr3:uid="{A15ADB3A-E3CB-4731-B19B-B37395D2225F}" name="Spalte14832"/>
    <tableColumn id="14850" xr3:uid="{2CCAA0DB-88A7-4787-8C19-ACF48BA75314}" name="Spalte14833"/>
    <tableColumn id="14851" xr3:uid="{51E6D1A4-65E9-4216-8D9C-7C68847DC1DE}" name="Spalte14834"/>
    <tableColumn id="14852" xr3:uid="{F6C17FFB-DFAC-4175-91E0-7AB5FC0EB717}" name="Spalte14835"/>
    <tableColumn id="14853" xr3:uid="{54EBC7E7-5997-4040-AA7B-1A403E88ED90}" name="Spalte14836"/>
    <tableColumn id="14854" xr3:uid="{AE7AFE5C-A6F7-4D9F-B9AB-15487429FF0D}" name="Spalte14837"/>
    <tableColumn id="14855" xr3:uid="{7654CD77-9A1A-4161-8CEF-B36187C1D5A2}" name="Spalte14838"/>
    <tableColumn id="14856" xr3:uid="{B5819CDA-B078-486E-9224-54A727938F6A}" name="Spalte14839"/>
    <tableColumn id="14857" xr3:uid="{E49C1337-53A0-4F86-A0DC-D9BA2C1B4274}" name="Spalte14840"/>
    <tableColumn id="14858" xr3:uid="{5D9CE387-AF04-46C0-A292-A2BF943BD621}" name="Spalte14841"/>
    <tableColumn id="14859" xr3:uid="{0C6FFAED-1B0E-48E3-B239-C567BF8DC716}" name="Spalte14842"/>
    <tableColumn id="14860" xr3:uid="{FC81077E-2883-4BFA-85E0-0C8FA49DDC88}" name="Spalte14843"/>
    <tableColumn id="14861" xr3:uid="{CB428C7A-E102-42FE-9260-5DF23DDE3492}" name="Spalte14844"/>
    <tableColumn id="14862" xr3:uid="{C017E0DF-DEAA-44BC-9ED0-B20D2028FA5D}" name="Spalte14845"/>
    <tableColumn id="14863" xr3:uid="{07AF841A-F429-4189-97ED-DE0040C75CF3}" name="Spalte14846"/>
    <tableColumn id="14864" xr3:uid="{1B5A98D0-850A-494E-BFE2-909DFDDADDE3}" name="Spalte14847"/>
    <tableColumn id="14865" xr3:uid="{921BA8D1-05F9-49DA-A975-C3840ED9BEC7}" name="Spalte14848"/>
    <tableColumn id="14866" xr3:uid="{1DC2ADE4-ABC8-44DF-A96B-9DBF5900DD17}" name="Spalte14849"/>
    <tableColumn id="14867" xr3:uid="{67415617-CA73-468E-9D0C-CF2B187FDD04}" name="Spalte14850"/>
    <tableColumn id="14868" xr3:uid="{CA3664AF-5EA3-4BE6-9A56-8872DBACA5E0}" name="Spalte14851"/>
    <tableColumn id="14869" xr3:uid="{F4E8E7D9-81E0-4FE1-A07A-98CFFE0D9652}" name="Spalte14852"/>
    <tableColumn id="14870" xr3:uid="{70C411E2-5A36-4370-A541-A6F4C19F0B71}" name="Spalte14853"/>
    <tableColumn id="14871" xr3:uid="{BDF963B1-8EF6-4340-B8C0-D7FD659B8B25}" name="Spalte14854"/>
    <tableColumn id="14872" xr3:uid="{991AC11B-D576-407A-96AE-266F7FEB7FEE}" name="Spalte14855"/>
    <tableColumn id="14873" xr3:uid="{A2DC66E6-21A2-4BE4-8B11-2183E8D8AF3C}" name="Spalte14856"/>
    <tableColumn id="14874" xr3:uid="{C880778F-2D66-43E1-9BAA-EAF06FA9F133}" name="Spalte14857"/>
    <tableColumn id="14875" xr3:uid="{D73366DA-780A-4922-B0EF-C5FEDFB87B66}" name="Spalte14858"/>
    <tableColumn id="14876" xr3:uid="{6C106D66-06A8-4E7F-A506-4D1A54EF8F4C}" name="Spalte14859"/>
    <tableColumn id="14877" xr3:uid="{322C6C59-1873-4432-8040-1312EFEEF74E}" name="Spalte14860"/>
    <tableColumn id="14878" xr3:uid="{F4EC9085-0E65-4C09-9C10-81594F7C872C}" name="Spalte14861"/>
    <tableColumn id="14879" xr3:uid="{4ADAAD71-CAC9-4642-A21C-DD4EFDF8DCB6}" name="Spalte14862"/>
    <tableColumn id="14880" xr3:uid="{27444D8B-FB7F-42DA-8F2E-3D240E707413}" name="Spalte14863"/>
    <tableColumn id="14881" xr3:uid="{89FBB796-EEE2-4773-88F0-CBEE8A000856}" name="Spalte14864"/>
    <tableColumn id="14882" xr3:uid="{E3F273E1-633A-4BD6-8D36-2EE11FC79148}" name="Spalte14865"/>
    <tableColumn id="14883" xr3:uid="{C663A5BD-6B43-40D7-8C96-0CE566789E96}" name="Spalte14866"/>
    <tableColumn id="14884" xr3:uid="{EBA74F95-F8DA-4725-93FE-0C910BAD9140}" name="Spalte14867"/>
    <tableColumn id="14885" xr3:uid="{EC2B2BB8-3A78-4E9F-9EA7-830F535B78F5}" name="Spalte14868"/>
    <tableColumn id="14886" xr3:uid="{6973EA4B-7637-4935-B07A-FCE8242EC831}" name="Spalte14869"/>
    <tableColumn id="14887" xr3:uid="{6392F453-D3DC-40E3-85F0-BE10454181E5}" name="Spalte14870"/>
    <tableColumn id="14888" xr3:uid="{AAA15A97-6ED5-4BBA-ADD6-349223462ED2}" name="Spalte14871"/>
    <tableColumn id="14889" xr3:uid="{90A51920-5DF0-4947-B1A3-6834348E3F8E}" name="Spalte14872"/>
    <tableColumn id="14890" xr3:uid="{61081B07-B7FF-4AB7-9634-DCA910B4069B}" name="Spalte14873"/>
    <tableColumn id="14891" xr3:uid="{454720B6-CAC6-44F6-920F-949FCFCC13F4}" name="Spalte14874"/>
    <tableColumn id="14892" xr3:uid="{0D6F5D29-26EC-49E3-9D92-209AEE4FE256}" name="Spalte14875"/>
    <tableColumn id="14893" xr3:uid="{1CB63F16-9D61-47FB-9EA8-DAA8A7406700}" name="Spalte14876"/>
    <tableColumn id="14894" xr3:uid="{80598F5D-1A9D-4191-8D5E-462AC004BC46}" name="Spalte14877"/>
    <tableColumn id="14895" xr3:uid="{70C5B25B-6AA8-4520-9D83-6B4684848A9B}" name="Spalte14878"/>
    <tableColumn id="14896" xr3:uid="{636CA4F4-7A36-4672-891B-3AA66505E8EC}" name="Spalte14879"/>
    <tableColumn id="14897" xr3:uid="{0FA3CC12-2AD1-4500-A39B-78FCFF5D45D3}" name="Spalte14880"/>
    <tableColumn id="14898" xr3:uid="{54542D94-8A95-4205-8082-01D103590E4D}" name="Spalte14881"/>
    <tableColumn id="14899" xr3:uid="{F54D313E-ADBE-4A52-AD4F-A935511C9CCB}" name="Spalte14882"/>
    <tableColumn id="14900" xr3:uid="{A395BA1F-2E93-4BEF-96A5-F994B24FA25F}" name="Spalte14883"/>
    <tableColumn id="14901" xr3:uid="{5C2D4F88-5895-42FE-8D85-8D226F9329D5}" name="Spalte14884"/>
    <tableColumn id="14902" xr3:uid="{F555FCAC-8A5E-4656-8C97-4013FD6F6796}" name="Spalte14885"/>
    <tableColumn id="14903" xr3:uid="{D0CD8F59-B920-4EB5-A2DB-A29AA5F1A7B7}" name="Spalte14886"/>
    <tableColumn id="14904" xr3:uid="{9D4E6637-113C-4F96-A395-4CEC395F8CBB}" name="Spalte14887"/>
    <tableColumn id="14905" xr3:uid="{E48634C3-B439-4E81-BA62-460A01EC3BC3}" name="Spalte14888"/>
    <tableColumn id="14906" xr3:uid="{4DFCFC4E-A42E-4824-BFE7-5BD30CF1729F}" name="Spalte14889"/>
    <tableColumn id="14907" xr3:uid="{9FE7DFB9-A397-4287-BA90-96EADDC280F5}" name="Spalte14890"/>
    <tableColumn id="14908" xr3:uid="{A4271566-AE34-4D86-B7B9-EB8973ABB840}" name="Spalte14891"/>
    <tableColumn id="14909" xr3:uid="{4AA62A28-0C80-47DE-9E60-171308226FE8}" name="Spalte14892"/>
    <tableColumn id="14910" xr3:uid="{1D993357-04D5-444C-B3A6-F26E3912C9BF}" name="Spalte14893"/>
    <tableColumn id="14911" xr3:uid="{DBA77727-DE77-413F-8CB4-F40C047B4321}" name="Spalte14894"/>
    <tableColumn id="14912" xr3:uid="{9A40B1CD-957B-4DD9-AECC-727D7527DAAA}" name="Spalte14895"/>
    <tableColumn id="14913" xr3:uid="{73DA4403-18AF-4011-A537-2FA5DF097B75}" name="Spalte14896"/>
    <tableColumn id="14914" xr3:uid="{131C9C86-67F7-4E01-BFEC-6E95320E0C64}" name="Spalte14897"/>
    <tableColumn id="14915" xr3:uid="{A9AAAC25-0F5C-44D7-A826-A84DF8D1A20E}" name="Spalte14898"/>
    <tableColumn id="14916" xr3:uid="{E5DF3231-FA84-4761-B091-77984359B4C8}" name="Spalte14899"/>
    <tableColumn id="14917" xr3:uid="{4AABD11D-3F8E-4B9E-A9F0-2AE174A4F337}" name="Spalte14900"/>
    <tableColumn id="14918" xr3:uid="{5464E5BD-A9DB-45D0-890C-BE03BECDE2C5}" name="Spalte14901"/>
    <tableColumn id="14919" xr3:uid="{92267137-AD20-4752-B3A9-9877E56D45CD}" name="Spalte14902"/>
    <tableColumn id="14920" xr3:uid="{FCC3AADA-3B20-43F7-9CD3-A5CC8EB9FC78}" name="Spalte14903"/>
    <tableColumn id="14921" xr3:uid="{0B950183-2ABD-44A5-A299-C84FEE67C729}" name="Spalte14904"/>
    <tableColumn id="14922" xr3:uid="{ED1EE75B-D241-44CA-8347-4195782A636B}" name="Spalte14905"/>
    <tableColumn id="14923" xr3:uid="{1D4A3BDD-C1C8-498E-96E4-15E2ECB72313}" name="Spalte14906"/>
    <tableColumn id="14924" xr3:uid="{9C42BCC7-F477-4E10-84CB-D43953719C04}" name="Spalte14907"/>
    <tableColumn id="14925" xr3:uid="{E0DF0A22-35A5-409E-8076-CCBCFDA60F9B}" name="Spalte14908"/>
    <tableColumn id="14926" xr3:uid="{0326B48C-2D79-40C0-8AA2-D34DD1C0F20F}" name="Spalte14909"/>
    <tableColumn id="14927" xr3:uid="{C07DE91A-32C0-400C-BBF4-9F5964E68636}" name="Spalte14910"/>
    <tableColumn id="14928" xr3:uid="{23B7622D-BFAF-4BC3-A00B-A2AD8894625F}" name="Spalte14911"/>
    <tableColumn id="14929" xr3:uid="{256A88CB-C04C-4D9F-A0D2-CD83021F195D}" name="Spalte14912"/>
    <tableColumn id="14930" xr3:uid="{F85A1C7F-65D2-45BC-897B-8A2CA5204109}" name="Spalte14913"/>
    <tableColumn id="14931" xr3:uid="{809B99FF-47DF-4F96-AEC6-BA9ECFDF03DA}" name="Spalte14914"/>
    <tableColumn id="14932" xr3:uid="{FB2AA5E9-619E-4110-BB4E-84CD968ABD75}" name="Spalte14915"/>
    <tableColumn id="14933" xr3:uid="{57CE6983-97BE-4275-9F09-C254C16640E6}" name="Spalte14916"/>
    <tableColumn id="14934" xr3:uid="{37B596B9-FDBA-408A-9A80-16F7DABC3499}" name="Spalte14917"/>
    <tableColumn id="14935" xr3:uid="{D7ADF8A1-ED1F-4D8A-8D58-CECF2D95EB47}" name="Spalte14918"/>
    <tableColumn id="14936" xr3:uid="{F30336BA-5801-4E75-8987-367EC5996B8B}" name="Spalte14919"/>
    <tableColumn id="14937" xr3:uid="{19DE94D3-F394-418D-88AB-ADB10AA62231}" name="Spalte14920"/>
    <tableColumn id="14938" xr3:uid="{91FCDAEF-2708-42C2-AAA9-5159683ABA6C}" name="Spalte14921"/>
    <tableColumn id="14939" xr3:uid="{61A2A7DA-C9AB-4278-8B6D-75431FA828F0}" name="Spalte14922"/>
    <tableColumn id="14940" xr3:uid="{9FB78F8A-B090-4F85-B83B-ED0A4665D5BE}" name="Spalte14923"/>
    <tableColumn id="14941" xr3:uid="{D75D058B-CFB3-4F4F-8498-2BAB8D7D570E}" name="Spalte14924"/>
    <tableColumn id="14942" xr3:uid="{418286AF-EF80-4E19-BB96-F19E22CC7275}" name="Spalte14925"/>
    <tableColumn id="14943" xr3:uid="{C0A83996-6DCF-4AE2-A71B-F96EAA64C49D}" name="Spalte14926"/>
    <tableColumn id="14944" xr3:uid="{3758BAA4-EEE7-43F6-9BAB-A4D1D3515DA3}" name="Spalte14927"/>
    <tableColumn id="14945" xr3:uid="{CB786B50-B17B-40F1-91FE-43DF18995896}" name="Spalte14928"/>
    <tableColumn id="14946" xr3:uid="{EDD72CA0-CFF1-43FF-A4ED-E2FF00E29C57}" name="Spalte14929"/>
    <tableColumn id="14947" xr3:uid="{85D531E7-B9F1-49BA-B958-88BC3621C13B}" name="Spalte14930"/>
    <tableColumn id="14948" xr3:uid="{4BCF4831-41FB-42E1-8FC6-C6507181B15A}" name="Spalte14931"/>
    <tableColumn id="14949" xr3:uid="{E2FB994C-BE0C-4F0A-A251-0FE40E157ED6}" name="Spalte14932"/>
    <tableColumn id="14950" xr3:uid="{FB499D92-47EC-46A9-B2D8-BF68FB108725}" name="Spalte14933"/>
    <tableColumn id="14951" xr3:uid="{A7A6FDCF-E669-410D-8273-708B9806D404}" name="Spalte14934"/>
    <tableColumn id="14952" xr3:uid="{2029AC02-A116-4A6B-9CE0-FD404CB5BA5E}" name="Spalte14935"/>
    <tableColumn id="14953" xr3:uid="{FEEAA579-9AA8-41DF-9FE4-B0117D13BD63}" name="Spalte14936"/>
    <tableColumn id="14954" xr3:uid="{8F99740D-D527-4B13-95F2-63F9FB1CA76F}" name="Spalte14937"/>
    <tableColumn id="14955" xr3:uid="{733167A8-15C4-4F73-9E0C-5812EB8BCEAF}" name="Spalte14938"/>
    <tableColumn id="14956" xr3:uid="{B8A9FF15-81F6-4AE9-9B08-F15AF5073FCA}" name="Spalte14939"/>
    <tableColumn id="14957" xr3:uid="{700C5330-BBCF-4C13-80EF-808AF1929386}" name="Spalte14940"/>
    <tableColumn id="14958" xr3:uid="{DF2DAAF2-A59F-4952-B43E-AB82CEFBA123}" name="Spalte14941"/>
    <tableColumn id="14959" xr3:uid="{C6248DDD-66E1-4E4A-9ACE-93C4143096D7}" name="Spalte14942"/>
    <tableColumn id="14960" xr3:uid="{D3573BE0-02CF-418B-BA37-0EB85434922B}" name="Spalte14943"/>
    <tableColumn id="14961" xr3:uid="{B505A73C-715A-42C6-AC69-42358D4FFEB7}" name="Spalte14944"/>
    <tableColumn id="14962" xr3:uid="{7D442456-618A-4712-AB4D-3AF9D4CCEF92}" name="Spalte14945"/>
    <tableColumn id="14963" xr3:uid="{980F5982-6828-4E6B-809B-C8840B31BF48}" name="Spalte14946"/>
    <tableColumn id="14964" xr3:uid="{04154F39-04F6-4939-8B61-CD7236726C4D}" name="Spalte14947"/>
    <tableColumn id="14965" xr3:uid="{0F249923-7A56-4423-8A1C-CD57420A98B3}" name="Spalte14948"/>
    <tableColumn id="14966" xr3:uid="{1854365A-26CE-4A82-ADC8-95C398C91131}" name="Spalte14949"/>
    <tableColumn id="14967" xr3:uid="{9FEE435A-0B98-4202-9EA0-0288557BFA21}" name="Spalte14950"/>
    <tableColumn id="14968" xr3:uid="{71366DDC-1F50-4B63-98F6-5B4C026F251C}" name="Spalte14951"/>
    <tableColumn id="14969" xr3:uid="{92C1BBEF-BE2C-4A36-B3F8-50FBD99D4841}" name="Spalte14952"/>
    <tableColumn id="14970" xr3:uid="{36B274EF-5EDB-4857-91C5-89AC4B453D7F}" name="Spalte14953"/>
    <tableColumn id="14971" xr3:uid="{27D4FCB5-FB2F-4281-95DC-CEB981D0E20A}" name="Spalte14954"/>
    <tableColumn id="14972" xr3:uid="{98E26373-F75B-4007-85A5-4024854D9C59}" name="Spalte14955"/>
    <tableColumn id="14973" xr3:uid="{55F3CF2A-31BF-40BB-A275-1D642CC47E78}" name="Spalte14956"/>
    <tableColumn id="14974" xr3:uid="{FB30BCF2-46A8-4B6C-9126-0CD744507507}" name="Spalte14957"/>
    <tableColumn id="14975" xr3:uid="{8ACB0122-4922-458D-AEB5-A4BA6DDD33BB}" name="Spalte14958"/>
    <tableColumn id="14976" xr3:uid="{F071935B-E27E-4846-8CE2-27D4251CE0CC}" name="Spalte14959"/>
    <tableColumn id="14977" xr3:uid="{3457A021-DFF6-4272-B1AF-0105120BA857}" name="Spalte14960"/>
    <tableColumn id="14978" xr3:uid="{721B63C2-C3E1-4115-A275-5B5F0ACF91A0}" name="Spalte14961"/>
    <tableColumn id="14979" xr3:uid="{6F0BB3C5-80BD-491B-97A7-8120B0BD7F2A}" name="Spalte14962"/>
    <tableColumn id="14980" xr3:uid="{2570C04E-26E3-46F4-A7DF-52FEBD0E4185}" name="Spalte14963"/>
    <tableColumn id="14981" xr3:uid="{0DDFFE9D-6B5C-451A-9603-ED3821D542CA}" name="Spalte14964"/>
    <tableColumn id="14982" xr3:uid="{8A02F79C-B269-4AC6-974B-CED536A8D8F8}" name="Spalte14965"/>
    <tableColumn id="14983" xr3:uid="{0EA54ED6-A543-4B13-BD83-214BF07435B6}" name="Spalte14966"/>
    <tableColumn id="14984" xr3:uid="{246BAE65-7AF9-4E8D-85EA-673C8E866226}" name="Spalte14967"/>
    <tableColumn id="14985" xr3:uid="{B75A6FEC-1BD6-4178-ACB7-7E3BBBC18E81}" name="Spalte14968"/>
    <tableColumn id="14986" xr3:uid="{171E2AF3-1588-4922-919D-DAD19F336E39}" name="Spalte14969"/>
    <tableColumn id="14987" xr3:uid="{C8E1BEC5-E555-44A0-AC8F-53C3C6F57F30}" name="Spalte14970"/>
    <tableColumn id="14988" xr3:uid="{DBE8FDC0-4F55-45D1-BCCC-787BCCB3F9E0}" name="Spalte14971"/>
    <tableColumn id="14989" xr3:uid="{37BC587B-9C5D-4197-86D3-AAE1C847B57A}" name="Spalte14972"/>
    <tableColumn id="14990" xr3:uid="{61AE7E0C-CAD9-4FD3-969E-987EC160AF17}" name="Spalte14973"/>
    <tableColumn id="14991" xr3:uid="{3A68B9C7-9EB5-4EE0-BFC3-A37182DFA688}" name="Spalte14974"/>
    <tableColumn id="14992" xr3:uid="{F27802D0-A392-490A-A74D-EEAADD4009EF}" name="Spalte14975"/>
    <tableColumn id="14993" xr3:uid="{4F8CBBD1-F402-4385-895D-27EA59BBC3C0}" name="Spalte14976"/>
    <tableColumn id="14994" xr3:uid="{FB352A59-FB43-4976-8FBE-97D0A1F6F9FD}" name="Spalte14977"/>
    <tableColumn id="14995" xr3:uid="{CCEAB464-52A6-4DA0-A067-F26D37E3635F}" name="Spalte14978"/>
    <tableColumn id="14996" xr3:uid="{F1478D7E-9E86-45FE-B3AC-1AFDC671311A}" name="Spalte14979"/>
    <tableColumn id="14997" xr3:uid="{7C4D10E9-A03E-499A-9B41-1E9B83144539}" name="Spalte14980"/>
    <tableColumn id="14998" xr3:uid="{272C34A0-10C7-4FF6-A2A2-A412113DA9AE}" name="Spalte14981"/>
    <tableColumn id="14999" xr3:uid="{0B745AC0-A1C7-4704-AE53-3992D2BE520B}" name="Spalte14982"/>
    <tableColumn id="15000" xr3:uid="{24A530CA-DD98-4476-9607-DB30136D6AF5}" name="Spalte14983"/>
    <tableColumn id="15001" xr3:uid="{7BB6EFDC-CB3E-4C72-9EFB-629B23A9AF11}" name="Spalte14984"/>
    <tableColumn id="15002" xr3:uid="{2E623001-FEA9-40FF-AFB3-482702CB2BB8}" name="Spalte14985"/>
    <tableColumn id="15003" xr3:uid="{1524FAEC-6DA5-4F30-97D0-D083BBA8B88D}" name="Spalte14986"/>
    <tableColumn id="15004" xr3:uid="{E49DBAE9-F199-494E-B393-594B2D84BCEC}" name="Spalte14987"/>
    <tableColumn id="15005" xr3:uid="{90D7BF36-E1A4-44C7-83E9-592DC12D35F7}" name="Spalte14988"/>
    <tableColumn id="15006" xr3:uid="{D1E1072A-0350-476A-AF0F-79273504BB79}" name="Spalte14989"/>
    <tableColumn id="15007" xr3:uid="{C0BE3FCE-FE9B-49D0-9567-C568C9F2A32E}" name="Spalte14990"/>
    <tableColumn id="15008" xr3:uid="{0F42B08C-882D-4067-BAFF-DAE8949DE5DD}" name="Spalte14991"/>
    <tableColumn id="15009" xr3:uid="{9E860E35-FA64-42DD-BB74-A0955A778EDD}" name="Spalte14992"/>
    <tableColumn id="15010" xr3:uid="{710D1FFC-C5AC-48AC-9A1D-5D8E11FB8E7B}" name="Spalte14993"/>
    <tableColumn id="15011" xr3:uid="{84DBA9C8-1BF3-49B3-802C-C0F4597174D6}" name="Spalte14994"/>
    <tableColumn id="15012" xr3:uid="{A148A12E-5370-4705-BD72-7DA1746CF37F}" name="Spalte14995"/>
    <tableColumn id="15013" xr3:uid="{67244C6C-D786-40B8-B091-E1251B23C437}" name="Spalte14996"/>
    <tableColumn id="15014" xr3:uid="{69FB2A31-C618-43D0-ACC6-FD0287F741AC}" name="Spalte14997"/>
    <tableColumn id="15015" xr3:uid="{91C027C9-A1D9-4435-AA41-C5BBC395F5C0}" name="Spalte14998"/>
    <tableColumn id="15016" xr3:uid="{7F2E7E9E-251A-4852-85F8-1C2DDAE19458}" name="Spalte14999"/>
    <tableColumn id="15017" xr3:uid="{F381D768-D2F5-40FF-871B-3ADAB13D5FF5}" name="Spalte15000"/>
    <tableColumn id="15018" xr3:uid="{EB5CAD6F-AE2B-4D7D-A615-E5BF686F6EDB}" name="Spalte15001"/>
    <tableColumn id="15019" xr3:uid="{F8C4A44D-CB2F-486C-8913-65A97229980A}" name="Spalte15002"/>
    <tableColumn id="15020" xr3:uid="{4760F6F5-410C-416B-8D28-7E95C127446D}" name="Spalte15003"/>
    <tableColumn id="15021" xr3:uid="{3631E757-C783-424E-AD9A-655C2047BD03}" name="Spalte15004"/>
    <tableColumn id="15022" xr3:uid="{7B979D37-11C8-4DA6-B3C4-264FBD718F70}" name="Spalte15005"/>
    <tableColumn id="15023" xr3:uid="{78235D79-EF65-4B35-B9B1-49EA3515B64B}" name="Spalte15006"/>
    <tableColumn id="15024" xr3:uid="{0AEA904B-95D3-4A62-B179-86DECA7D3994}" name="Spalte15007"/>
    <tableColumn id="15025" xr3:uid="{5B6E6001-E5B4-4ABF-A31A-90AA98E6F321}" name="Spalte15008"/>
    <tableColumn id="15026" xr3:uid="{80F10794-1F1A-4E00-AA9F-DAD22466B4FD}" name="Spalte15009"/>
    <tableColumn id="15027" xr3:uid="{A3906C2F-3CAA-48AC-8CCF-C7BC89C9903B}" name="Spalte15010"/>
    <tableColumn id="15028" xr3:uid="{1E28CD41-276B-4BFC-95F1-26A4395589DA}" name="Spalte15011"/>
    <tableColumn id="15029" xr3:uid="{CA3C0EFE-5AA2-4162-8525-0F6DEC1B44F1}" name="Spalte15012"/>
    <tableColumn id="15030" xr3:uid="{D73A01C0-40E8-47C6-A64D-7B4183555B42}" name="Spalte15013"/>
    <tableColumn id="15031" xr3:uid="{08E0660F-C853-48DD-B19F-C76E4B4F57CF}" name="Spalte15014"/>
    <tableColumn id="15032" xr3:uid="{76B2225B-9589-41DE-9BA8-ED62E055B126}" name="Spalte15015"/>
    <tableColumn id="15033" xr3:uid="{42CE9874-388E-463D-998B-2B3ACF2F25C8}" name="Spalte15016"/>
    <tableColumn id="15034" xr3:uid="{13655FC3-CDEC-4EF1-B695-DE0F40E05D7F}" name="Spalte15017"/>
    <tableColumn id="15035" xr3:uid="{D39C7455-346D-4F79-8045-849891B87E83}" name="Spalte15018"/>
    <tableColumn id="15036" xr3:uid="{269742C5-1AF1-4A46-99D9-3899264184DB}" name="Spalte15019"/>
    <tableColumn id="15037" xr3:uid="{D1546A62-DCFB-4021-B9D4-9E1B9386B230}" name="Spalte15020"/>
    <tableColumn id="15038" xr3:uid="{41112049-47BC-48F3-8114-C1F3A8184D6B}" name="Spalte15021"/>
    <tableColumn id="15039" xr3:uid="{1DB8D20F-3725-4992-AE6B-49A6C2D36659}" name="Spalte15022"/>
    <tableColumn id="15040" xr3:uid="{5F31F725-902C-496A-B83E-99DA90776C28}" name="Spalte15023"/>
    <tableColumn id="15041" xr3:uid="{151A2499-3DD2-4303-9040-B81C8B10527B}" name="Spalte15024"/>
    <tableColumn id="15042" xr3:uid="{52F59A9E-A033-47AC-9727-4CC9247BCE0E}" name="Spalte15025"/>
    <tableColumn id="15043" xr3:uid="{B08C388C-0DBE-4752-808A-93D82E99F262}" name="Spalte15026"/>
    <tableColumn id="15044" xr3:uid="{F7F8CDE4-6E03-47C9-9B0E-8C6CC69068FC}" name="Spalte15027"/>
    <tableColumn id="15045" xr3:uid="{AE5DC204-8B87-4DDC-8F3A-19D484C378BA}" name="Spalte15028"/>
    <tableColumn id="15046" xr3:uid="{172A3463-1293-46FA-93C5-99796A768A16}" name="Spalte15029"/>
    <tableColumn id="15047" xr3:uid="{DF76E74F-8F61-4959-8B95-04EF0BE29255}" name="Spalte15030"/>
    <tableColumn id="15048" xr3:uid="{7B4A7A49-F9DC-4F29-B6CA-AF1FA94A57AF}" name="Spalte15031"/>
    <tableColumn id="15049" xr3:uid="{AECCEF84-7EDA-4439-8FA3-64DC13E59300}" name="Spalte15032"/>
    <tableColumn id="15050" xr3:uid="{A34FB9D4-3824-4C6B-ADDA-C550906903B0}" name="Spalte15033"/>
    <tableColumn id="15051" xr3:uid="{83F4BF1C-57D7-49AA-8E5C-59F3D3B83BCC}" name="Spalte15034"/>
    <tableColumn id="15052" xr3:uid="{F6027BFF-7168-498C-97DA-5D3DEF65CA8B}" name="Spalte15035"/>
    <tableColumn id="15053" xr3:uid="{3276DF4C-B15E-4E9A-93D2-1BA8E0F32198}" name="Spalte15036"/>
    <tableColumn id="15054" xr3:uid="{CD54A4CC-ABD1-4002-9C6E-B985DEF26B0A}" name="Spalte15037"/>
    <tableColumn id="15055" xr3:uid="{75142F2F-9C74-45CB-8338-AE13507EA978}" name="Spalte15038"/>
    <tableColumn id="15056" xr3:uid="{B8F6DE25-5660-4B44-9BAA-D2B8BA79E30B}" name="Spalte15039"/>
    <tableColumn id="15057" xr3:uid="{200CC928-99BB-4702-979B-FD334556A088}" name="Spalte15040"/>
    <tableColumn id="15058" xr3:uid="{A87E87D8-F4C1-4507-B443-6A874DF9FB6F}" name="Spalte15041"/>
    <tableColumn id="15059" xr3:uid="{1F73BAEC-5D36-4E80-B65D-8DBB2620AF7D}" name="Spalte15042"/>
    <tableColumn id="15060" xr3:uid="{89D9567D-A410-42D6-B6F8-F9E83159BD07}" name="Spalte15043"/>
    <tableColumn id="15061" xr3:uid="{C64B8EE5-4A8A-4E42-8520-42B2A96169A2}" name="Spalte15044"/>
    <tableColumn id="15062" xr3:uid="{C743F257-E640-483C-9A93-9B032DFC5827}" name="Spalte15045"/>
    <tableColumn id="15063" xr3:uid="{2E1025FF-A17F-4610-A127-1CE0942097AC}" name="Spalte15046"/>
    <tableColumn id="15064" xr3:uid="{BAB9FD67-8DA9-4F73-BB8C-9D99AAF9AFF5}" name="Spalte15047"/>
    <tableColumn id="15065" xr3:uid="{6E246D3D-DB73-4120-B438-D81591CA5C3D}" name="Spalte15048"/>
    <tableColumn id="15066" xr3:uid="{F8E37BFF-58D0-4A0D-B162-304AB70C7C22}" name="Spalte15049"/>
    <tableColumn id="15067" xr3:uid="{1D294EEC-D14C-4427-8C2C-B9A496DDBCB4}" name="Spalte15050"/>
    <tableColumn id="15068" xr3:uid="{D6AB5701-3A36-4259-8E32-F1BDBDB79832}" name="Spalte15051"/>
    <tableColumn id="15069" xr3:uid="{F74E05C4-AA6E-40A1-8E81-4B2E49132142}" name="Spalte15052"/>
    <tableColumn id="15070" xr3:uid="{A5C0CEA6-3664-4D7E-B8E5-135BC1AA5715}" name="Spalte15053"/>
    <tableColumn id="15071" xr3:uid="{18556266-F629-4B9E-9CFA-20B4D2EC7552}" name="Spalte15054"/>
    <tableColumn id="15072" xr3:uid="{04412D2E-C9C4-4BA8-A70C-EAEAFF2BEFDB}" name="Spalte15055"/>
    <tableColumn id="15073" xr3:uid="{D30B6BE8-738D-42A7-BA7A-DD0036E5ED2F}" name="Spalte15056"/>
    <tableColumn id="15074" xr3:uid="{9908ABA5-F070-4DF9-9182-78B47A0909EB}" name="Spalte15057"/>
    <tableColumn id="15075" xr3:uid="{83935FCD-B7B8-4ACE-9272-EEB1AD2848C6}" name="Spalte15058"/>
    <tableColumn id="15076" xr3:uid="{7A4353E3-865D-41E8-BC1C-D49CC8B26224}" name="Spalte15059"/>
    <tableColumn id="15077" xr3:uid="{908527C2-2CB4-4AA9-9C75-92B2A0199E0D}" name="Spalte15060"/>
    <tableColumn id="15078" xr3:uid="{39E27D16-9030-4E0A-9540-A0EB9BE6CA1C}" name="Spalte15061"/>
    <tableColumn id="15079" xr3:uid="{8013E030-7C2A-46B2-9B69-AD7488A2E2FE}" name="Spalte15062"/>
    <tableColumn id="15080" xr3:uid="{99F8B638-9BC2-4415-BAC3-ED49C513DA7E}" name="Spalte15063"/>
    <tableColumn id="15081" xr3:uid="{2D866363-E985-4676-A3D1-C92DC18CB627}" name="Spalte15064"/>
    <tableColumn id="15082" xr3:uid="{36256C2A-B24B-478C-B2D6-4437AE9ECA02}" name="Spalte15065"/>
    <tableColumn id="15083" xr3:uid="{304A7E19-A43B-4DCF-9743-0B2251C6504A}" name="Spalte15066"/>
    <tableColumn id="15084" xr3:uid="{6366C79A-8680-4716-8350-D5D01DB9FDB5}" name="Spalte15067"/>
    <tableColumn id="15085" xr3:uid="{7D650F57-1546-405E-B0FE-B31F66A7CC22}" name="Spalte15068"/>
    <tableColumn id="15086" xr3:uid="{01D1EA1C-C914-4C36-B607-A7D975111014}" name="Spalte15069"/>
    <tableColumn id="15087" xr3:uid="{61D58666-6B16-4CF8-A333-AC9D710F8DA1}" name="Spalte15070"/>
    <tableColumn id="15088" xr3:uid="{0B4A2BD2-3D79-454A-A9BB-7B0F048F8D50}" name="Spalte15071"/>
    <tableColumn id="15089" xr3:uid="{C6549D08-FD0F-4D7F-BDEA-DC3C1D54C2B4}" name="Spalte15072"/>
    <tableColumn id="15090" xr3:uid="{2BE1CEA3-9554-4491-A93D-844D1EE9F158}" name="Spalte15073"/>
    <tableColumn id="15091" xr3:uid="{CA6DF29E-942E-4B8F-A1B3-DA28BD7A8449}" name="Spalte15074"/>
    <tableColumn id="15092" xr3:uid="{0F18A5D4-78FB-45C3-B0A1-C5BD9369537E}" name="Spalte15075"/>
    <tableColumn id="15093" xr3:uid="{8C741D76-397A-448C-B723-38633329CEA1}" name="Spalte15076"/>
    <tableColumn id="15094" xr3:uid="{B8DDAE8C-9A1E-4C5B-B461-1187151A5CEA}" name="Spalte15077"/>
    <tableColumn id="15095" xr3:uid="{D3165CC8-8753-4679-9A27-62CFE6BBE0F9}" name="Spalte15078"/>
    <tableColumn id="15096" xr3:uid="{3029C1FF-FA8D-4601-9898-2DC9E9943501}" name="Spalte15079"/>
    <tableColumn id="15097" xr3:uid="{8FB98535-9373-4E21-98BE-DFC12B084A26}" name="Spalte15080"/>
    <tableColumn id="15098" xr3:uid="{9C484F6F-91BC-4B5E-AA83-B33C64A88BE2}" name="Spalte15081"/>
    <tableColumn id="15099" xr3:uid="{A07E1D3F-047A-4DBD-BD6B-1708B5270D2C}" name="Spalte15082"/>
    <tableColumn id="15100" xr3:uid="{7D41B8FE-1214-4E62-90EE-E6F944FCA1B9}" name="Spalte15083"/>
    <tableColumn id="15101" xr3:uid="{E7EAE973-6B96-4450-9450-607CE5141B25}" name="Spalte15084"/>
    <tableColumn id="15102" xr3:uid="{22C68D6C-C708-4E59-9774-EC3F816A8724}" name="Spalte15085"/>
    <tableColumn id="15103" xr3:uid="{19F94E28-B386-4054-BF2A-65E27264BB92}" name="Spalte15086"/>
    <tableColumn id="15104" xr3:uid="{5C382A45-0C91-4506-B82D-76A3DDF3B811}" name="Spalte15087"/>
    <tableColumn id="15105" xr3:uid="{2FD823DB-5575-4226-BBAE-8D1F6BD20289}" name="Spalte15088"/>
    <tableColumn id="15106" xr3:uid="{BAF6D6F0-D547-4F1E-BE1A-6FC6AA131EEF}" name="Spalte15089"/>
    <tableColumn id="15107" xr3:uid="{CFCE08F0-E429-41EF-9786-F9D99CEB98F3}" name="Spalte15090"/>
    <tableColumn id="15108" xr3:uid="{B610FC32-3A62-4AC2-9BAD-5F84E66EF5D4}" name="Spalte15091"/>
    <tableColumn id="15109" xr3:uid="{555BAA57-5A3B-43FE-B9C8-6D627BBE937D}" name="Spalte15092"/>
    <tableColumn id="15110" xr3:uid="{8861B6EB-F897-444A-B081-52AC936F9A53}" name="Spalte15093"/>
    <tableColumn id="15111" xr3:uid="{149C64D9-FC45-4E32-A976-D527BFE1EBA7}" name="Spalte15094"/>
    <tableColumn id="15112" xr3:uid="{4EBB28CD-CE4C-400F-8DBE-B401FDE3B687}" name="Spalte15095"/>
    <tableColumn id="15113" xr3:uid="{442DAF29-56B3-406A-A176-DD8BCAEB7574}" name="Spalte15096"/>
    <tableColumn id="15114" xr3:uid="{2D073AA6-36BF-4584-A2DC-32926DA767B2}" name="Spalte15097"/>
    <tableColumn id="15115" xr3:uid="{172C61E2-EC3A-4C04-979F-51BFCC2E7850}" name="Spalte15098"/>
    <tableColumn id="15116" xr3:uid="{41341986-5132-4AF4-A9BA-0884668DCEE8}" name="Spalte15099"/>
    <tableColumn id="15117" xr3:uid="{C3396C81-7064-4AF2-A099-D033007CAF82}" name="Spalte15100"/>
    <tableColumn id="15118" xr3:uid="{F2B51937-9C6A-45E3-879D-CCF20205E733}" name="Spalte15101"/>
    <tableColumn id="15119" xr3:uid="{D61C0848-EFE9-49A0-85AD-68E9DD981AE7}" name="Spalte15102"/>
    <tableColumn id="15120" xr3:uid="{A7BFCBC4-B8DB-480A-A4A9-CC3C7976EFA3}" name="Spalte15103"/>
    <tableColumn id="15121" xr3:uid="{C74E4237-A580-413E-82F9-9C7478A62D1B}" name="Spalte15104"/>
    <tableColumn id="15122" xr3:uid="{361364AC-4655-484A-BBCF-38A4FD9802BA}" name="Spalte15105"/>
    <tableColumn id="15123" xr3:uid="{E2F771EE-E3DC-44EB-828E-878C8B05DA2D}" name="Spalte15106"/>
    <tableColumn id="15124" xr3:uid="{FAF71410-ED3B-41AF-ADCD-5729C94CF17C}" name="Spalte15107"/>
    <tableColumn id="15125" xr3:uid="{E0829B9E-ED67-49AD-8BEB-4EFCB7309ACA}" name="Spalte15108"/>
    <tableColumn id="15126" xr3:uid="{FEB9D97A-9A1E-440D-A1B1-009BF17F8267}" name="Spalte15109"/>
    <tableColumn id="15127" xr3:uid="{23FDEA1C-602B-4E06-950D-219B28D9319A}" name="Spalte15110"/>
    <tableColumn id="15128" xr3:uid="{C6864936-F22E-42D7-B825-5293D307E00B}" name="Spalte15111"/>
    <tableColumn id="15129" xr3:uid="{3140FE7F-FBE9-4F16-93C5-5748B93BF50F}" name="Spalte15112"/>
    <tableColumn id="15130" xr3:uid="{A6B63A0E-BB19-4845-9538-BA9286E710D2}" name="Spalte15113"/>
    <tableColumn id="15131" xr3:uid="{85371281-DD17-4705-9619-B06224DC6BA6}" name="Spalte15114"/>
    <tableColumn id="15132" xr3:uid="{2316B50C-53EA-43BB-BA9D-356DA1035560}" name="Spalte15115"/>
    <tableColumn id="15133" xr3:uid="{2ED1B7C3-F679-4B6D-A3A1-91F7216B7DBE}" name="Spalte15116"/>
    <tableColumn id="15134" xr3:uid="{C485CB92-D7C9-4AF1-83BE-C6CA3E27272B}" name="Spalte15117"/>
    <tableColumn id="15135" xr3:uid="{EBDE93AC-1135-4B4D-974B-9BD4C8B1C473}" name="Spalte15118"/>
    <tableColumn id="15136" xr3:uid="{FCAFF2E3-CA87-4D44-814A-C9EA514B0E45}" name="Spalte15119"/>
    <tableColumn id="15137" xr3:uid="{9F3AA786-8B5A-4232-B8D6-95B7AE8595D5}" name="Spalte15120"/>
    <tableColumn id="15138" xr3:uid="{6AC6A51B-25DA-40B6-8DB4-46C9C9184614}" name="Spalte15121"/>
    <tableColumn id="15139" xr3:uid="{BEEAED60-7F45-4669-A1F7-555A93F83ADE}" name="Spalte15122"/>
    <tableColumn id="15140" xr3:uid="{11882E49-181A-417C-92F4-57BB8182E7D7}" name="Spalte15123"/>
    <tableColumn id="15141" xr3:uid="{7230E0DF-68A6-409E-A488-F00DAB8792E3}" name="Spalte15124"/>
    <tableColumn id="15142" xr3:uid="{9ACDB379-7055-4583-A5E7-902920360878}" name="Spalte15125"/>
    <tableColumn id="15143" xr3:uid="{0334453C-CEA3-45AE-9C53-AE9F394DCA46}" name="Spalte15126"/>
    <tableColumn id="15144" xr3:uid="{9DA895E3-DE9C-41C3-930A-614EE26F5069}" name="Spalte15127"/>
    <tableColumn id="15145" xr3:uid="{EA316A68-E048-4F10-95F3-D8E0C6A64400}" name="Spalte15128"/>
    <tableColumn id="15146" xr3:uid="{97E54011-F628-4556-AA91-288874E0C034}" name="Spalte15129"/>
    <tableColumn id="15147" xr3:uid="{2634B616-359A-42C1-9219-A21069ED5970}" name="Spalte15130"/>
    <tableColumn id="15148" xr3:uid="{5325D1A0-C658-48C2-92A7-74A9EF3AE97C}" name="Spalte15131"/>
    <tableColumn id="15149" xr3:uid="{8505C892-483C-4028-8BCF-7D2D23E6C8D9}" name="Spalte15132"/>
    <tableColumn id="15150" xr3:uid="{083ED63F-5002-413F-BD9A-A37E4F189C90}" name="Spalte15133"/>
    <tableColumn id="15151" xr3:uid="{BC36AE6D-6445-46E3-B228-EE52BF3D712E}" name="Spalte15134"/>
    <tableColumn id="15152" xr3:uid="{DE9F7DB3-FFF8-4521-A28B-2AB5C7F6AC1A}" name="Spalte15135"/>
    <tableColumn id="15153" xr3:uid="{882FCD67-5352-46EC-8E66-93BC479AEDE4}" name="Spalte15136"/>
    <tableColumn id="15154" xr3:uid="{DC83C788-23A3-4203-95AE-68796D380ADA}" name="Spalte15137"/>
    <tableColumn id="15155" xr3:uid="{3A43B6F5-8B58-4CF0-9D59-0DC51A5F3FFE}" name="Spalte15138"/>
    <tableColumn id="15156" xr3:uid="{C3B5059E-385D-4303-86C7-85D7CC23BC14}" name="Spalte15139"/>
    <tableColumn id="15157" xr3:uid="{CBA80991-C0F5-40B8-9C1A-DAB816B1A999}" name="Spalte15140"/>
    <tableColumn id="15158" xr3:uid="{29D2FD62-6309-491D-A8FD-17F1A647081C}" name="Spalte15141"/>
    <tableColumn id="15159" xr3:uid="{9A1FF28C-CDB9-4016-B335-B05F7C7360B5}" name="Spalte15142"/>
    <tableColumn id="15160" xr3:uid="{A9F018FF-AC8B-49BC-98AB-50C5841C8CD3}" name="Spalte15143"/>
    <tableColumn id="15161" xr3:uid="{91A91FBE-D527-4D8C-88C4-8B44DCB8578A}" name="Spalte15144"/>
    <tableColumn id="15162" xr3:uid="{9D6B3992-8704-4EFF-983A-25BBAB13B1F4}" name="Spalte15145"/>
    <tableColumn id="15163" xr3:uid="{EB1B96FC-3EE1-41C5-A592-389100BE5019}" name="Spalte15146"/>
    <tableColumn id="15164" xr3:uid="{1F0B146A-5508-43F1-999F-4ED4747C6B9E}" name="Spalte15147"/>
    <tableColumn id="15165" xr3:uid="{37F3A1BD-28F5-4AB7-A266-279954403BC4}" name="Spalte15148"/>
    <tableColumn id="15166" xr3:uid="{7205FE89-49F0-4D0D-9F42-7EC2624A794E}" name="Spalte15149"/>
    <tableColumn id="15167" xr3:uid="{B66B1151-5224-411F-9D58-8A517490EE60}" name="Spalte15150"/>
    <tableColumn id="15168" xr3:uid="{3A1B8EC6-3A48-4CEC-A934-86897BCF9331}" name="Spalte15151"/>
    <tableColumn id="15169" xr3:uid="{6B34F72A-B7AD-4178-995F-115D4CAF315C}" name="Spalte15152"/>
    <tableColumn id="15170" xr3:uid="{35302835-003D-44C8-950E-0E84F2DAA948}" name="Spalte15153"/>
    <tableColumn id="15171" xr3:uid="{0FE62577-DCA7-4BE8-A974-56788D84A765}" name="Spalte15154"/>
    <tableColumn id="15172" xr3:uid="{1F113127-8ABA-4D94-8609-0694635D266C}" name="Spalte15155"/>
    <tableColumn id="15173" xr3:uid="{970E0494-80B4-4067-970F-09E6CA94E084}" name="Spalte15156"/>
    <tableColumn id="15174" xr3:uid="{BC74AEF1-D870-4D42-B4EE-EAA5D849FFD6}" name="Spalte15157"/>
    <tableColumn id="15175" xr3:uid="{505D3539-3E6A-47A6-85AF-3330C6367F28}" name="Spalte15158"/>
    <tableColumn id="15176" xr3:uid="{CA5258BE-F087-4796-A4E0-0EB31B0C624F}" name="Spalte15159"/>
    <tableColumn id="15177" xr3:uid="{BCBDB15D-18A6-4C1E-9145-38F96192A217}" name="Spalte15160"/>
    <tableColumn id="15178" xr3:uid="{1E7BEEEA-EC3B-4FB9-877C-55ABC0692D6D}" name="Spalte15161"/>
    <tableColumn id="15179" xr3:uid="{8477DC76-2082-4FDD-BF66-70D1E58830F4}" name="Spalte15162"/>
    <tableColumn id="15180" xr3:uid="{94A3C748-AE6F-4600-A386-219A1D6028DC}" name="Spalte15163"/>
    <tableColumn id="15181" xr3:uid="{4DF489E0-AB70-4EB5-95A3-A283BA61AB5A}" name="Spalte15164"/>
    <tableColumn id="15182" xr3:uid="{76783772-AB15-4B30-9F39-8954BE5DCB74}" name="Spalte15165"/>
    <tableColumn id="15183" xr3:uid="{94C273A8-8006-442E-8DF5-64297733D00C}" name="Spalte15166"/>
    <tableColumn id="15184" xr3:uid="{4D55F4E9-8A9A-4AC8-B43D-C9B853A15923}" name="Spalte15167"/>
    <tableColumn id="15185" xr3:uid="{DE52E77A-14D7-479A-90C2-3AFEE57764B1}" name="Spalte15168"/>
    <tableColumn id="15186" xr3:uid="{986D1C3F-EE6C-4FCD-B86C-D9F1877E38F5}" name="Spalte15169"/>
    <tableColumn id="15187" xr3:uid="{4E3478D6-E7BB-46B5-BADC-1A50C1DC3EAD}" name="Spalte15170"/>
    <tableColumn id="15188" xr3:uid="{0D246265-7DCF-45AF-8DE0-D720C89DC594}" name="Spalte15171"/>
    <tableColumn id="15189" xr3:uid="{047034E6-05C2-4C49-BE98-F307C7567A58}" name="Spalte15172"/>
    <tableColumn id="15190" xr3:uid="{A7D21630-AE70-4363-94A7-B353876FF909}" name="Spalte15173"/>
    <tableColumn id="15191" xr3:uid="{1848DF21-EC6E-4A15-9036-A2D380A4551A}" name="Spalte15174"/>
    <tableColumn id="15192" xr3:uid="{5E4ABC08-9626-46D3-9E83-EDEB3CD93C19}" name="Spalte15175"/>
    <tableColumn id="15193" xr3:uid="{835BA2BA-574E-4EDA-A1BC-00715AB0E294}" name="Spalte15176"/>
    <tableColumn id="15194" xr3:uid="{53AAD204-CDCB-4637-970A-02A60C44072A}" name="Spalte15177"/>
    <tableColumn id="15195" xr3:uid="{95C95A0D-25AB-41A3-A943-68F065D19D17}" name="Spalte15178"/>
    <tableColumn id="15196" xr3:uid="{A5B18DE3-8646-45F7-B9C4-F4CC264C1675}" name="Spalte15179"/>
    <tableColumn id="15197" xr3:uid="{0B71575A-E87A-4E44-A5F2-0CEFB59AED39}" name="Spalte15180"/>
    <tableColumn id="15198" xr3:uid="{58ECF9EA-2A2E-4BF2-A0D0-1177FECB7F67}" name="Spalte15181"/>
    <tableColumn id="15199" xr3:uid="{AC7D6D63-EB1A-406A-96EF-23B0C9120FD4}" name="Spalte15182"/>
    <tableColumn id="15200" xr3:uid="{1DBAF714-41B7-4DC1-8FC4-FA2AC1168983}" name="Spalte15183"/>
    <tableColumn id="15201" xr3:uid="{0E62F0AA-739C-4448-BA52-65BFA2DC393C}" name="Spalte15184"/>
    <tableColumn id="15202" xr3:uid="{6227BAB3-9A53-49C7-9BA8-2A28D5B677CA}" name="Spalte15185"/>
    <tableColumn id="15203" xr3:uid="{5B9AAFF4-7D5A-45A5-942C-30B46F3654FA}" name="Spalte15186"/>
    <tableColumn id="15204" xr3:uid="{1FE289A1-ADE6-4ACE-B51A-B670DE41B870}" name="Spalte15187"/>
    <tableColumn id="15205" xr3:uid="{308A6699-D112-4779-A9B3-0D9055A62AF7}" name="Spalte15188"/>
    <tableColumn id="15206" xr3:uid="{EBB8B506-BC37-49DD-81FB-389702FCA384}" name="Spalte15189"/>
    <tableColumn id="15207" xr3:uid="{027134CF-81A6-434C-89E6-FAD72CB62F72}" name="Spalte15190"/>
    <tableColumn id="15208" xr3:uid="{C7C8A074-9308-44DB-A61F-9CEBEE97F25D}" name="Spalte15191"/>
    <tableColumn id="15209" xr3:uid="{F260A059-CD9E-4FB1-9A91-FC95598FB04B}" name="Spalte15192"/>
    <tableColumn id="15210" xr3:uid="{EA2812CA-AECA-4558-8522-D400B81F909C}" name="Spalte15193"/>
    <tableColumn id="15211" xr3:uid="{F97452D4-CD92-4E47-B46E-FFEA0739E7D1}" name="Spalte15194"/>
    <tableColumn id="15212" xr3:uid="{F43B375B-16D8-49E4-947D-79D54B18FC4B}" name="Spalte15195"/>
    <tableColumn id="15213" xr3:uid="{FA1979D7-7D2E-4F0E-B1E1-E9AA8137E600}" name="Spalte15196"/>
    <tableColumn id="15214" xr3:uid="{DAEB8008-EA3F-4C90-BDBC-2E660DFCAD97}" name="Spalte15197"/>
    <tableColumn id="15215" xr3:uid="{25DA513E-311C-4E0B-9C64-CF8F9830A324}" name="Spalte15198"/>
    <tableColumn id="15216" xr3:uid="{D8DF865F-9175-49D5-9034-D2411CF59A3F}" name="Spalte15199"/>
    <tableColumn id="15217" xr3:uid="{AC2B1E54-B1A2-4FA9-8F02-E32F3F47CD2D}" name="Spalte15200"/>
    <tableColumn id="15218" xr3:uid="{C20E6578-32C2-4506-BE05-1DC71F34E19F}" name="Spalte15201"/>
    <tableColumn id="15219" xr3:uid="{7BFE0F12-4266-4DBE-B727-138D96D562D6}" name="Spalte15202"/>
    <tableColumn id="15220" xr3:uid="{CE8B323F-75B0-4D13-A8DB-9380192D4C7B}" name="Spalte15203"/>
    <tableColumn id="15221" xr3:uid="{E5B28056-F1D3-4C63-8A23-9F037ECCC4B3}" name="Spalte15204"/>
    <tableColumn id="15222" xr3:uid="{3F738DBC-0556-4C75-B6D0-4419AE5B26BE}" name="Spalte15205"/>
    <tableColumn id="15223" xr3:uid="{7B7A6EA6-2DA8-4305-ACB6-1B9AD1244719}" name="Spalte15206"/>
    <tableColumn id="15224" xr3:uid="{C4D03C71-E548-47E0-8501-D32DA3EB75B9}" name="Spalte15207"/>
    <tableColumn id="15225" xr3:uid="{BD34BAAE-0A2E-4FD5-B61A-9DA6C0B8C2C2}" name="Spalte15208"/>
    <tableColumn id="15226" xr3:uid="{3A5D2E24-0C49-4920-A40C-43AF2F1B78C1}" name="Spalte15209"/>
    <tableColumn id="15227" xr3:uid="{0887BFB3-C586-4D10-AE7F-3039443B3E75}" name="Spalte15210"/>
    <tableColumn id="15228" xr3:uid="{19BE2823-9BF1-4CF6-B595-1D072EE3D126}" name="Spalte15211"/>
    <tableColumn id="15229" xr3:uid="{616BB25B-5C2D-4036-80ED-D72FDE861326}" name="Spalte15212"/>
    <tableColumn id="15230" xr3:uid="{234D2AD5-3300-4DB5-9EE7-2ACA80B24FCF}" name="Spalte15213"/>
    <tableColumn id="15231" xr3:uid="{70BC4401-EE07-4056-8021-E058884C4E0C}" name="Spalte15214"/>
    <tableColumn id="15232" xr3:uid="{50D709F9-17A5-4DC0-A19E-969F95F25B3A}" name="Spalte15215"/>
    <tableColumn id="15233" xr3:uid="{4385BE82-6953-4EDB-B5CF-800A03E7B877}" name="Spalte15216"/>
    <tableColumn id="15234" xr3:uid="{FF4F64EB-7F9D-4CCE-B8BC-03CE2B764337}" name="Spalte15217"/>
    <tableColumn id="15235" xr3:uid="{5A34855F-90E5-4FA4-B435-704C968EB282}" name="Spalte15218"/>
    <tableColumn id="15236" xr3:uid="{E5162C77-AB59-4500-8601-AB6E0F3CB959}" name="Spalte15219"/>
    <tableColumn id="15237" xr3:uid="{63E243F6-1D92-43AA-86A2-5F5ABABABF82}" name="Spalte15220"/>
    <tableColumn id="15238" xr3:uid="{4CF7C720-DF97-4AE4-A091-8695A8274038}" name="Spalte15221"/>
    <tableColumn id="15239" xr3:uid="{4EAF6F42-C187-4DA9-BF0D-CFBF50C7260E}" name="Spalte15222"/>
    <tableColumn id="15240" xr3:uid="{85D8FFA0-07A3-4D52-9A09-443AE6250040}" name="Spalte15223"/>
    <tableColumn id="15241" xr3:uid="{BAA7EB19-EB98-45CF-B41E-762162458A8A}" name="Spalte15224"/>
    <tableColumn id="15242" xr3:uid="{47416C98-0DB1-4489-AF85-95AA7747E916}" name="Spalte15225"/>
    <tableColumn id="15243" xr3:uid="{59CEA001-9417-43A9-BB03-88BF44231688}" name="Spalte15226"/>
    <tableColumn id="15244" xr3:uid="{0EDE58E2-6257-49C6-9710-2F4283F4CEBB}" name="Spalte15227"/>
    <tableColumn id="15245" xr3:uid="{DE936853-8D9A-4606-BB66-C3BC2DBA9716}" name="Spalte15228"/>
    <tableColumn id="15246" xr3:uid="{8712F61E-FD75-42C0-851A-2CB289375EB3}" name="Spalte15229"/>
    <tableColumn id="15247" xr3:uid="{C9927317-3081-409E-B6DB-477B099B64C4}" name="Spalte15230"/>
    <tableColumn id="15248" xr3:uid="{8E2EC7F7-12C0-4094-B67A-BC8805CF12AD}" name="Spalte15231"/>
    <tableColumn id="15249" xr3:uid="{9B65F536-D07A-4DB9-8824-A183DEBCF37A}" name="Spalte15232"/>
    <tableColumn id="15250" xr3:uid="{BC005DE8-9B19-4BD9-B36C-BB2A0ED327AC}" name="Spalte15233"/>
    <tableColumn id="15251" xr3:uid="{163C0D1A-A679-48E5-85EC-CDE616C7D7A9}" name="Spalte15234"/>
    <tableColumn id="15252" xr3:uid="{9A8F2121-487B-483C-8942-E254B2A0A2CE}" name="Spalte15235"/>
    <tableColumn id="15253" xr3:uid="{FCD85FD5-53AC-402C-980D-756BFCBA14EF}" name="Spalte15236"/>
    <tableColumn id="15254" xr3:uid="{3E916F5B-BCF7-4121-BC78-88052DB02F7D}" name="Spalte15237"/>
    <tableColumn id="15255" xr3:uid="{2E681A9C-4223-45C8-8AC6-B0415E2648D0}" name="Spalte15238"/>
    <tableColumn id="15256" xr3:uid="{B73E888C-D551-4AEE-BCB0-FD9FE6A6C8F9}" name="Spalte15239"/>
    <tableColumn id="15257" xr3:uid="{BAF58E82-5E50-402E-A584-5188A6059EE9}" name="Spalte15240"/>
    <tableColumn id="15258" xr3:uid="{6ADA5018-E799-4314-8BBC-051420AF6B59}" name="Spalte15241"/>
    <tableColumn id="15259" xr3:uid="{21FE5EF5-AE4A-49BE-8D41-58BAE1E2D69B}" name="Spalte15242"/>
    <tableColumn id="15260" xr3:uid="{3F10B779-5DCF-4F68-84AF-4B8C198A1A5A}" name="Spalte15243"/>
    <tableColumn id="15261" xr3:uid="{6A2109FD-D83F-4E60-BF13-5E4ECDB87EA9}" name="Spalte15244"/>
    <tableColumn id="15262" xr3:uid="{91538239-9ADF-4EDA-A165-CDCFCEF890FF}" name="Spalte15245"/>
    <tableColumn id="15263" xr3:uid="{F9A49F08-6298-4B1F-96CF-AE33A3C5E935}" name="Spalte15246"/>
    <tableColumn id="15264" xr3:uid="{EFFDF327-4915-4B95-97E3-CDA85932998C}" name="Spalte15247"/>
    <tableColumn id="15265" xr3:uid="{8C1DB11E-1357-4ACC-808B-7441C641B8A0}" name="Spalte15248"/>
    <tableColumn id="15266" xr3:uid="{2B358B99-56A6-49E6-BB38-97E27064946B}" name="Spalte15249"/>
    <tableColumn id="15267" xr3:uid="{2139A698-5856-4EE8-9889-7DD5463405A8}" name="Spalte15250"/>
    <tableColumn id="15268" xr3:uid="{FD6FA9A3-4FFB-4C24-A3A0-FEEFC3AB08A0}" name="Spalte15251"/>
    <tableColumn id="15269" xr3:uid="{BEC76C37-0A4C-4917-A864-9D0FFE85774E}" name="Spalte15252"/>
    <tableColumn id="15270" xr3:uid="{5821A57B-89E7-4A1E-BDA5-CAF57CEAF549}" name="Spalte15253"/>
    <tableColumn id="15271" xr3:uid="{73688453-ECB6-4E95-B874-9AB5D0C1E11E}" name="Spalte15254"/>
    <tableColumn id="15272" xr3:uid="{F9723008-FE54-4823-AA9A-EE30427A7399}" name="Spalte15255"/>
    <tableColumn id="15273" xr3:uid="{FABBF05F-EB7E-4570-8A1E-23C2BC307AE0}" name="Spalte15256"/>
    <tableColumn id="15274" xr3:uid="{A89422D6-4587-4F33-864D-406F17BD08E7}" name="Spalte15257"/>
    <tableColumn id="15275" xr3:uid="{1F6CAB41-DB64-48E3-80DD-E2C4CD0D8CEC}" name="Spalte15258"/>
    <tableColumn id="15276" xr3:uid="{F322C930-5194-48EC-8794-C41E1AA2F7DC}" name="Spalte15259"/>
    <tableColumn id="15277" xr3:uid="{293FD36E-AB9C-4177-8F27-BC594D7DE532}" name="Spalte15260"/>
    <tableColumn id="15278" xr3:uid="{2DC38E63-E731-4903-B10B-6ED41E560E91}" name="Spalte15261"/>
    <tableColumn id="15279" xr3:uid="{63BE2B6F-0497-4617-BA0C-9DA6BE9892C7}" name="Spalte15262"/>
    <tableColumn id="15280" xr3:uid="{90E65067-E1F2-4784-8E5F-D255147CF8CC}" name="Spalte15263"/>
    <tableColumn id="15281" xr3:uid="{23F5B1EF-C358-4CA1-974F-37DFE5E94157}" name="Spalte15264"/>
    <tableColumn id="15282" xr3:uid="{D1E299FC-77F0-4106-A95B-2A2B142F3F52}" name="Spalte15265"/>
    <tableColumn id="15283" xr3:uid="{EA3E4081-54A3-471E-B9C6-88B547311E0B}" name="Spalte15266"/>
    <tableColumn id="15284" xr3:uid="{337D50B5-EC89-4C6B-A181-37A94C710285}" name="Spalte15267"/>
    <tableColumn id="15285" xr3:uid="{54E2DFB4-C6E5-4F42-84C0-FD87373A1B29}" name="Spalte15268"/>
    <tableColumn id="15286" xr3:uid="{DC7BAE10-D3E6-4869-AF20-76321A227A61}" name="Spalte15269"/>
    <tableColumn id="15287" xr3:uid="{89E69EC5-6FB6-4A2D-BE74-1C9401C8893E}" name="Spalte15270"/>
    <tableColumn id="15288" xr3:uid="{6529B7DF-4208-4655-9E06-A7A4BE9910EF}" name="Spalte15271"/>
    <tableColumn id="15289" xr3:uid="{8CD399AE-977F-442B-9AFF-D3EAC9339816}" name="Spalte15272"/>
    <tableColumn id="15290" xr3:uid="{4E0220F3-8C2D-4BCE-A761-74D7B951C460}" name="Spalte15273"/>
    <tableColumn id="15291" xr3:uid="{C3F01475-D7D3-476E-93FC-70B672D868B3}" name="Spalte15274"/>
    <tableColumn id="15292" xr3:uid="{4DA81BF8-25AB-4CDE-BF6A-71A68EC3E9CA}" name="Spalte15275"/>
    <tableColumn id="15293" xr3:uid="{CDD60EB4-F5D7-4EDE-BD45-6E3E7DDC9969}" name="Spalte15276"/>
    <tableColumn id="15294" xr3:uid="{E2F3C4D6-1CD6-4DF9-B530-68552AE68473}" name="Spalte15277"/>
    <tableColumn id="15295" xr3:uid="{E8A27E51-F545-44BA-AB74-28370F470FDC}" name="Spalte15278"/>
    <tableColumn id="15296" xr3:uid="{B052C466-FC50-433B-9E11-794FE93247BE}" name="Spalte15279"/>
    <tableColumn id="15297" xr3:uid="{DBF42F30-57D3-4160-86C2-66E63D745BB5}" name="Spalte15280"/>
    <tableColumn id="15298" xr3:uid="{414F71E4-AF2A-4977-A4C8-3B19E9C13135}" name="Spalte15281"/>
    <tableColumn id="15299" xr3:uid="{A6095B22-8C38-4C67-ABE2-28F27A06F7D7}" name="Spalte15282"/>
    <tableColumn id="15300" xr3:uid="{F504386B-F7C5-424B-9D72-56D788E99767}" name="Spalte15283"/>
    <tableColumn id="15301" xr3:uid="{4CA437F8-3FC4-4D76-878C-EC845EC3F21B}" name="Spalte15284"/>
    <tableColumn id="15302" xr3:uid="{10C32BBE-D6D5-4968-9061-6E22F5327A05}" name="Spalte15285"/>
    <tableColumn id="15303" xr3:uid="{55261250-7D65-4007-AFEC-71A1610F5FA3}" name="Spalte15286"/>
    <tableColumn id="15304" xr3:uid="{BAA3A1E0-B6ED-45A7-8E19-E4EDE1AEE99D}" name="Spalte15287"/>
    <tableColumn id="15305" xr3:uid="{5054F168-427C-4B33-86BF-BED67BC0BED2}" name="Spalte15288"/>
    <tableColumn id="15306" xr3:uid="{CA32845F-9B8D-4B71-96EF-277C602D8A29}" name="Spalte15289"/>
    <tableColumn id="15307" xr3:uid="{43CEB4AC-EBF6-45DA-945A-171939A5D9F7}" name="Spalte15290"/>
    <tableColumn id="15308" xr3:uid="{9C5FF8CE-E040-48C4-847A-9C93E9001779}" name="Spalte15291"/>
    <tableColumn id="15309" xr3:uid="{220EE7F8-3355-44CD-9CEA-AA8D730D89EE}" name="Spalte15292"/>
    <tableColumn id="15310" xr3:uid="{1F44E9EA-ABFE-47A7-AC23-C76A1104A543}" name="Spalte15293"/>
    <tableColumn id="15311" xr3:uid="{BACE6DED-1B20-4949-BC9D-6E4F13ACA262}" name="Spalte15294"/>
    <tableColumn id="15312" xr3:uid="{23ABF9C3-0514-4DFB-B0C6-690B80B7D544}" name="Spalte15295"/>
    <tableColumn id="15313" xr3:uid="{32C0EF1C-78C7-4F39-88A1-95AE9C0C81C6}" name="Spalte15296"/>
    <tableColumn id="15314" xr3:uid="{BE8C2EBD-9170-4E8A-B823-C57AB9EF7A88}" name="Spalte15297"/>
    <tableColumn id="15315" xr3:uid="{32A63CC8-0091-448B-AB9A-0806E416CA9E}" name="Spalte15298"/>
    <tableColumn id="15316" xr3:uid="{F6F524CD-D166-410D-B87E-3C2C267A63E2}" name="Spalte15299"/>
    <tableColumn id="15317" xr3:uid="{FCBBAEC8-ED27-427C-B6F1-03A50905A17A}" name="Spalte15300"/>
    <tableColumn id="15318" xr3:uid="{DB7F4A8F-13BF-4CCA-A135-B59828CC01D5}" name="Spalte15301"/>
    <tableColumn id="15319" xr3:uid="{E2710474-DE9B-40F1-8521-152159C6B82B}" name="Spalte15302"/>
    <tableColumn id="15320" xr3:uid="{1B47E868-989B-4320-A1C8-A9C9787CD87A}" name="Spalte15303"/>
    <tableColumn id="15321" xr3:uid="{C567A071-BDE1-4D20-BA8E-B6057E32F55B}" name="Spalte15304"/>
    <tableColumn id="15322" xr3:uid="{AF1E12A1-2AA2-4F75-ABEB-884781052E1E}" name="Spalte15305"/>
    <tableColumn id="15323" xr3:uid="{9A164D52-0397-4D62-ADA4-DC43A9E6B3DC}" name="Spalte15306"/>
    <tableColumn id="15324" xr3:uid="{5666ABB0-34A6-46BD-989F-F5B758EA43A5}" name="Spalte15307"/>
    <tableColumn id="15325" xr3:uid="{A150252C-502A-4DE0-A637-DE44D6D12D5B}" name="Spalte15308"/>
    <tableColumn id="15326" xr3:uid="{FFCF6C6B-10F9-4DD5-876A-BFC887C3BA45}" name="Spalte15309"/>
    <tableColumn id="15327" xr3:uid="{A73D922B-BFC4-49B7-92CC-0581EF162EEB}" name="Spalte15310"/>
    <tableColumn id="15328" xr3:uid="{0D611DF6-8896-4E04-898C-EC17BD1546BD}" name="Spalte15311"/>
    <tableColumn id="15329" xr3:uid="{2DCDBD1B-8B1D-4CB2-86F8-A728732213B1}" name="Spalte15312"/>
    <tableColumn id="15330" xr3:uid="{8BE71762-E062-4947-AD98-609B301EBFF1}" name="Spalte15313"/>
    <tableColumn id="15331" xr3:uid="{74820DAB-B2DF-4530-A3BE-64B159811301}" name="Spalte15314"/>
    <tableColumn id="15332" xr3:uid="{8E4DBDA0-847C-4C71-8B3A-0ADCFEEEE50F}" name="Spalte15315"/>
    <tableColumn id="15333" xr3:uid="{3ED43FE5-AE1D-4DB0-A3FE-F7412776E008}" name="Spalte15316"/>
    <tableColumn id="15334" xr3:uid="{4CE20F77-C1A6-4C52-9344-4AB596772EF6}" name="Spalte15317"/>
    <tableColumn id="15335" xr3:uid="{87F3E5AD-D18A-40A5-939B-101CF6E822F9}" name="Spalte15318"/>
    <tableColumn id="15336" xr3:uid="{9AD0FC93-3D9F-4E43-8D3E-ED7C94449299}" name="Spalte15319"/>
    <tableColumn id="15337" xr3:uid="{E3826389-DF94-4785-8EA4-72201B6EB3A4}" name="Spalte15320"/>
    <tableColumn id="15338" xr3:uid="{6316529C-0DAD-44B2-A2B7-BC9A80FBE1C4}" name="Spalte15321"/>
    <tableColumn id="15339" xr3:uid="{2FEB70E4-3EE7-4A5A-BBFF-A2F798DBE137}" name="Spalte15322"/>
    <tableColumn id="15340" xr3:uid="{66FC1558-A712-438F-BDD6-55558DD33967}" name="Spalte15323"/>
    <tableColumn id="15341" xr3:uid="{09FF2DCD-CF34-4FFD-9B79-26F6FEBA89C9}" name="Spalte15324"/>
    <tableColumn id="15342" xr3:uid="{93C73FF4-B65B-4599-BEA0-FD853AE63552}" name="Spalte15325"/>
    <tableColumn id="15343" xr3:uid="{517F2DD0-F4C8-4829-A392-164067F241C2}" name="Spalte15326"/>
    <tableColumn id="15344" xr3:uid="{EA90213E-10CE-4EFD-B4F3-2F5401676ACD}" name="Spalte15327"/>
    <tableColumn id="15345" xr3:uid="{0FA886B8-416A-43EE-B361-D01652877E16}" name="Spalte15328"/>
    <tableColumn id="15346" xr3:uid="{0B07AD65-3A2B-49C2-A243-F78537A8A219}" name="Spalte15329"/>
    <tableColumn id="15347" xr3:uid="{163C312A-6014-44EC-88A6-2E47A696A3FA}" name="Spalte15330"/>
    <tableColumn id="15348" xr3:uid="{5EF2829C-16AC-435C-AE4C-345AA5F466ED}" name="Spalte15331"/>
    <tableColumn id="15349" xr3:uid="{CF042B14-F05C-4AEC-AA58-434814F30FE6}" name="Spalte15332"/>
    <tableColumn id="15350" xr3:uid="{2E98BB47-BA6A-446A-B5CD-946446A210A6}" name="Spalte15333"/>
    <tableColumn id="15351" xr3:uid="{1BFD3BAD-4F1D-4A62-AC22-6D1C2A43C0FB}" name="Spalte15334"/>
    <tableColumn id="15352" xr3:uid="{27AB0BE1-61CB-458A-9659-F38F1AC811AB}" name="Spalte15335"/>
    <tableColumn id="15353" xr3:uid="{C25DD07C-109B-44F8-A2D0-D711C8A3088A}" name="Spalte15336"/>
    <tableColumn id="15354" xr3:uid="{FF77DFF1-09A8-4FD5-AFDE-CE12DA3033A3}" name="Spalte15337"/>
    <tableColumn id="15355" xr3:uid="{E31ECBB7-D443-4CE7-8E87-C6770E81DEF7}" name="Spalte15338"/>
    <tableColumn id="15356" xr3:uid="{A1B03A60-DA29-45EA-AFD3-58F84DC4999A}" name="Spalte15339"/>
    <tableColumn id="15357" xr3:uid="{97E8E7BC-6F82-4879-836F-7ED8448665F1}" name="Spalte15340"/>
    <tableColumn id="15358" xr3:uid="{7FDE6D1D-9527-4BFC-8496-87A12F570E89}" name="Spalte15341"/>
    <tableColumn id="15359" xr3:uid="{2CC30454-7F4D-41F2-9916-AE115B827F6D}" name="Spalte15342"/>
    <tableColumn id="15360" xr3:uid="{8E8254FF-141B-4C56-B859-46F10B47E683}" name="Spalte15343"/>
    <tableColumn id="15361" xr3:uid="{81FFC4FC-0C61-4B1B-83DD-99E624DA8BF2}" name="Spalte15344"/>
    <tableColumn id="15362" xr3:uid="{164515E4-A6EA-4D31-8571-ED9B9A455545}" name="Spalte15345"/>
    <tableColumn id="15363" xr3:uid="{D59F03A1-988D-4668-B126-E34B8E905A77}" name="Spalte15346"/>
    <tableColumn id="15364" xr3:uid="{AA7DCF82-548B-417D-9984-F67329FFD395}" name="Spalte15347"/>
    <tableColumn id="15365" xr3:uid="{70F1EF93-5F68-415E-A0EA-57B2C897E0E8}" name="Spalte15348"/>
    <tableColumn id="15366" xr3:uid="{53F3BC7D-B447-4CFB-88D9-45C0D26EB981}" name="Spalte15349"/>
    <tableColumn id="15367" xr3:uid="{3E03071D-3A0C-4F29-830C-9E253DA4FAE1}" name="Spalte15350"/>
    <tableColumn id="15368" xr3:uid="{5994B61F-9B14-4733-8DFA-0030E6BDC531}" name="Spalte15351"/>
    <tableColumn id="15369" xr3:uid="{69BF2753-412C-4DF5-8180-D21FA621D1AC}" name="Spalte15352"/>
    <tableColumn id="15370" xr3:uid="{FAB6EAEC-5080-46BD-922D-A0A1C1383A4F}" name="Spalte15353"/>
    <tableColumn id="15371" xr3:uid="{F267D070-F884-4844-B0A3-BF64E1F8E8B6}" name="Spalte15354"/>
    <tableColumn id="15372" xr3:uid="{92FB0529-ED7E-4E10-BE9A-609F9B7FE338}" name="Spalte15355"/>
    <tableColumn id="15373" xr3:uid="{12708138-12E6-4602-B169-EF4365EB1380}" name="Spalte15356"/>
    <tableColumn id="15374" xr3:uid="{DD6C5CB9-6DDC-4C6E-8B0C-9B37951BE98D}" name="Spalte15357"/>
    <tableColumn id="15375" xr3:uid="{6D16F9DE-30A7-414E-B77B-60264C487847}" name="Spalte15358"/>
    <tableColumn id="15376" xr3:uid="{AD0C48FF-3CBF-4045-88FE-5ECE511C8F2A}" name="Spalte15359"/>
    <tableColumn id="15377" xr3:uid="{28FD6AA9-7213-49C9-8DDD-379197727A6B}" name="Spalte15360"/>
    <tableColumn id="15378" xr3:uid="{219B8AFB-5E9D-4316-A197-BB622E16E7E4}" name="Spalte15361"/>
    <tableColumn id="15379" xr3:uid="{10AF6BE5-E1F5-4D1C-B682-001F385F31C7}" name="Spalte15362"/>
    <tableColumn id="15380" xr3:uid="{5641FB53-20DA-414E-AAE3-A7724630A03E}" name="Spalte15363"/>
    <tableColumn id="15381" xr3:uid="{21FD8315-C619-4B16-AD0B-89B8F13E7A6E}" name="Spalte15364"/>
    <tableColumn id="15382" xr3:uid="{0B4F7B2C-B7F4-4D6B-AE8F-AFCFEBA97A07}" name="Spalte15365"/>
    <tableColumn id="15383" xr3:uid="{18FE68E0-9E9A-45E6-A94B-047C579C0FF1}" name="Spalte15366"/>
    <tableColumn id="15384" xr3:uid="{E95C8A8C-ACBD-4262-8193-106076E934A8}" name="Spalte15367"/>
    <tableColumn id="15385" xr3:uid="{880F6268-FE64-433C-927B-F2634B55B6E3}" name="Spalte15368"/>
    <tableColumn id="15386" xr3:uid="{5A8C963C-BCD2-4FB9-94D6-E8BF6B02902D}" name="Spalte15369"/>
    <tableColumn id="15387" xr3:uid="{9F3CCC7E-4E44-4E3D-91A2-19DD873ACFB3}" name="Spalte15370"/>
    <tableColumn id="15388" xr3:uid="{785000B7-70A0-4CF7-BDCE-B188FF04A270}" name="Spalte15371"/>
    <tableColumn id="15389" xr3:uid="{24315D36-C9BB-473B-944D-ED9B19EAA812}" name="Spalte15372"/>
    <tableColumn id="15390" xr3:uid="{400567AD-EF9C-4181-A2DB-C5F76C9A4B74}" name="Spalte15373"/>
    <tableColumn id="15391" xr3:uid="{EE0C6176-4E3D-4DAF-AE21-8F930EBAB798}" name="Spalte15374"/>
    <tableColumn id="15392" xr3:uid="{84F40E36-09CA-479A-BF0E-EBFFDD3041F5}" name="Spalte15375"/>
    <tableColumn id="15393" xr3:uid="{E902633A-D196-4DD8-9B73-8B02DEFB959D}" name="Spalte15376"/>
    <tableColumn id="15394" xr3:uid="{254733EC-F928-44A2-A62C-3ED31205FAF5}" name="Spalte15377"/>
    <tableColumn id="15395" xr3:uid="{71830791-627F-4717-9F98-50B190E18202}" name="Spalte15378"/>
    <tableColumn id="15396" xr3:uid="{59B4A6FE-73CC-4F09-B0B2-5C6A6069F99C}" name="Spalte15379"/>
    <tableColumn id="15397" xr3:uid="{58CF446F-9819-42B1-9155-7D6022142442}" name="Spalte15380"/>
    <tableColumn id="15398" xr3:uid="{B06CF161-D80C-48E3-AB0B-22D0E8B0F62A}" name="Spalte15381"/>
    <tableColumn id="15399" xr3:uid="{FBA9A546-5AD7-4364-ADF3-4122AF221DF1}" name="Spalte15382"/>
    <tableColumn id="15400" xr3:uid="{A27EB367-A86D-4E86-8575-5CE5ECEB35E2}" name="Spalte15383"/>
    <tableColumn id="15401" xr3:uid="{041FB24A-98AF-401B-BDE5-276844F176A8}" name="Spalte15384"/>
    <tableColumn id="15402" xr3:uid="{71C5291C-2027-46E6-8238-18BCD9FA329E}" name="Spalte15385"/>
    <tableColumn id="15403" xr3:uid="{C62F721B-6975-4F96-BBB1-454867FD85CB}" name="Spalte15386"/>
    <tableColumn id="15404" xr3:uid="{E9CB516F-8EE5-413A-BF38-BE639080A8D4}" name="Spalte15387"/>
    <tableColumn id="15405" xr3:uid="{F144C5AB-BC58-4A48-B6B4-4E697927AE36}" name="Spalte15388"/>
    <tableColumn id="15406" xr3:uid="{9E1B508A-3ED2-4CCD-A451-7B2B5E6908D7}" name="Spalte15389"/>
    <tableColumn id="15407" xr3:uid="{5E3D76EF-FC81-44C0-981E-3447E4D51E1F}" name="Spalte15390"/>
    <tableColumn id="15408" xr3:uid="{95E01961-19F4-49EE-83C2-8FC1230F5C3F}" name="Spalte15391"/>
    <tableColumn id="15409" xr3:uid="{08B1E870-F5D2-418A-B5DC-45E8B2B6A706}" name="Spalte15392"/>
    <tableColumn id="15410" xr3:uid="{92E96A2C-5AB8-471F-B61B-B82D7E1B0643}" name="Spalte15393"/>
    <tableColumn id="15411" xr3:uid="{904AA680-CA8E-41C6-96F9-600CAFCAEB10}" name="Spalte15394"/>
    <tableColumn id="15412" xr3:uid="{C0AEA09E-E818-418F-8A72-AEC7BD1D4DAD}" name="Spalte15395"/>
    <tableColumn id="15413" xr3:uid="{A65ACCF5-26EA-4469-86A1-A51DDE09752D}" name="Spalte15396"/>
    <tableColumn id="15414" xr3:uid="{04404BA3-2991-49BD-AB4B-28034A4E6AD5}" name="Spalte15397"/>
    <tableColumn id="15415" xr3:uid="{4B93D240-7534-4263-9A4D-905AEFC2F206}" name="Spalte15398"/>
    <tableColumn id="15416" xr3:uid="{8A0426DB-56F5-4713-BAC1-F14339D4B642}" name="Spalte15399"/>
    <tableColumn id="15417" xr3:uid="{73BC0A83-ADD8-4104-BFD3-3E77D282ACCD}" name="Spalte15400"/>
    <tableColumn id="15418" xr3:uid="{2052B1B1-6278-4FB6-B94D-A5E3D57693D6}" name="Spalte15401"/>
    <tableColumn id="15419" xr3:uid="{A528DDBF-FD14-4964-9338-2B5DFFF0D9AC}" name="Spalte15402"/>
    <tableColumn id="15420" xr3:uid="{034FCB46-3FC9-46C3-8329-D387CEBFD25C}" name="Spalte15403"/>
    <tableColumn id="15421" xr3:uid="{34E94B7D-A9EA-4B17-A614-CFF3A5B8AEAF}" name="Spalte15404"/>
    <tableColumn id="15422" xr3:uid="{53AC2D8E-0D66-41B0-AA05-A295533743AB}" name="Spalte15405"/>
    <tableColumn id="15423" xr3:uid="{754CCE16-D109-4A00-895F-2016F9F53667}" name="Spalte15406"/>
    <tableColumn id="15424" xr3:uid="{F019858B-4454-4012-ADB0-E5A80DC032EB}" name="Spalte15407"/>
    <tableColumn id="15425" xr3:uid="{25C4190C-1091-43E7-B85F-3BB70A5DF3CE}" name="Spalte15408"/>
    <tableColumn id="15426" xr3:uid="{25B54A5F-947C-4EED-BED9-2C283757BBFC}" name="Spalte15409"/>
    <tableColumn id="15427" xr3:uid="{F353B7CA-CE93-40E7-AD4A-C3EE960A9B75}" name="Spalte15410"/>
    <tableColumn id="15428" xr3:uid="{11D6BAC2-0593-464B-AC74-13567F5B2752}" name="Spalte15411"/>
    <tableColumn id="15429" xr3:uid="{C29CED1C-363B-4A27-93CB-25D5E4F003D6}" name="Spalte15412"/>
    <tableColumn id="15430" xr3:uid="{78122C0D-3F77-4875-BC4B-021C29B68961}" name="Spalte15413"/>
    <tableColumn id="15431" xr3:uid="{7846DFAF-5611-4DA8-B55D-B627282B375C}" name="Spalte15414"/>
    <tableColumn id="15432" xr3:uid="{D0D43E14-DF8A-4147-B923-9C6B41688465}" name="Spalte15415"/>
    <tableColumn id="15433" xr3:uid="{D35A0C34-8653-4EE2-B4A5-F89B688A7E66}" name="Spalte15416"/>
    <tableColumn id="15434" xr3:uid="{E5E4AE8F-BC11-43EE-891B-4E327DDF826B}" name="Spalte15417"/>
    <tableColumn id="15435" xr3:uid="{F32DCFC4-25C5-412F-B422-86AE825479A6}" name="Spalte15418"/>
    <tableColumn id="15436" xr3:uid="{D63D479E-9B35-4547-8F19-91544E0095F5}" name="Spalte15419"/>
    <tableColumn id="15437" xr3:uid="{0C5F1598-3452-4044-84E0-22B7624DEFED}" name="Spalte15420"/>
    <tableColumn id="15438" xr3:uid="{76918A68-34B0-454F-998C-190E937FF053}" name="Spalte15421"/>
    <tableColumn id="15439" xr3:uid="{A8DC0313-40D4-4EEC-8779-1243ABE4B1C1}" name="Spalte15422"/>
    <tableColumn id="15440" xr3:uid="{F5B1BAC2-2FEE-406C-A954-CA43961492E3}" name="Spalte15423"/>
    <tableColumn id="15441" xr3:uid="{09A4F6D9-2987-4750-B4F8-E98CF134F846}" name="Spalte15424"/>
    <tableColumn id="15442" xr3:uid="{C355C951-F6EF-4B43-A4A5-B98785C644AB}" name="Spalte15425"/>
    <tableColumn id="15443" xr3:uid="{DA9BFEB3-D4F9-4F6F-A849-ED15F6BC8D74}" name="Spalte15426"/>
    <tableColumn id="15444" xr3:uid="{C6C7C703-4254-4858-91AA-DBE5AB027AE2}" name="Spalte15427"/>
    <tableColumn id="15445" xr3:uid="{287264AB-3371-42D2-ADCD-34B0192C1FF5}" name="Spalte15428"/>
    <tableColumn id="15446" xr3:uid="{A19C7533-3561-44C7-8044-85C50FA9DE6B}" name="Spalte15429"/>
    <tableColumn id="15447" xr3:uid="{F1116F2B-5D51-4FB9-9CD5-B7C698ACC69C}" name="Spalte15430"/>
    <tableColumn id="15448" xr3:uid="{E493E511-789B-4B29-9337-CD1A7867F74C}" name="Spalte15431"/>
    <tableColumn id="15449" xr3:uid="{0588C5D0-5AA5-401C-AF5C-508664739599}" name="Spalte15432"/>
    <tableColumn id="15450" xr3:uid="{77F54FC5-CFA2-419C-8CC0-BA03D4EF8389}" name="Spalte15433"/>
    <tableColumn id="15451" xr3:uid="{D09EDC7D-C69D-4CA6-8544-8BD919772BB3}" name="Spalte15434"/>
    <tableColumn id="15452" xr3:uid="{93F55D92-38C0-4680-82FC-54E275840329}" name="Spalte15435"/>
    <tableColumn id="15453" xr3:uid="{3F78E432-498D-41A4-B386-4A54ACB01376}" name="Spalte15436"/>
    <tableColumn id="15454" xr3:uid="{ECFA4370-0064-44C8-8F1D-BDFF20FA4C94}" name="Spalte15437"/>
    <tableColumn id="15455" xr3:uid="{F9A5169E-0007-4DDB-A88E-3BE5884203BF}" name="Spalte15438"/>
    <tableColumn id="15456" xr3:uid="{8819D5C4-89B8-45F1-8A34-C608932F5C61}" name="Spalte15439"/>
    <tableColumn id="15457" xr3:uid="{FEEDA26C-0601-4F5D-90E5-402B37BA28CF}" name="Spalte15440"/>
    <tableColumn id="15458" xr3:uid="{73B78DC4-F9F2-4EC1-90C8-4F7A16B08A86}" name="Spalte15441"/>
    <tableColumn id="15459" xr3:uid="{877227DF-3698-4681-A39A-F41A832E6EB5}" name="Spalte15442"/>
    <tableColumn id="15460" xr3:uid="{A31E9381-B882-4118-A11A-5F2146165182}" name="Spalte15443"/>
    <tableColumn id="15461" xr3:uid="{25ADC426-B48D-4F42-A821-EE09D5E8AC0D}" name="Spalte15444"/>
    <tableColumn id="15462" xr3:uid="{C4C22EC5-C8A0-4A34-851F-C05E103B2FE3}" name="Spalte15445"/>
    <tableColumn id="15463" xr3:uid="{78717824-49B4-4A14-9CF8-AEE62B282260}" name="Spalte15446"/>
    <tableColumn id="15464" xr3:uid="{81EC9A24-FE71-4FE5-AF7E-B31BD759F12D}" name="Spalte15447"/>
    <tableColumn id="15465" xr3:uid="{A5969DDC-953C-4E80-B094-5F3E391215B3}" name="Spalte15448"/>
    <tableColumn id="15466" xr3:uid="{DE41C4FC-609D-418D-9349-6AF068B7DC26}" name="Spalte15449"/>
    <tableColumn id="15467" xr3:uid="{01AF6AE9-BB41-4D7B-B9C6-B61F99EB5A02}" name="Spalte15450"/>
    <tableColumn id="15468" xr3:uid="{F9BC4398-0516-44E1-9DFD-5E50BFC05156}" name="Spalte15451"/>
    <tableColumn id="15469" xr3:uid="{DD6DC837-9179-4EEC-82A3-E389A03F81F8}" name="Spalte15452"/>
    <tableColumn id="15470" xr3:uid="{C539094E-380A-4153-80D5-83075F6657B0}" name="Spalte15453"/>
    <tableColumn id="15471" xr3:uid="{49083100-CA9C-40C2-87F2-8A98B2FAF2B8}" name="Spalte15454"/>
    <tableColumn id="15472" xr3:uid="{AA47FCE4-7690-4B71-9C29-6086DE99B853}" name="Spalte15455"/>
    <tableColumn id="15473" xr3:uid="{7ABAD28E-9657-48ED-B66A-922FC6D96F0C}" name="Spalte15456"/>
    <tableColumn id="15474" xr3:uid="{99A514A8-B732-49DE-9B26-F175F779A8C9}" name="Spalte15457"/>
    <tableColumn id="15475" xr3:uid="{7941CB0B-4AD8-4706-BD59-6757B19A2798}" name="Spalte15458"/>
    <tableColumn id="15476" xr3:uid="{CDA2F184-D343-4F8D-A53C-1AC63DDA8AFF}" name="Spalte15459"/>
    <tableColumn id="15477" xr3:uid="{4C315F5D-195F-459A-A79F-68786A3FE3D4}" name="Spalte15460"/>
    <tableColumn id="15478" xr3:uid="{6B33AC13-057E-47D5-8E93-5E0B4E0664FE}" name="Spalte15461"/>
    <tableColumn id="15479" xr3:uid="{1E6B4ADB-31A1-4853-9616-7DE7E5298F8C}" name="Spalte15462"/>
    <tableColumn id="15480" xr3:uid="{65EF05F6-C62B-40B4-A4B1-1C7102BE003F}" name="Spalte15463"/>
    <tableColumn id="15481" xr3:uid="{4980E7A6-7B7E-4733-90C0-0A6E25B442C9}" name="Spalte15464"/>
    <tableColumn id="15482" xr3:uid="{E189E370-E3D3-4D6A-A1C6-856EB93B1825}" name="Spalte15465"/>
    <tableColumn id="15483" xr3:uid="{BED8DDBB-8A86-4349-88D0-CAF2730A9C21}" name="Spalte15466"/>
    <tableColumn id="15484" xr3:uid="{AB528032-7DA2-4597-BB81-538361B7E390}" name="Spalte15467"/>
    <tableColumn id="15485" xr3:uid="{6E8AE073-47C6-4E93-A406-D45135CCB7E8}" name="Spalte15468"/>
    <tableColumn id="15486" xr3:uid="{57C26E63-B974-41A4-B606-78D890AA339A}" name="Spalte15469"/>
    <tableColumn id="15487" xr3:uid="{405B289E-EA07-40EC-8326-F95161D65501}" name="Spalte15470"/>
    <tableColumn id="15488" xr3:uid="{B81794A7-1735-4318-8D5A-6381DF757E70}" name="Spalte15471"/>
    <tableColumn id="15489" xr3:uid="{B80E8C7E-ED17-4418-9855-BA167D11A3DF}" name="Spalte15472"/>
    <tableColumn id="15490" xr3:uid="{C7DEA3F4-F969-43AA-A177-2C6DCC1229F6}" name="Spalte15473"/>
    <tableColumn id="15491" xr3:uid="{7CADB521-5838-4128-87DC-AE627B0BCE9E}" name="Spalte15474"/>
    <tableColumn id="15492" xr3:uid="{DF308032-9479-423A-A938-66F2DADE5205}" name="Spalte15475"/>
    <tableColumn id="15493" xr3:uid="{C65B64C8-9BFD-4A64-91AF-9C2B05D9AE85}" name="Spalte15476"/>
    <tableColumn id="15494" xr3:uid="{AE4BB59A-CDD1-4F49-8AFC-A96C138F888A}" name="Spalte15477"/>
    <tableColumn id="15495" xr3:uid="{B132B86A-5C77-4BF0-9F09-749C6AA1ABF4}" name="Spalte15478"/>
    <tableColumn id="15496" xr3:uid="{CC8CC039-4B72-4D48-969E-F8D8B9E028FC}" name="Spalte15479"/>
    <tableColumn id="15497" xr3:uid="{A8315AEE-14B6-411F-8177-5FCF88C4CBA6}" name="Spalte15480"/>
    <tableColumn id="15498" xr3:uid="{C3E31F00-8A2E-4601-8AAA-B03FF8E91DE7}" name="Spalte15481"/>
    <tableColumn id="15499" xr3:uid="{416C3B79-B4F5-47B9-9A46-A1062984C5DA}" name="Spalte15482"/>
    <tableColumn id="15500" xr3:uid="{514BCD1D-89AB-40E0-AF39-BDF58C0F9F44}" name="Spalte15483"/>
    <tableColumn id="15501" xr3:uid="{6CB283F1-98B6-4C53-8119-1F5855313831}" name="Spalte15484"/>
    <tableColumn id="15502" xr3:uid="{56CBDC64-14FB-43A0-B57E-847E5DBFB284}" name="Spalte15485"/>
    <tableColumn id="15503" xr3:uid="{C728FEE8-BEE6-4309-BE23-ED724B5B0580}" name="Spalte15486"/>
    <tableColumn id="15504" xr3:uid="{1072A5B1-157C-44C7-9402-4C304BB0FDD9}" name="Spalte15487"/>
    <tableColumn id="15505" xr3:uid="{51247676-1E88-42D2-894E-C4713FE8B925}" name="Spalte15488"/>
    <tableColumn id="15506" xr3:uid="{7E5E70DB-9878-48C2-9FC6-150AE34C1271}" name="Spalte15489"/>
    <tableColumn id="15507" xr3:uid="{3CDBFA9A-684E-4AEC-B615-7E31AF55F1DD}" name="Spalte15490"/>
    <tableColumn id="15508" xr3:uid="{E7E976F8-7FDC-499F-8A47-AC95FF7AD975}" name="Spalte15491"/>
    <tableColumn id="15509" xr3:uid="{40C47D3B-9E49-496D-AD47-D66AB30233B0}" name="Spalte15492"/>
    <tableColumn id="15510" xr3:uid="{21D78552-1B89-4D93-B9B6-4A1D3E99D6E3}" name="Spalte15493"/>
    <tableColumn id="15511" xr3:uid="{50458970-D3BB-4F6F-9003-7769BB5329FE}" name="Spalte15494"/>
    <tableColumn id="15512" xr3:uid="{3DCF058E-2383-479B-B045-50588CE5DFB9}" name="Spalte15495"/>
    <tableColumn id="15513" xr3:uid="{BCE7359C-30B3-4276-8423-F68C10FC2EB9}" name="Spalte15496"/>
    <tableColumn id="15514" xr3:uid="{F3041805-9680-4406-8829-4E890959D985}" name="Spalte15497"/>
    <tableColumn id="15515" xr3:uid="{285B49BE-6BE1-47A3-8FB7-143946D9B7B7}" name="Spalte15498"/>
    <tableColumn id="15516" xr3:uid="{373B0BEC-3BE1-49C0-8456-72223E92F05E}" name="Spalte15499"/>
    <tableColumn id="15517" xr3:uid="{0E2F95FC-380C-42E5-AB23-26986403BD57}" name="Spalte15500"/>
    <tableColumn id="15518" xr3:uid="{9B32E155-CA30-4D25-859A-6F14DED28D40}" name="Spalte15501"/>
    <tableColumn id="15519" xr3:uid="{46BD6CA0-7D70-4E77-8A09-034CAF85A4E7}" name="Spalte15502"/>
    <tableColumn id="15520" xr3:uid="{DD59223A-74D3-4B49-B117-6EF6B3B1890E}" name="Spalte15503"/>
    <tableColumn id="15521" xr3:uid="{79DD663A-0B62-420E-A450-A20EDC5704D2}" name="Spalte15504"/>
    <tableColumn id="15522" xr3:uid="{BEBECD81-9329-4553-ADE9-59251054AB63}" name="Spalte15505"/>
    <tableColumn id="15523" xr3:uid="{3D2248F5-242F-446E-BC38-E9C9C75B493A}" name="Spalte15506"/>
    <tableColumn id="15524" xr3:uid="{6FBD9DE9-A4FB-4B72-B1BE-56E40A13BDE1}" name="Spalte15507"/>
    <tableColumn id="15525" xr3:uid="{28F75962-8B28-4325-BB8A-D64D32A4505C}" name="Spalte15508"/>
    <tableColumn id="15526" xr3:uid="{15201788-B8F5-4A03-A5B9-203703FA607A}" name="Spalte15509"/>
    <tableColumn id="15527" xr3:uid="{84C822B9-191A-47E0-955C-F3F08359F179}" name="Spalte15510"/>
    <tableColumn id="15528" xr3:uid="{7CD77714-41CF-4961-865F-B59156436F4A}" name="Spalte15511"/>
    <tableColumn id="15529" xr3:uid="{DD57D70A-B179-4249-BF7F-6C43F152ED9A}" name="Spalte15512"/>
    <tableColumn id="15530" xr3:uid="{5FFFF68F-AE8F-464E-AAD4-A98FDF49C5A9}" name="Spalte15513"/>
    <tableColumn id="15531" xr3:uid="{1A99B4EC-A938-40BD-8EC9-C6781681E0CD}" name="Spalte15514"/>
    <tableColumn id="15532" xr3:uid="{D3CC3934-4654-44D6-B778-0C017E9EE416}" name="Spalte15515"/>
    <tableColumn id="15533" xr3:uid="{F234F0C9-FE61-40B1-B5EA-6A238055441F}" name="Spalte15516"/>
    <tableColumn id="15534" xr3:uid="{20C49F6D-E85F-4948-B155-9A294BC6214C}" name="Spalte15517"/>
    <tableColumn id="15535" xr3:uid="{F25393C5-36C8-4A6A-A9BC-2412E48CD4BF}" name="Spalte15518"/>
    <tableColumn id="15536" xr3:uid="{28E9106D-B50D-4EED-80A7-FF63D7A3544E}" name="Spalte15519"/>
    <tableColumn id="15537" xr3:uid="{873F8C25-D0FF-4A0F-9A2B-A656DB9BB35D}" name="Spalte15520"/>
    <tableColumn id="15538" xr3:uid="{5A77ED07-D635-4F8C-9B16-FADD56C9FC76}" name="Spalte15521"/>
    <tableColumn id="15539" xr3:uid="{31C68399-736A-4B06-9297-AD6362BC37A4}" name="Spalte15522"/>
    <tableColumn id="15540" xr3:uid="{2017F417-2127-47DD-B4F8-D531EC803648}" name="Spalte15523"/>
    <tableColumn id="15541" xr3:uid="{DD04D4F4-D4E3-4E60-85B0-EA9250C6E7CB}" name="Spalte15524"/>
    <tableColumn id="15542" xr3:uid="{0C82E620-B3C5-478B-8B90-16D122064477}" name="Spalte15525"/>
    <tableColumn id="15543" xr3:uid="{7934F8AE-4172-4A56-8F72-0463F0B0967B}" name="Spalte15526"/>
    <tableColumn id="15544" xr3:uid="{DECB085F-0218-4486-A3B4-0F9D56EA0781}" name="Spalte15527"/>
    <tableColumn id="15545" xr3:uid="{98F81C5D-1B9E-4CF8-A889-3CC452887CA1}" name="Spalte15528"/>
    <tableColumn id="15546" xr3:uid="{1A82C699-542D-4869-BEA2-A7CEEFB2CB92}" name="Spalte15529"/>
    <tableColumn id="15547" xr3:uid="{20459CA1-0322-4F42-9269-811D451002B6}" name="Spalte15530"/>
    <tableColumn id="15548" xr3:uid="{9601C7C6-A772-4B8C-B702-AE1E58A6A99D}" name="Spalte15531"/>
    <tableColumn id="15549" xr3:uid="{D998E22C-55C0-4692-B762-332ACCA11966}" name="Spalte15532"/>
    <tableColumn id="15550" xr3:uid="{209BF6F0-C4D0-4163-829D-6B7EE9627741}" name="Spalte15533"/>
    <tableColumn id="15551" xr3:uid="{744E85C5-2935-45AA-8D96-6B5B399B6837}" name="Spalte15534"/>
    <tableColumn id="15552" xr3:uid="{1D4F2494-530C-4ADC-80CE-248D0E314EE4}" name="Spalte15535"/>
    <tableColumn id="15553" xr3:uid="{42CB7EEA-B59A-47B3-AD12-0B488B2AADB5}" name="Spalte15536"/>
    <tableColumn id="15554" xr3:uid="{75D45E90-93A4-4E16-8E65-788AA73008B1}" name="Spalte15537"/>
    <tableColumn id="15555" xr3:uid="{5A27A79B-4594-4C2E-AF7E-6750670AA4B6}" name="Spalte15538"/>
    <tableColumn id="15556" xr3:uid="{35EE6B7B-11D2-43EB-8460-5E59A5DFCB0C}" name="Spalte15539"/>
    <tableColumn id="15557" xr3:uid="{FA0D22A4-2D2E-46B5-B86F-09A0880513D8}" name="Spalte15540"/>
    <tableColumn id="15558" xr3:uid="{EC9D25F7-FC93-4F11-8B95-5C29616577F0}" name="Spalte15541"/>
    <tableColumn id="15559" xr3:uid="{E54EB33F-6492-4225-BD82-A9040BAD8943}" name="Spalte15542"/>
    <tableColumn id="15560" xr3:uid="{E12CD95B-D37B-4D4C-A267-057CDF8CD0D0}" name="Spalte15543"/>
    <tableColumn id="15561" xr3:uid="{679C447D-308E-4B27-9ABE-587E0063F61C}" name="Spalte15544"/>
    <tableColumn id="15562" xr3:uid="{EF233A9F-0C84-4DEB-9178-DDB94C3D93EC}" name="Spalte15545"/>
    <tableColumn id="15563" xr3:uid="{D2277198-45E1-4FCE-B802-6AA569D762F8}" name="Spalte15546"/>
    <tableColumn id="15564" xr3:uid="{4C564BF9-998F-4E06-92D3-3B1540C6DA1C}" name="Spalte15547"/>
    <tableColumn id="15565" xr3:uid="{4308D68F-253B-4661-9638-AFB61B56049E}" name="Spalte15548"/>
    <tableColumn id="15566" xr3:uid="{E5FA87AE-2702-441C-BD92-6FD2C20409EF}" name="Spalte15549"/>
    <tableColumn id="15567" xr3:uid="{3995001E-C0CC-4634-9ABB-FC4CA8BEF126}" name="Spalte15550"/>
    <tableColumn id="15568" xr3:uid="{B4609A69-27A4-4D9E-86AE-07CA3D8A05B6}" name="Spalte15551"/>
    <tableColumn id="15569" xr3:uid="{13373B00-1837-4E6E-8954-4B1B508217F1}" name="Spalte15552"/>
    <tableColumn id="15570" xr3:uid="{E399DF0E-11F8-4910-B5BF-266290BCC5B0}" name="Spalte15553"/>
    <tableColumn id="15571" xr3:uid="{EDA8658A-6B47-4510-8B03-8E7622DC4559}" name="Spalte15554"/>
    <tableColumn id="15572" xr3:uid="{E55B67F1-1DE9-4CBF-BDC6-97C7B2A396B2}" name="Spalte15555"/>
    <tableColumn id="15573" xr3:uid="{6036D0A8-9472-4E41-89F3-F023E85FEEFB}" name="Spalte15556"/>
    <tableColumn id="15574" xr3:uid="{B431CF5D-C6FD-4407-A8C5-5D884512B936}" name="Spalte15557"/>
    <tableColumn id="15575" xr3:uid="{A02CA5EC-45A2-42A1-94A5-13200D4A4A02}" name="Spalte15558"/>
    <tableColumn id="15576" xr3:uid="{CD53A0E1-1ED8-4AF1-87D4-64FF467E7F48}" name="Spalte15559"/>
    <tableColumn id="15577" xr3:uid="{B2AACE14-826A-4856-B519-B03DBF5E39AF}" name="Spalte15560"/>
    <tableColumn id="15578" xr3:uid="{2603570B-F8DB-41FD-8965-C1353521D853}" name="Spalte15561"/>
    <tableColumn id="15579" xr3:uid="{DB317A10-FFC0-4223-8388-1FB4729375BF}" name="Spalte15562"/>
    <tableColumn id="15580" xr3:uid="{AD53A616-249B-4931-A908-94F1E6A3233A}" name="Spalte15563"/>
    <tableColumn id="15581" xr3:uid="{B7BFCB09-5445-4875-ADCB-6A8EDEA8E82D}" name="Spalte15564"/>
    <tableColumn id="15582" xr3:uid="{6B15B79B-4056-40AF-AAB4-42B0540D7B17}" name="Spalte15565"/>
    <tableColumn id="15583" xr3:uid="{3EF1DFBD-8289-49BE-A0E2-1613369CD15A}" name="Spalte15566"/>
    <tableColumn id="15584" xr3:uid="{E0F8D531-F8A2-4F2B-80D5-9EFBD8B31AD1}" name="Spalte15567"/>
    <tableColumn id="15585" xr3:uid="{62DF5D22-CC36-472B-B9E5-42A9897D42BA}" name="Spalte15568"/>
    <tableColumn id="15586" xr3:uid="{57EAD86F-7A63-4047-846A-47C28C181A3D}" name="Spalte15569"/>
    <tableColumn id="15587" xr3:uid="{B71F24EA-DE9B-4880-AE37-2923F1C5D2F4}" name="Spalte15570"/>
    <tableColumn id="15588" xr3:uid="{1CC0C031-357D-47C8-AEBD-EF066F67B554}" name="Spalte15571"/>
    <tableColumn id="15589" xr3:uid="{28DA24BF-7883-4714-A8B9-56DBBE686AE2}" name="Spalte15572"/>
    <tableColumn id="15590" xr3:uid="{722DBFFC-0B9F-49C2-B916-CB22AC9BC470}" name="Spalte15573"/>
    <tableColumn id="15591" xr3:uid="{D041DF44-8DB5-4B0F-ADC5-7CF238E8D9FF}" name="Spalte15574"/>
    <tableColumn id="15592" xr3:uid="{77C65D20-9710-4B38-9B81-F0184D06951B}" name="Spalte15575"/>
    <tableColumn id="15593" xr3:uid="{3A16002C-5BFA-4E13-9434-4761BFC75D3A}" name="Spalte15576"/>
    <tableColumn id="15594" xr3:uid="{173DF459-09C7-47B2-8ADB-878EA95CDF01}" name="Spalte15577"/>
    <tableColumn id="15595" xr3:uid="{943A039F-5232-47C8-B18E-6AB7D74F456D}" name="Spalte15578"/>
    <tableColumn id="15596" xr3:uid="{90B15496-3740-47F4-8D97-2B405F51B09D}" name="Spalte15579"/>
    <tableColumn id="15597" xr3:uid="{0FFE09DE-1033-472E-B865-84EF9200BD90}" name="Spalte15580"/>
    <tableColumn id="15598" xr3:uid="{A9F4D5CA-E5C8-4B63-9553-13FEAF75F581}" name="Spalte15581"/>
    <tableColumn id="15599" xr3:uid="{988DD2EB-8FCD-4768-B57A-8F1E547D2AA5}" name="Spalte15582"/>
    <tableColumn id="15600" xr3:uid="{AC44E2DD-7C08-47C1-A797-8D7CA12A5413}" name="Spalte15583"/>
    <tableColumn id="15601" xr3:uid="{5826A289-5E68-4E5E-A61F-2B0FD50713A7}" name="Spalte15584"/>
    <tableColumn id="15602" xr3:uid="{5D11AA0D-CCFF-4BD2-8A82-F901EA36DE17}" name="Spalte15585"/>
    <tableColumn id="15603" xr3:uid="{CD1831B8-C80B-4138-A6B6-307B2E595484}" name="Spalte15586"/>
    <tableColumn id="15604" xr3:uid="{53C61701-670D-49D8-BE4C-3362DAA4C97A}" name="Spalte15587"/>
    <tableColumn id="15605" xr3:uid="{17501A5B-D56E-4F72-86ED-3FE025B3A29E}" name="Spalte15588"/>
    <tableColumn id="15606" xr3:uid="{35660309-3277-427B-8721-DCF193118EDF}" name="Spalte15589"/>
    <tableColumn id="15607" xr3:uid="{F8C4D5CD-8DF1-4EDE-9118-C70E0BF0A9DC}" name="Spalte15590"/>
    <tableColumn id="15608" xr3:uid="{196FA332-2F18-488C-B0B3-09839E2DD38D}" name="Spalte15591"/>
    <tableColumn id="15609" xr3:uid="{0A4B7080-02BB-4D5C-8BAA-04A1CE79D484}" name="Spalte15592"/>
    <tableColumn id="15610" xr3:uid="{839E889A-63D5-4B02-8516-FAD4C999F92E}" name="Spalte15593"/>
    <tableColumn id="15611" xr3:uid="{FCE655DD-401D-42AA-921E-C3CAA433E272}" name="Spalte15594"/>
    <tableColumn id="15612" xr3:uid="{5CB2DF47-5689-4A40-AE60-3A19469D1156}" name="Spalte15595"/>
    <tableColumn id="15613" xr3:uid="{2C7FCBB3-DD8C-4D17-9B2B-8DF1461F7F4C}" name="Spalte15596"/>
    <tableColumn id="15614" xr3:uid="{A413DD8B-9A69-4321-B795-52F585951EF6}" name="Spalte15597"/>
    <tableColumn id="15615" xr3:uid="{3DAE3821-7927-4B71-AC0A-97BC411DDEC9}" name="Spalte15598"/>
    <tableColumn id="15616" xr3:uid="{026C3DE2-E9B9-4758-AB35-532AD418AC52}" name="Spalte15599"/>
    <tableColumn id="15617" xr3:uid="{8601EAF7-E696-4E8F-BCA8-A8A863A0C920}" name="Spalte15600"/>
    <tableColumn id="15618" xr3:uid="{307D4BBD-42D0-4C42-AA7E-AA3E4FF3F41C}" name="Spalte15601"/>
    <tableColumn id="15619" xr3:uid="{C7693BF1-AEB7-4E83-A228-4A30E731C114}" name="Spalte15602"/>
    <tableColumn id="15620" xr3:uid="{16C960D8-A5D0-4576-839C-02A3417C9214}" name="Spalte15603"/>
    <tableColumn id="15621" xr3:uid="{25A27563-B2D7-4B2F-9162-A48878B6F85D}" name="Spalte15604"/>
    <tableColumn id="15622" xr3:uid="{74C1DBE4-20B0-47B7-B03D-9C1BE09D5E88}" name="Spalte15605"/>
    <tableColumn id="15623" xr3:uid="{BAB1FC65-B39B-4A55-A9B3-CD30FA047D67}" name="Spalte15606"/>
    <tableColumn id="15624" xr3:uid="{FE67F443-2D48-4960-826A-0DD13EF7CC76}" name="Spalte15607"/>
    <tableColumn id="15625" xr3:uid="{81FDA7BC-A504-4E8B-93B9-399002FA3FFE}" name="Spalte15608"/>
    <tableColumn id="15626" xr3:uid="{A4F92AAD-277F-45E2-88C5-06214765CD6B}" name="Spalte15609"/>
    <tableColumn id="15627" xr3:uid="{2D03FC8D-BAA5-4B07-AC95-D195BBF2A9D9}" name="Spalte15610"/>
    <tableColumn id="15628" xr3:uid="{3C58BBE8-D02B-443B-B17A-513E462838D2}" name="Spalte15611"/>
    <tableColumn id="15629" xr3:uid="{33D8DB8D-7DA3-4630-8AEF-30490445BB2B}" name="Spalte15612"/>
    <tableColumn id="15630" xr3:uid="{56915FDD-E7E3-403E-B09E-52FA56E8F5C2}" name="Spalte15613"/>
    <tableColumn id="15631" xr3:uid="{1C67CD38-CBB1-4F7E-83A8-1669DD73D5C3}" name="Spalte15614"/>
    <tableColumn id="15632" xr3:uid="{4386FDC6-820E-4AC5-A4EC-211206FADF8A}" name="Spalte15615"/>
    <tableColumn id="15633" xr3:uid="{DEF5B496-931E-4BDA-9BF1-78F6CB2EEFA0}" name="Spalte15616"/>
    <tableColumn id="15634" xr3:uid="{B183138E-ACCE-4C93-877B-FDD0112E93F2}" name="Spalte15617"/>
    <tableColumn id="15635" xr3:uid="{757C71E2-A975-42AB-B4C9-16E053161240}" name="Spalte15618"/>
    <tableColumn id="15636" xr3:uid="{52BF1C21-F72F-4D45-A576-4AF90709D526}" name="Spalte15619"/>
    <tableColumn id="15637" xr3:uid="{91944899-150E-44E8-B570-A8EECCFE13E8}" name="Spalte15620"/>
    <tableColumn id="15638" xr3:uid="{DA937AEB-9862-4A41-A275-2CC32A39336B}" name="Spalte15621"/>
    <tableColumn id="15639" xr3:uid="{8128E7B9-AAB5-4E51-9B12-CD7E57EF662A}" name="Spalte15622"/>
    <tableColumn id="15640" xr3:uid="{92711F5D-0C0E-477A-AB53-D4052F48C577}" name="Spalte15623"/>
    <tableColumn id="15641" xr3:uid="{CF5D9F2F-37AA-403C-9128-BE63716D08A2}" name="Spalte15624"/>
    <tableColumn id="15642" xr3:uid="{B991402E-664E-4D15-9366-D2D5B9DECCE0}" name="Spalte15625"/>
    <tableColumn id="15643" xr3:uid="{694CF036-6BD5-421A-9CE1-54B25DCCD08C}" name="Spalte15626"/>
    <tableColumn id="15644" xr3:uid="{7AA2CB20-CB50-4E5F-9CA3-E37476333754}" name="Spalte15627"/>
    <tableColumn id="15645" xr3:uid="{EA32A3E3-10FD-48BE-928B-BFDE82256C82}" name="Spalte15628"/>
    <tableColumn id="15646" xr3:uid="{49F9CE95-B9AA-42CC-8223-5DA58251A4C0}" name="Spalte15629"/>
    <tableColumn id="15647" xr3:uid="{F2015513-69BF-439B-987A-C00D5F19CA2E}" name="Spalte15630"/>
    <tableColumn id="15648" xr3:uid="{5A121A9A-D450-4E84-AEDA-5492A5948D48}" name="Spalte15631"/>
    <tableColumn id="15649" xr3:uid="{804EE3B4-602C-45AF-A136-404830FFB5AF}" name="Spalte15632"/>
    <tableColumn id="15650" xr3:uid="{B60BF1C4-E85C-49CD-B12B-5947117091A8}" name="Spalte15633"/>
    <tableColumn id="15651" xr3:uid="{7DF3DE30-B8F8-4832-9BD0-0F8A6B88F30E}" name="Spalte15634"/>
    <tableColumn id="15652" xr3:uid="{B708DA13-C631-4112-998B-28CB1D7D4701}" name="Spalte15635"/>
    <tableColumn id="15653" xr3:uid="{530A3F34-C013-47A2-A8AA-1F5242607982}" name="Spalte15636"/>
    <tableColumn id="15654" xr3:uid="{A3239027-3058-4D3A-B75F-44CFD9ACF92D}" name="Spalte15637"/>
    <tableColumn id="15655" xr3:uid="{CE8FAAB0-651E-44E2-BE28-7BED1BEE84AB}" name="Spalte15638"/>
    <tableColumn id="15656" xr3:uid="{A6792B68-C152-4C89-BBA5-49747C844D48}" name="Spalte15639"/>
    <tableColumn id="15657" xr3:uid="{692C9208-3F5A-47F6-94DE-6FEFF0B9DA31}" name="Spalte15640"/>
    <tableColumn id="15658" xr3:uid="{54DF8629-2B8E-4911-8E81-688385C43870}" name="Spalte15641"/>
    <tableColumn id="15659" xr3:uid="{FD7A5615-87EA-4B62-AA89-830C3AAD3150}" name="Spalte15642"/>
    <tableColumn id="15660" xr3:uid="{CC5872E0-CBDE-4280-860B-893ACE6C442C}" name="Spalte15643"/>
    <tableColumn id="15661" xr3:uid="{C157AE97-D0FC-4D20-8930-5340BE0B9579}" name="Spalte15644"/>
    <tableColumn id="15662" xr3:uid="{33B8EFD0-E29F-4535-9628-9FA6643EA652}" name="Spalte15645"/>
    <tableColumn id="15663" xr3:uid="{2EB6A076-3539-4CEE-8F29-840C5E8AADA2}" name="Spalte15646"/>
    <tableColumn id="15664" xr3:uid="{574C1A37-B4BF-444F-94E0-114A6C72D56A}" name="Spalte15647"/>
    <tableColumn id="15665" xr3:uid="{AA063D64-3E5A-42E6-86E0-198C02A2A0C1}" name="Spalte15648"/>
    <tableColumn id="15666" xr3:uid="{3577FDBA-1EBE-4162-8294-305E5F1D578C}" name="Spalte15649"/>
    <tableColumn id="15667" xr3:uid="{F5777A84-5963-4703-AC3C-BE1ED823C7F6}" name="Spalte15650"/>
    <tableColumn id="15668" xr3:uid="{ED1D8A8A-AB8C-4593-97BE-AAC2E5CFA392}" name="Spalte15651"/>
    <tableColumn id="15669" xr3:uid="{CE509C09-4D78-4265-AEBD-FA86CD512E60}" name="Spalte15652"/>
    <tableColumn id="15670" xr3:uid="{F9188C82-B188-44D8-A372-2426FEB0153C}" name="Spalte15653"/>
    <tableColumn id="15671" xr3:uid="{A2E9F164-B2EC-49BE-98B1-B37F085E3243}" name="Spalte15654"/>
    <tableColumn id="15672" xr3:uid="{24B81B26-537C-4EA5-BE0C-5285ED851043}" name="Spalte15655"/>
    <tableColumn id="15673" xr3:uid="{278C72D0-4822-4C85-B366-C1B8626A2D8A}" name="Spalte15656"/>
    <tableColumn id="15674" xr3:uid="{B732DF61-6C94-45B7-8F4F-1C7DD470DCFD}" name="Spalte15657"/>
    <tableColumn id="15675" xr3:uid="{923E7788-DF91-478C-BB59-6E1847497E5A}" name="Spalte15658"/>
    <tableColumn id="15676" xr3:uid="{1E942334-CB8E-4E43-93F6-FBD90FC7C4B5}" name="Spalte15659"/>
    <tableColumn id="15677" xr3:uid="{A856E6D8-B9CF-4D5C-8605-7736A64E83F3}" name="Spalte15660"/>
    <tableColumn id="15678" xr3:uid="{1E00618B-2E45-4C83-83A3-0452450AF99F}" name="Spalte15661"/>
    <tableColumn id="15679" xr3:uid="{4395C04B-D0DB-44C7-A874-6F76BF59F0D4}" name="Spalte15662"/>
    <tableColumn id="15680" xr3:uid="{FCBE83C8-C6E0-4BFE-977B-4CDE2F4E12F2}" name="Spalte15663"/>
    <tableColumn id="15681" xr3:uid="{5F69D004-BC1F-4AA1-ADD1-067D3C7CC771}" name="Spalte15664"/>
    <tableColumn id="15682" xr3:uid="{9F5CA03A-F9EC-47FE-B33A-41C7703C74F5}" name="Spalte15665"/>
    <tableColumn id="15683" xr3:uid="{DA638A91-BA57-491E-AF9C-A6B111E2F20B}" name="Spalte15666"/>
    <tableColumn id="15684" xr3:uid="{7CA471B3-77B3-435A-8F42-D2F195AED00B}" name="Spalte15667"/>
    <tableColumn id="15685" xr3:uid="{98B7449B-3407-4FCE-89F8-909E1A62D172}" name="Spalte15668"/>
    <tableColumn id="15686" xr3:uid="{299B0F97-EB86-4732-954E-EDFEFC23D681}" name="Spalte15669"/>
    <tableColumn id="15687" xr3:uid="{3B30090C-02A2-4463-8C4E-ED5410DAAA79}" name="Spalte15670"/>
    <tableColumn id="15688" xr3:uid="{64616989-8FAE-4D9E-B2C6-79DF792B4425}" name="Spalte15671"/>
    <tableColumn id="15689" xr3:uid="{64216ED2-15B5-416A-98CD-C5DE14DFD098}" name="Spalte15672"/>
    <tableColumn id="15690" xr3:uid="{539B3FC3-B84C-4A08-99DF-7605291A8772}" name="Spalte15673"/>
    <tableColumn id="15691" xr3:uid="{9930387A-8628-4DC4-8EEA-C9ED4154215D}" name="Spalte15674"/>
    <tableColumn id="15692" xr3:uid="{2413BA4C-018A-4C2E-8E11-D52089A81269}" name="Spalte15675"/>
    <tableColumn id="15693" xr3:uid="{28B18CD1-A793-492A-8A49-14559E51832C}" name="Spalte15676"/>
    <tableColumn id="15694" xr3:uid="{2D5F0BA6-5875-4245-8F86-E126E10AAFEF}" name="Spalte15677"/>
    <tableColumn id="15695" xr3:uid="{01D5F4DA-9342-4EBA-B940-4FEB2E57DA8B}" name="Spalte15678"/>
    <tableColumn id="15696" xr3:uid="{6C393A69-C50D-434C-8906-2BB2A7C8ED40}" name="Spalte15679"/>
    <tableColumn id="15697" xr3:uid="{A148D756-22E1-45F7-9E48-4309CC0BF1CE}" name="Spalte15680"/>
    <tableColumn id="15698" xr3:uid="{E3C1A0C9-F6BE-4298-918A-CE7CE1B9E46E}" name="Spalte15681"/>
    <tableColumn id="15699" xr3:uid="{5D116F8C-D38F-4403-9832-C03AA3C91CCA}" name="Spalte15682"/>
    <tableColumn id="15700" xr3:uid="{7DA62E87-7066-4883-A537-7002E4E5AE21}" name="Spalte15683"/>
    <tableColumn id="15701" xr3:uid="{7ED8BA99-8C11-459A-AF04-796F4C6F5299}" name="Spalte15684"/>
    <tableColumn id="15702" xr3:uid="{6B83BA47-05FC-4AC7-A2FA-C995112E9470}" name="Spalte15685"/>
    <tableColumn id="15703" xr3:uid="{633C02D8-CFF9-449A-B00D-E15A1D8523B7}" name="Spalte15686"/>
    <tableColumn id="15704" xr3:uid="{F1097B05-35D1-464E-A721-68B3AD42F9E7}" name="Spalte15687"/>
    <tableColumn id="15705" xr3:uid="{4BC74906-A85E-4E94-BBC6-EA4F35EDE076}" name="Spalte15688"/>
    <tableColumn id="15706" xr3:uid="{90D54BC8-AA9E-4423-884B-67FE33DE3A2E}" name="Spalte15689"/>
    <tableColumn id="15707" xr3:uid="{BAF240E9-98D2-42E4-9757-5D88D69C9B26}" name="Spalte15690"/>
    <tableColumn id="15708" xr3:uid="{46EF647F-696F-4367-8BB4-57CCE1D61BC7}" name="Spalte15691"/>
    <tableColumn id="15709" xr3:uid="{1538446D-2DFC-4753-9A7A-7B8C0144612B}" name="Spalte15692"/>
    <tableColumn id="15710" xr3:uid="{01ED5911-CD75-469F-B924-672197762880}" name="Spalte15693"/>
    <tableColumn id="15711" xr3:uid="{FE3F6D71-16F8-42D7-9B91-42B115F9DA9F}" name="Spalte15694"/>
    <tableColumn id="15712" xr3:uid="{C6D3CF29-0C72-4AE7-9024-2AF3FE36EBE1}" name="Spalte15695"/>
    <tableColumn id="15713" xr3:uid="{3E8B820B-88A8-4391-A513-6B29A3925F6D}" name="Spalte15696"/>
    <tableColumn id="15714" xr3:uid="{CE127739-B7FF-4FB1-B225-686C85EE08ED}" name="Spalte15697"/>
    <tableColumn id="15715" xr3:uid="{D53A0561-B6B8-4D2C-9F83-671F5EAAEA0E}" name="Spalte15698"/>
    <tableColumn id="15716" xr3:uid="{00903DBC-A1F7-4C26-BF42-39A3F6D0F0F0}" name="Spalte15699"/>
    <tableColumn id="15717" xr3:uid="{ED133F65-074E-4C69-A8C9-F659489FDCE0}" name="Spalte15700"/>
    <tableColumn id="15718" xr3:uid="{07600F4B-773E-4015-80D1-FA9C77249E97}" name="Spalte15701"/>
    <tableColumn id="15719" xr3:uid="{27C8C7C8-1C3E-42A1-A8A1-ED1B5D3E4D0D}" name="Spalte15702"/>
    <tableColumn id="15720" xr3:uid="{BEAE85DF-86C0-4F70-9EC4-D37647A07E49}" name="Spalte15703"/>
    <tableColumn id="15721" xr3:uid="{E4F2E6C5-D644-451B-A3D0-55B0C9B98451}" name="Spalte15704"/>
    <tableColumn id="15722" xr3:uid="{4E9216C1-06B2-48E7-AE72-CB7FFDD0E676}" name="Spalte15705"/>
    <tableColumn id="15723" xr3:uid="{E8C7FA63-D093-4F1A-B9EF-7B2E2CB4AF7D}" name="Spalte15706"/>
    <tableColumn id="15724" xr3:uid="{8D047E15-A004-46CD-A168-3B8DE1D38D0B}" name="Spalte15707"/>
    <tableColumn id="15725" xr3:uid="{4578F17C-DAC3-4924-9EFA-8D766AFFEDB3}" name="Spalte15708"/>
    <tableColumn id="15726" xr3:uid="{750C785C-271A-4583-89A5-EB142F61286E}" name="Spalte15709"/>
    <tableColumn id="15727" xr3:uid="{42FDE389-B124-47C5-B175-B83E010BA5F3}" name="Spalte15710"/>
    <tableColumn id="15728" xr3:uid="{ABB526B7-9325-413E-9245-465838214956}" name="Spalte15711"/>
    <tableColumn id="15729" xr3:uid="{DBAF4909-C217-4AED-A99F-7A2BD255F569}" name="Spalte15712"/>
    <tableColumn id="15730" xr3:uid="{01BFE28D-CBE8-4DE6-8297-83A96E8339E4}" name="Spalte15713"/>
    <tableColumn id="15731" xr3:uid="{EEE988F1-558A-471F-9033-8F2BBFACE2F1}" name="Spalte15714"/>
    <tableColumn id="15732" xr3:uid="{1CBC1309-922E-4FF9-A0CF-104FCD3CEF91}" name="Spalte15715"/>
    <tableColumn id="15733" xr3:uid="{52B6533D-7516-48CC-BE30-165CD8C23045}" name="Spalte15716"/>
    <tableColumn id="15734" xr3:uid="{31F7140E-09C7-464A-A572-707710FF07FE}" name="Spalte15717"/>
    <tableColumn id="15735" xr3:uid="{E1926256-AA60-4838-B05A-FF75356CE314}" name="Spalte15718"/>
    <tableColumn id="15736" xr3:uid="{7106E6DA-6C1E-4E0B-9A43-DEBF6C83A04C}" name="Spalte15719"/>
    <tableColumn id="15737" xr3:uid="{B30F3AB3-9605-49C0-BEAC-8689F54DC9BF}" name="Spalte15720"/>
    <tableColumn id="15738" xr3:uid="{248E6F46-DCB4-45AB-A756-2921456E5591}" name="Spalte15721"/>
    <tableColumn id="15739" xr3:uid="{F86AA821-E425-4893-BED7-720912E99C12}" name="Spalte15722"/>
    <tableColumn id="15740" xr3:uid="{21C62641-1586-4D8D-A064-F689195852A7}" name="Spalte15723"/>
    <tableColumn id="15741" xr3:uid="{6FCCD146-FF21-4642-959E-DB895F11EEA6}" name="Spalte15724"/>
    <tableColumn id="15742" xr3:uid="{C5234640-8165-4936-A3F8-D5C12F0C28C6}" name="Spalte15725"/>
    <tableColumn id="15743" xr3:uid="{7DC10F47-A879-47DD-997F-A56FF493A6AE}" name="Spalte15726"/>
    <tableColumn id="15744" xr3:uid="{CA6C338A-3D36-461C-8D1A-19C698A44C4F}" name="Spalte15727"/>
    <tableColumn id="15745" xr3:uid="{24B5DA38-5CA8-4B47-9C90-65B6FECDBA3F}" name="Spalte15728"/>
    <tableColumn id="15746" xr3:uid="{35A4EF68-4EAE-4C29-89EA-D6C212ED28FB}" name="Spalte15729"/>
    <tableColumn id="15747" xr3:uid="{7839D19B-FFE5-4FDB-BF82-E6E7CE5DB6D2}" name="Spalte15730"/>
    <tableColumn id="15748" xr3:uid="{ABD2635A-9B4A-48FE-9B96-D071A4881FF6}" name="Spalte15731"/>
    <tableColumn id="15749" xr3:uid="{95E7BB08-6B34-4B1A-80A9-A792EA9C504E}" name="Spalte15732"/>
    <tableColumn id="15750" xr3:uid="{2ADA7FA4-CE1B-4B6E-8D83-B84548CD82A4}" name="Spalte15733"/>
    <tableColumn id="15751" xr3:uid="{30D92C93-9EF0-4110-B34A-1B9B8903B61A}" name="Spalte15734"/>
    <tableColumn id="15752" xr3:uid="{16199F7B-8B7F-411C-84C4-38E5E043367E}" name="Spalte15735"/>
    <tableColumn id="15753" xr3:uid="{4C28613E-957F-473F-9EE5-5400B12345D2}" name="Spalte15736"/>
    <tableColumn id="15754" xr3:uid="{5ABEA56F-C7F8-4B59-860B-3AD0D559C6EE}" name="Spalte15737"/>
    <tableColumn id="15755" xr3:uid="{F66F3B1C-2A25-4066-BFEA-26B15BBE9388}" name="Spalte15738"/>
    <tableColumn id="15756" xr3:uid="{0853F097-01DD-44AD-981C-D59BC043C61B}" name="Spalte15739"/>
    <tableColumn id="15757" xr3:uid="{3D96F297-038C-4396-AD83-CF16FDED72FF}" name="Spalte15740"/>
    <tableColumn id="15758" xr3:uid="{2495E5B6-A300-400F-AB1F-6996BF5370BC}" name="Spalte15741"/>
    <tableColumn id="15759" xr3:uid="{7D2772D9-E2D0-421A-8085-E870191290A6}" name="Spalte15742"/>
    <tableColumn id="15760" xr3:uid="{3FE65E80-7434-4DD2-AA1C-29A307951002}" name="Spalte15743"/>
    <tableColumn id="15761" xr3:uid="{E104AF65-DF44-4667-B773-E5146BA4D3BD}" name="Spalte15744"/>
    <tableColumn id="15762" xr3:uid="{90FB2C09-A688-4904-8E06-5043DBF4EF2D}" name="Spalte15745"/>
    <tableColumn id="15763" xr3:uid="{91A57BC5-CD1D-46F9-8902-6D53175F3CD5}" name="Spalte15746"/>
    <tableColumn id="15764" xr3:uid="{D41DC3BF-D40B-4B0A-AC97-CB8825CECC08}" name="Spalte15747"/>
    <tableColumn id="15765" xr3:uid="{F8623006-6ABA-420C-8E98-0E0BBE1178F0}" name="Spalte15748"/>
    <tableColumn id="15766" xr3:uid="{28665D63-0A82-40C6-982E-B40DE7A9693F}" name="Spalte15749"/>
    <tableColumn id="15767" xr3:uid="{173FDE9E-D16D-4175-810A-FC5CD9600306}" name="Spalte15750"/>
    <tableColumn id="15768" xr3:uid="{52DFD0E9-F494-4099-985F-D3B76C273665}" name="Spalte15751"/>
    <tableColumn id="15769" xr3:uid="{FE7E15BA-C590-40CB-B094-BE53E2F8B764}" name="Spalte15752"/>
    <tableColumn id="15770" xr3:uid="{BB5D7580-E6B7-410C-A27D-D157271F480F}" name="Spalte15753"/>
    <tableColumn id="15771" xr3:uid="{7FF934FC-C11C-41E6-9C42-DFA3206B0FBD}" name="Spalte15754"/>
    <tableColumn id="15772" xr3:uid="{49CBA764-0C98-4E23-8CD7-A7FF040D2736}" name="Spalte15755"/>
    <tableColumn id="15773" xr3:uid="{6D8D1E4F-5CBB-4176-8AB3-10EF76A9D374}" name="Spalte15756"/>
    <tableColumn id="15774" xr3:uid="{62AA0EBC-081F-4F0E-8EC1-45145AA23EC7}" name="Spalte15757"/>
    <tableColumn id="15775" xr3:uid="{57EF9CD5-3B8F-47B3-B433-147B358524D3}" name="Spalte15758"/>
    <tableColumn id="15776" xr3:uid="{31F825CD-2924-41E1-BC80-2AB8137B53F4}" name="Spalte15759"/>
    <tableColumn id="15777" xr3:uid="{A9711605-250E-47F4-940F-08E8C619DDB3}" name="Spalte15760"/>
    <tableColumn id="15778" xr3:uid="{D440CB1F-6525-40CC-929E-64C5CAB6513F}" name="Spalte15761"/>
    <tableColumn id="15779" xr3:uid="{D9331E30-6033-4B47-9BF8-CC15DD1A66AD}" name="Spalte15762"/>
    <tableColumn id="15780" xr3:uid="{9F809947-61DF-487E-9EF9-26A66ADB3FD8}" name="Spalte15763"/>
    <tableColumn id="15781" xr3:uid="{EBCA3982-D2C4-41DC-9719-2B1F7EC0417F}" name="Spalte15764"/>
    <tableColumn id="15782" xr3:uid="{1D5599AC-00A6-4E11-8E33-A38B3CE91563}" name="Spalte15765"/>
    <tableColumn id="15783" xr3:uid="{7B632C90-76E4-4656-8C0E-BB4ADB5801B1}" name="Spalte15766"/>
    <tableColumn id="15784" xr3:uid="{BE0859B3-9B82-4D88-BBB8-15732D6C2780}" name="Spalte15767"/>
    <tableColumn id="15785" xr3:uid="{87E88A65-8546-40DF-AF27-2C4168E1CC22}" name="Spalte15768"/>
    <tableColumn id="15786" xr3:uid="{ABB59EEC-AA82-420D-94E9-7AD7C01861D4}" name="Spalte15769"/>
    <tableColumn id="15787" xr3:uid="{D946F3A8-C161-4566-8BFD-678A6927D9FB}" name="Spalte15770"/>
    <tableColumn id="15788" xr3:uid="{9FFD2E4E-6355-4633-9179-CB9E360F3240}" name="Spalte15771"/>
    <tableColumn id="15789" xr3:uid="{4B683EAC-1A6B-458A-B6BB-A2C58BE2FF36}" name="Spalte15772"/>
    <tableColumn id="15790" xr3:uid="{40516044-6B86-4996-90C4-E444958EDD36}" name="Spalte15773"/>
    <tableColumn id="15791" xr3:uid="{3DA22186-E4F1-4950-BA12-3AA3BFD77288}" name="Spalte15774"/>
    <tableColumn id="15792" xr3:uid="{CBD38062-3FFB-4CBF-95BF-2437674DE3DA}" name="Spalte15775"/>
    <tableColumn id="15793" xr3:uid="{5C053F25-FA81-4842-8765-D6CE01B5CBE8}" name="Spalte15776"/>
    <tableColumn id="15794" xr3:uid="{246F0BD0-A19B-4028-92DA-CDB07EEDA2B4}" name="Spalte15777"/>
    <tableColumn id="15795" xr3:uid="{F0510EB0-7F50-49C7-81AD-F411B44C4E02}" name="Spalte15778"/>
    <tableColumn id="15796" xr3:uid="{A976119D-964C-46AA-9898-49B1A3CD0021}" name="Spalte15779"/>
    <tableColumn id="15797" xr3:uid="{B03CA801-831C-4C29-B61D-DBFA61C546B9}" name="Spalte15780"/>
    <tableColumn id="15798" xr3:uid="{50472ABA-B4D2-44CB-BAF7-C029D693BFC8}" name="Spalte15781"/>
    <tableColumn id="15799" xr3:uid="{490A4435-C6C8-4067-8FF6-4CAB7EB2BEDD}" name="Spalte15782"/>
    <tableColumn id="15800" xr3:uid="{F9765E45-2DB3-4F0C-AB6E-A6FDADA34C2D}" name="Spalte15783"/>
    <tableColumn id="15801" xr3:uid="{0CE4675B-E7FB-4DAE-81F2-73F5067C27AA}" name="Spalte15784"/>
    <tableColumn id="15802" xr3:uid="{6148B9C7-53A2-4EED-88F9-0DE1D60BA752}" name="Spalte15785"/>
    <tableColumn id="15803" xr3:uid="{EF459DB7-F568-4025-9D83-1DF609C72EA5}" name="Spalte15786"/>
    <tableColumn id="15804" xr3:uid="{7A0943AB-379F-44E9-B185-FC2C42252392}" name="Spalte15787"/>
    <tableColumn id="15805" xr3:uid="{176DBF88-633E-462C-94B1-E86037E439E1}" name="Spalte15788"/>
    <tableColumn id="15806" xr3:uid="{530EE2A7-DC7C-40D5-9CDE-AC1FB4B537A8}" name="Spalte15789"/>
    <tableColumn id="15807" xr3:uid="{52004F24-4F12-4385-9379-E32A6034FB04}" name="Spalte15790"/>
    <tableColumn id="15808" xr3:uid="{99D3055F-557C-40C9-9C54-34FBFAF04ACE}" name="Spalte15791"/>
    <tableColumn id="15809" xr3:uid="{86F83BF3-9D61-49BD-93C1-DE8C218602E7}" name="Spalte15792"/>
    <tableColumn id="15810" xr3:uid="{2BDFB14E-2964-4140-A4B0-D90C8913E68D}" name="Spalte15793"/>
    <tableColumn id="15811" xr3:uid="{69C5AE8C-A998-4695-A1D0-4500CAFA4263}" name="Spalte15794"/>
    <tableColumn id="15812" xr3:uid="{95BA4CE6-CD6A-4CA1-97FC-8CDB97F5C454}" name="Spalte15795"/>
    <tableColumn id="15813" xr3:uid="{6458BD8B-89E9-4853-958A-B7C2F23C09BB}" name="Spalte15796"/>
    <tableColumn id="15814" xr3:uid="{2423D56E-D234-4D09-947F-BEFA0FD35EC7}" name="Spalte15797"/>
    <tableColumn id="15815" xr3:uid="{4017D122-0044-4385-83B3-CE0CC1E765AB}" name="Spalte15798"/>
    <tableColumn id="15816" xr3:uid="{4E07F687-A748-4F5D-B782-9CFFAA1C250A}" name="Spalte15799"/>
    <tableColumn id="15817" xr3:uid="{27494191-8694-4569-8084-E1589CB961E6}" name="Spalte15800"/>
    <tableColumn id="15818" xr3:uid="{08FBAA16-1F92-4B48-93FA-EB3F2C953161}" name="Spalte15801"/>
    <tableColumn id="15819" xr3:uid="{FA9EE379-429B-44CB-B7A4-56B7791352C8}" name="Spalte15802"/>
    <tableColumn id="15820" xr3:uid="{E466C6A5-980A-4319-954A-5088D1ED99AC}" name="Spalte15803"/>
    <tableColumn id="15821" xr3:uid="{FBF2F400-D99D-4CCD-BB7D-836D05B2792A}" name="Spalte15804"/>
    <tableColumn id="15822" xr3:uid="{15FA1A9C-9A76-4750-8881-F24F809078DC}" name="Spalte15805"/>
    <tableColumn id="15823" xr3:uid="{104B5D56-1869-437E-8950-F41310520125}" name="Spalte15806"/>
    <tableColumn id="15824" xr3:uid="{F08A5669-FFD9-4581-B5DC-E507BD9CC9E2}" name="Spalte15807"/>
    <tableColumn id="15825" xr3:uid="{55072DFA-0CCD-4C26-9289-889E04349F24}" name="Spalte15808"/>
    <tableColumn id="15826" xr3:uid="{001370F5-7FB2-41B9-984F-C82F4AD62C11}" name="Spalte15809"/>
    <tableColumn id="15827" xr3:uid="{F6E9139A-B151-49BE-A01A-70C674F8C0CE}" name="Spalte15810"/>
    <tableColumn id="15828" xr3:uid="{A8AE46AA-EEC1-4CE7-B4D9-3B9479FC9B83}" name="Spalte15811"/>
    <tableColumn id="15829" xr3:uid="{173069A3-8B1C-4E56-83B5-E16ED4835170}" name="Spalte15812"/>
    <tableColumn id="15830" xr3:uid="{AE24E816-734D-4032-9824-79526C38C533}" name="Spalte15813"/>
    <tableColumn id="15831" xr3:uid="{F563FB6E-A03C-424F-B14B-3F0E7FF8C829}" name="Spalte15814"/>
    <tableColumn id="15832" xr3:uid="{3AE862F9-6E9D-42C8-AC20-FE5F8B8D084E}" name="Spalte15815"/>
    <tableColumn id="15833" xr3:uid="{E6714C6D-B298-45EA-BB8B-E4BE40BC615D}" name="Spalte15816"/>
    <tableColumn id="15834" xr3:uid="{C2860962-7CB0-49F5-963B-1C07378A340C}" name="Spalte15817"/>
    <tableColumn id="15835" xr3:uid="{E8CD44FD-6FA3-4465-8AED-E35740F83C99}" name="Spalte15818"/>
    <tableColumn id="15836" xr3:uid="{BE9329FF-865B-4156-8D54-929D0F05FCB4}" name="Spalte15819"/>
    <tableColumn id="15837" xr3:uid="{8D87F023-4551-4F16-AE2E-26490E304FF0}" name="Spalte15820"/>
    <tableColumn id="15838" xr3:uid="{5FB34252-1541-4063-9B7D-182E9498EA98}" name="Spalte15821"/>
    <tableColumn id="15839" xr3:uid="{B5300407-3B8B-4AE1-A0DE-0D978D09E5E4}" name="Spalte15822"/>
    <tableColumn id="15840" xr3:uid="{563A757C-6770-469C-93E3-B8F81E335117}" name="Spalte15823"/>
    <tableColumn id="15841" xr3:uid="{8C911AC0-5B6F-468B-B8DF-45C5FA2C6300}" name="Spalte15824"/>
    <tableColumn id="15842" xr3:uid="{E6A1BCEF-30C6-4EA3-BD31-6AB3CE2FFAD5}" name="Spalte15825"/>
    <tableColumn id="15843" xr3:uid="{E3D6D6AA-5FFE-4A2F-A0B3-5F8C5691483C}" name="Spalte15826"/>
    <tableColumn id="15844" xr3:uid="{206207EA-EE32-4679-933F-03023E63B723}" name="Spalte15827"/>
    <tableColumn id="15845" xr3:uid="{B77F6C01-3957-447D-8819-66B20F03C132}" name="Spalte15828"/>
    <tableColumn id="15846" xr3:uid="{6C9BACC8-B2DC-4867-A9C4-84479C7B5062}" name="Spalte15829"/>
    <tableColumn id="15847" xr3:uid="{334F20ED-3F48-407A-9E87-D9B9A0942D4D}" name="Spalte15830"/>
    <tableColumn id="15848" xr3:uid="{7C211ECD-D764-4ADD-B423-C0E5D64DF158}" name="Spalte15831"/>
    <tableColumn id="15849" xr3:uid="{8A9B922A-18E9-4932-AC14-46C40A46A476}" name="Spalte15832"/>
    <tableColumn id="15850" xr3:uid="{20D24576-FB4C-4646-8EB1-C0CB681374E7}" name="Spalte15833"/>
    <tableColumn id="15851" xr3:uid="{B3ED3452-0C8C-460E-9546-4BC0954201E0}" name="Spalte15834"/>
    <tableColumn id="15852" xr3:uid="{94C22E8E-8B27-4A42-BCB3-A27B0A479DBB}" name="Spalte15835"/>
    <tableColumn id="15853" xr3:uid="{A6E7ADC1-CFEF-4A11-8E0A-5348BDB3E46B}" name="Spalte15836"/>
    <tableColumn id="15854" xr3:uid="{3AD3C880-67BA-4BE4-8736-FB29B7EEC88B}" name="Spalte15837"/>
    <tableColumn id="15855" xr3:uid="{4ACE6759-F028-4F8C-B2F1-586784B0997E}" name="Spalte15838"/>
    <tableColumn id="15856" xr3:uid="{772B9FBF-0612-4E59-8655-E2B806A376B4}" name="Spalte15839"/>
    <tableColumn id="15857" xr3:uid="{28BDEC97-B1CE-4A56-BCD7-6187FA0B1353}" name="Spalte15840"/>
    <tableColumn id="15858" xr3:uid="{0BA50D6F-11C1-4A98-AA1E-84AFBD57AF68}" name="Spalte15841"/>
    <tableColumn id="15859" xr3:uid="{08CE40D7-7E78-4C99-A021-23227AF9511F}" name="Spalte15842"/>
    <tableColumn id="15860" xr3:uid="{BA9F8A52-AD7F-4394-B175-D2081650FFAE}" name="Spalte15843"/>
    <tableColumn id="15861" xr3:uid="{21E4B9AE-6003-422A-A529-01CB36805603}" name="Spalte15844"/>
    <tableColumn id="15862" xr3:uid="{EB5A8D2E-FB4D-4CEE-AF51-1D994163CF34}" name="Spalte15845"/>
    <tableColumn id="15863" xr3:uid="{F0DCD493-9BBD-4136-ABEB-97DD60F759EA}" name="Spalte15846"/>
    <tableColumn id="15864" xr3:uid="{9FF2279D-84AF-420A-B993-CB90CF632AB5}" name="Spalte15847"/>
    <tableColumn id="15865" xr3:uid="{CADAFCB7-6DB7-4C92-8B9C-B6F1E9D7736B}" name="Spalte15848"/>
    <tableColumn id="15866" xr3:uid="{356D1814-EAF3-41A4-89C3-B26736323D3A}" name="Spalte15849"/>
    <tableColumn id="15867" xr3:uid="{311DE35C-A4F6-4711-AB0C-5C5473C1B0E9}" name="Spalte15850"/>
    <tableColumn id="15868" xr3:uid="{A6AE49EF-8B93-47B3-8D2F-D78AC2EBFA02}" name="Spalte15851"/>
    <tableColumn id="15869" xr3:uid="{AE0D230F-0B45-4CAE-BE21-E8ACF8C2A339}" name="Spalte15852"/>
    <tableColumn id="15870" xr3:uid="{FC52D6A2-7706-456D-873B-89B25B9D21C0}" name="Spalte15853"/>
    <tableColumn id="15871" xr3:uid="{C6FA780B-7222-4E1B-9606-A09576DD8AF4}" name="Spalte15854"/>
    <tableColumn id="15872" xr3:uid="{720D59F0-1A74-445C-ACAC-35AC85795744}" name="Spalte15855"/>
    <tableColumn id="15873" xr3:uid="{26DCFD1D-1DB5-4521-88E2-24F2C153BF37}" name="Spalte15856"/>
    <tableColumn id="15874" xr3:uid="{8AB776CA-33DE-4E7E-B2D9-14BF8A0DD3E1}" name="Spalte15857"/>
    <tableColumn id="15875" xr3:uid="{056B8FE9-2D17-433D-9D2D-7629CC76ED3B}" name="Spalte15858"/>
    <tableColumn id="15876" xr3:uid="{97C9191D-61CB-42E5-A0A3-E17D434D4BB5}" name="Spalte15859"/>
    <tableColumn id="15877" xr3:uid="{A5820D3B-1CAC-408D-8BD0-3EE798FE6CF0}" name="Spalte15860"/>
    <tableColumn id="15878" xr3:uid="{EC502CFC-A342-4839-83FE-B5D58A95B512}" name="Spalte15861"/>
    <tableColumn id="15879" xr3:uid="{5CDC28E6-8544-494C-B673-6FA8A880BB0C}" name="Spalte15862"/>
    <tableColumn id="15880" xr3:uid="{414C893A-A601-41BC-9BAB-AD51C16BECCC}" name="Spalte15863"/>
    <tableColumn id="15881" xr3:uid="{412FE490-14C1-4415-B5C7-6BA8F7279262}" name="Spalte15864"/>
    <tableColumn id="15882" xr3:uid="{38222B71-2587-4E48-8390-BCBEB7759EBD}" name="Spalte15865"/>
    <tableColumn id="15883" xr3:uid="{48EB05D1-DF49-4CCE-8021-71BBA5F74CFA}" name="Spalte15866"/>
    <tableColumn id="15884" xr3:uid="{83CBCEBB-D69A-4CF9-8500-CF13235AECDF}" name="Spalte15867"/>
    <tableColumn id="15885" xr3:uid="{87B488F1-7CFF-4BEE-95EF-A848C6B8C1CE}" name="Spalte15868"/>
    <tableColumn id="15886" xr3:uid="{A9D4D9B7-0E03-4AC5-B5D4-85D34F73D170}" name="Spalte15869"/>
    <tableColumn id="15887" xr3:uid="{5F783C26-9B16-48E1-9E23-11B35B794410}" name="Spalte15870"/>
    <tableColumn id="15888" xr3:uid="{0281CEFE-7332-476F-B0C0-131DA01DC985}" name="Spalte15871"/>
    <tableColumn id="15889" xr3:uid="{DA431A03-33F3-4FA7-9A17-2C0E6C8B7B23}" name="Spalte15872"/>
    <tableColumn id="15890" xr3:uid="{29233A19-BBDC-40C7-84F4-6FEFF0DFBE7D}" name="Spalte15873"/>
    <tableColumn id="15891" xr3:uid="{640C8AF3-DA70-40C7-9718-928643837E8E}" name="Spalte15874"/>
    <tableColumn id="15892" xr3:uid="{A3E150AA-6616-4201-A6BC-5CC5554162AC}" name="Spalte15875"/>
    <tableColumn id="15893" xr3:uid="{530A0508-52DE-4D05-B18F-ACA63D9CC04D}" name="Spalte15876"/>
    <tableColumn id="15894" xr3:uid="{91F98DE2-F170-4FD7-96A9-0D7948A79F83}" name="Spalte15877"/>
    <tableColumn id="15895" xr3:uid="{69C81950-E67F-45D8-816A-20353688E196}" name="Spalte15878"/>
    <tableColumn id="15896" xr3:uid="{3D1FE25E-BB31-4E3C-A3E9-45B8CF20C297}" name="Spalte15879"/>
    <tableColumn id="15897" xr3:uid="{44B5858B-14C3-4110-826D-D6E16D4C4CE7}" name="Spalte15880"/>
    <tableColumn id="15898" xr3:uid="{6A3CA388-A2D7-4951-962D-EB046BB7C8FE}" name="Spalte15881"/>
    <tableColumn id="15899" xr3:uid="{80E3A111-E5BD-4ED7-865E-F2EDD099D250}" name="Spalte15882"/>
    <tableColumn id="15900" xr3:uid="{13F014A9-EE62-4F95-AA29-DF24CCC1A126}" name="Spalte15883"/>
    <tableColumn id="15901" xr3:uid="{05F62546-FCC0-4D19-A277-59FAD3A42454}" name="Spalte15884"/>
    <tableColumn id="15902" xr3:uid="{580EFE04-9F6E-4AAD-A6C5-EDFFFC3F75A9}" name="Spalte15885"/>
    <tableColumn id="15903" xr3:uid="{F1381C22-18BB-4702-B05D-ACD730C0CBFA}" name="Spalte15886"/>
    <tableColumn id="15904" xr3:uid="{32B1A00B-5BF8-40BD-859D-26ECB84E9BDE}" name="Spalte15887"/>
    <tableColumn id="15905" xr3:uid="{1B016BAE-4369-4C43-8282-F060D92C1274}" name="Spalte15888"/>
    <tableColumn id="15906" xr3:uid="{FFA889BA-5453-40AA-BB20-0E119F23DB2F}" name="Spalte15889"/>
    <tableColumn id="15907" xr3:uid="{A94DB6FA-3011-4C41-9DDE-5412DF971F07}" name="Spalte15890"/>
    <tableColumn id="15908" xr3:uid="{8703061E-F1B8-447E-A524-A5E4FF4685C1}" name="Spalte15891"/>
    <tableColumn id="15909" xr3:uid="{2C818EA8-A71F-4BB9-9A03-1416CE7E0277}" name="Spalte15892"/>
    <tableColumn id="15910" xr3:uid="{0509CFC9-7016-4833-92B5-A875FED3E27F}" name="Spalte15893"/>
    <tableColumn id="15911" xr3:uid="{30027A86-EB91-4E5A-A1CD-A7C6BD80579C}" name="Spalte15894"/>
    <tableColumn id="15912" xr3:uid="{4D20FD6B-C38B-4F20-BFA3-7AA94C51416E}" name="Spalte15895"/>
    <tableColumn id="15913" xr3:uid="{58FB9285-4D4E-4928-8486-6B02C91424C2}" name="Spalte15896"/>
    <tableColumn id="15914" xr3:uid="{102AA9A6-0280-4359-B5B9-173A00CA9BE1}" name="Spalte15897"/>
    <tableColumn id="15915" xr3:uid="{8D713B42-4C5A-4844-87CE-7905798BED0F}" name="Spalte15898"/>
    <tableColumn id="15916" xr3:uid="{96ACD98F-078B-4C71-A767-C6A70D991C08}" name="Spalte15899"/>
    <tableColumn id="15917" xr3:uid="{1F688F83-713B-4F67-A134-16DB550750FB}" name="Spalte15900"/>
    <tableColumn id="15918" xr3:uid="{A747AAA8-13CB-42F9-9EAA-C0E9CB277618}" name="Spalte15901"/>
    <tableColumn id="15919" xr3:uid="{0CCE284F-4A0B-4DD6-BD1E-031AC305610F}" name="Spalte15902"/>
    <tableColumn id="15920" xr3:uid="{745F2F65-2310-41B6-9F06-2701DDB0600C}" name="Spalte15903"/>
    <tableColumn id="15921" xr3:uid="{488D21CA-0F13-4AB4-AF60-3B7E6380DCEB}" name="Spalte15904"/>
    <tableColumn id="15922" xr3:uid="{3FB6A1F1-43DD-4547-81BD-A221F3681618}" name="Spalte15905"/>
    <tableColumn id="15923" xr3:uid="{E2DB5017-AEEF-4637-B18F-E7E143453355}" name="Spalte15906"/>
    <tableColumn id="15924" xr3:uid="{817D680F-48F9-4F2B-BB54-30AF77A8AE2A}" name="Spalte15907"/>
    <tableColumn id="15925" xr3:uid="{DD6C6B1B-BADF-438C-B3DE-28D9830246F1}" name="Spalte15908"/>
    <tableColumn id="15926" xr3:uid="{B410B553-A5AB-49E5-8B46-4C21649E7723}" name="Spalte15909"/>
    <tableColumn id="15927" xr3:uid="{D70150D4-6D28-4AEF-B9E0-649237D6657A}" name="Spalte15910"/>
    <tableColumn id="15928" xr3:uid="{E3D73915-A03E-41E3-908D-9BFF5C38AD40}" name="Spalte15911"/>
    <tableColumn id="15929" xr3:uid="{E128C1E0-0CD2-457D-B1FF-52222EED18CB}" name="Spalte15912"/>
    <tableColumn id="15930" xr3:uid="{0D578E16-279C-4B64-8A80-1FF47ABA2FD9}" name="Spalte15913"/>
    <tableColumn id="15931" xr3:uid="{9B5CE813-549C-450E-992E-B8E67EA8351C}" name="Spalte15914"/>
    <tableColumn id="15932" xr3:uid="{1138B250-0123-4230-A056-43C804C7ABD4}" name="Spalte15915"/>
    <tableColumn id="15933" xr3:uid="{B56BE0BF-C425-49C3-A4E0-39611653F025}" name="Spalte15916"/>
    <tableColumn id="15934" xr3:uid="{724B80DB-9433-4059-A9D1-AAB7641D759D}" name="Spalte15917"/>
    <tableColumn id="15935" xr3:uid="{3447EB6A-CE5C-405D-9061-B17602597937}" name="Spalte15918"/>
    <tableColumn id="15936" xr3:uid="{AC9C6B90-67AD-4A44-978A-4CF0C692AA35}" name="Spalte15919"/>
    <tableColumn id="15937" xr3:uid="{48994AB1-9D0B-4F2D-9435-1117D7A6C8E8}" name="Spalte15920"/>
    <tableColumn id="15938" xr3:uid="{BE1EEC20-0F53-42EB-8F81-2AD0A76B8A4A}" name="Spalte15921"/>
    <tableColumn id="15939" xr3:uid="{09FBD9F6-8E0E-42A0-9663-1C68F747669B}" name="Spalte15922"/>
    <tableColumn id="15940" xr3:uid="{28F421CA-A7BA-49DE-A3D9-CF768D32BED3}" name="Spalte15923"/>
    <tableColumn id="15941" xr3:uid="{8FB96374-CA1B-4133-8CBC-37670E191ED3}" name="Spalte15924"/>
    <tableColumn id="15942" xr3:uid="{0C9E2CC0-83E2-4464-9436-FFB2E3D92C2B}" name="Spalte15925"/>
    <tableColumn id="15943" xr3:uid="{7DC582AC-FD06-4907-BB4F-8171BF58B528}" name="Spalte15926"/>
    <tableColumn id="15944" xr3:uid="{D8F52AD7-1BCB-4ADC-97B2-AF2031578104}" name="Spalte15927"/>
    <tableColumn id="15945" xr3:uid="{BC3C4212-5CBD-4FD2-BF8A-E71DA85C50C3}" name="Spalte15928"/>
    <tableColumn id="15946" xr3:uid="{E71A373B-E0C0-4F32-82AA-70DAA401C476}" name="Spalte15929"/>
    <tableColumn id="15947" xr3:uid="{F393ECD4-0ED7-42AC-A56E-1FC1CEE66E06}" name="Spalte15930"/>
    <tableColumn id="15948" xr3:uid="{5726877E-5081-49C4-AA25-CDD26EFDB6B7}" name="Spalte15931"/>
    <tableColumn id="15949" xr3:uid="{00933CFF-0ECC-43D3-8242-28D06F674E3A}" name="Spalte15932"/>
    <tableColumn id="15950" xr3:uid="{6A0B13BE-23D5-4849-890F-358D5E24849A}" name="Spalte15933"/>
    <tableColumn id="15951" xr3:uid="{4B787D34-E0DF-40C6-A3DF-BB3A022320EE}" name="Spalte15934"/>
    <tableColumn id="15952" xr3:uid="{816884CD-B7F5-4BF2-B996-DDDC6752C54F}" name="Spalte15935"/>
    <tableColumn id="15953" xr3:uid="{149FF453-485A-40F8-9D86-17CEE597FCE3}" name="Spalte15936"/>
    <tableColumn id="15954" xr3:uid="{7BDBF786-FBFD-418B-B4BC-582FB6CF0E7C}" name="Spalte15937"/>
    <tableColumn id="15955" xr3:uid="{2004E6A2-B054-4E36-A1C9-ED60AB8C906E}" name="Spalte15938"/>
    <tableColumn id="15956" xr3:uid="{8187FFAF-73C6-46E9-B722-F488F7123A21}" name="Spalte15939"/>
    <tableColumn id="15957" xr3:uid="{33FEE659-38BD-4979-AE86-62143E6C9A72}" name="Spalte15940"/>
    <tableColumn id="15958" xr3:uid="{52E30E6F-2795-49D1-A876-E8C450DF7B54}" name="Spalte15941"/>
    <tableColumn id="15959" xr3:uid="{DE6DC232-EEB3-42D2-875F-5D8B800B30E9}" name="Spalte15942"/>
    <tableColumn id="15960" xr3:uid="{3E47B550-A9E7-4A8A-9DE7-3517391BABCB}" name="Spalte15943"/>
    <tableColumn id="15961" xr3:uid="{9098DA57-F3CC-44AE-984A-E9851C15036C}" name="Spalte15944"/>
    <tableColumn id="15962" xr3:uid="{88A7DE0C-5674-421B-910F-504BE6733384}" name="Spalte15945"/>
    <tableColumn id="15963" xr3:uid="{E7020EA9-0B06-47E8-B170-7DAE2EC4B388}" name="Spalte15946"/>
    <tableColumn id="15964" xr3:uid="{176FB064-12E7-4129-8D98-9B095A827964}" name="Spalte15947"/>
    <tableColumn id="15965" xr3:uid="{A2B5E41E-B7B2-4C0D-B0B3-C98E69EAB198}" name="Spalte15948"/>
    <tableColumn id="15966" xr3:uid="{5C6D2CF7-8F42-40EC-8954-D0501FDC3F4A}" name="Spalte15949"/>
    <tableColumn id="15967" xr3:uid="{7D9B810A-992B-4C00-89D1-69CD23ACDE67}" name="Spalte15950"/>
    <tableColumn id="15968" xr3:uid="{19C301AC-B5D3-4CAD-96F7-7FA579101F28}" name="Spalte15951"/>
    <tableColumn id="15969" xr3:uid="{24F3DB8A-F4F3-40C9-B45D-6FD289794608}" name="Spalte15952"/>
    <tableColumn id="15970" xr3:uid="{5E914B63-E431-4B0F-9EEC-1A6DCD2C2B82}" name="Spalte15953"/>
    <tableColumn id="15971" xr3:uid="{0864C226-CD37-410E-8EEA-48BCF1C91990}" name="Spalte15954"/>
    <tableColumn id="15972" xr3:uid="{D421F1B3-7F43-42DF-BA25-999854292379}" name="Spalte15955"/>
    <tableColumn id="15973" xr3:uid="{A3EEBE24-81BE-407C-B1DA-17F89D77CC5E}" name="Spalte15956"/>
    <tableColumn id="15974" xr3:uid="{EA57EEB6-62BD-457E-AD86-5DB22074BA96}" name="Spalte15957"/>
    <tableColumn id="15975" xr3:uid="{619394C2-DB08-4D70-BD31-019386DEF24A}" name="Spalte15958"/>
    <tableColumn id="15976" xr3:uid="{A7D05B55-2CA1-41B1-99B7-E7201E7C6B59}" name="Spalte15959"/>
    <tableColumn id="15977" xr3:uid="{DFAEE721-79D2-47D2-9B15-AEA9BF02A174}" name="Spalte15960"/>
    <tableColumn id="15978" xr3:uid="{2B2221BE-F282-4C0C-A8A3-AADA2733C0C5}" name="Spalte15961"/>
    <tableColumn id="15979" xr3:uid="{DF4B1E4B-9377-493C-8EE9-D993CB74994B}" name="Spalte15962"/>
    <tableColumn id="15980" xr3:uid="{03D0CF85-888A-4F73-9D23-1FE819A7A6E4}" name="Spalte15963"/>
    <tableColumn id="15981" xr3:uid="{E96FB9A7-8699-446F-974E-EB437992D1B6}" name="Spalte15964"/>
    <tableColumn id="15982" xr3:uid="{7C5D80D2-E6B7-4474-9A01-78DAF78FB9B9}" name="Spalte15965"/>
    <tableColumn id="15983" xr3:uid="{4C95885D-C4C3-480C-AD11-22393542F3B5}" name="Spalte15966"/>
    <tableColumn id="15984" xr3:uid="{3A13E95F-8B9C-469F-A636-56E9DC1F85B8}" name="Spalte15967"/>
    <tableColumn id="15985" xr3:uid="{EE2678B9-6DD2-4BF4-ACC5-212303CBC033}" name="Spalte15968"/>
    <tableColumn id="15986" xr3:uid="{55BA90A3-7688-4A18-AD50-952650FC46EE}" name="Spalte15969"/>
    <tableColumn id="15987" xr3:uid="{2C6FF71E-355D-48D5-8B10-A090251AFAB8}" name="Spalte15970"/>
    <tableColumn id="15988" xr3:uid="{2E56E6EA-FEC3-4154-A836-D4E1032D5587}" name="Spalte15971"/>
    <tableColumn id="15989" xr3:uid="{3BF0F7F5-B024-443C-A221-F02F55C16D7A}" name="Spalte15972"/>
    <tableColumn id="15990" xr3:uid="{9023FE23-6848-4ACB-8C3E-FD54CF83EADB}" name="Spalte15973"/>
    <tableColumn id="15991" xr3:uid="{E88B458E-073A-4F84-9262-7C2477444FEE}" name="Spalte15974"/>
    <tableColumn id="15992" xr3:uid="{D565A1F8-2A46-45CE-B1BF-9365D52B4D3F}" name="Spalte15975"/>
    <tableColumn id="15993" xr3:uid="{5A7EEA87-7620-4F29-B90D-F411A76B923D}" name="Spalte15976"/>
    <tableColumn id="15994" xr3:uid="{B96E9A73-0782-4535-B01A-C4A434A823DD}" name="Spalte15977"/>
    <tableColumn id="15995" xr3:uid="{2267A174-58A5-46CA-9207-9E0965BE2D30}" name="Spalte15978"/>
    <tableColumn id="15996" xr3:uid="{2B21D3B3-F18A-4E87-BB05-7F822931E253}" name="Spalte15979"/>
    <tableColumn id="15997" xr3:uid="{7926CD6A-8DCC-4AC0-BBDB-69AD2E81C0F9}" name="Spalte15980"/>
    <tableColumn id="15998" xr3:uid="{E25F3C29-C08C-487D-9308-4E14F2F93B33}" name="Spalte15981"/>
    <tableColumn id="15999" xr3:uid="{6330576C-DCB4-4AA6-8B4B-E103DFB2D377}" name="Spalte15982"/>
    <tableColumn id="16000" xr3:uid="{11F888CF-4E7C-4931-9BB9-6D1D4DD9F347}" name="Spalte15983"/>
    <tableColumn id="16001" xr3:uid="{17A1A0AA-2EA2-4AA4-8298-008F756B7029}" name="Spalte15984"/>
    <tableColumn id="16002" xr3:uid="{5390FD39-76C2-4901-9CAD-40ACC1DD341D}" name="Spalte15985"/>
    <tableColumn id="16003" xr3:uid="{264288BE-8AE9-4F56-9682-BB28505CCAF5}" name="Spalte15986"/>
    <tableColumn id="16004" xr3:uid="{4D4DAE92-45C2-465C-926B-5B66D5F394DC}" name="Spalte15987"/>
    <tableColumn id="16005" xr3:uid="{9D75BC3F-AF51-455F-9AE5-54036D63C70A}" name="Spalte15988"/>
    <tableColumn id="16006" xr3:uid="{B7BBC076-A3E3-4184-8F67-CDFBEE97C53C}" name="Spalte15989"/>
    <tableColumn id="16007" xr3:uid="{212EA397-1F17-4B74-B2E2-058EEB951527}" name="Spalte15990"/>
    <tableColumn id="16008" xr3:uid="{411E91D3-727D-453E-8E81-357208075A87}" name="Spalte15991"/>
    <tableColumn id="16009" xr3:uid="{9D4A1427-B1CD-4686-AED0-C279C1F82DCD}" name="Spalte15992"/>
    <tableColumn id="16010" xr3:uid="{AFD4FA3A-8CED-48AA-8351-E93059B1C2C7}" name="Spalte15993"/>
    <tableColumn id="16011" xr3:uid="{C1D8BAFD-A050-4075-8E82-99B449A8B6A1}" name="Spalte15994"/>
    <tableColumn id="16012" xr3:uid="{19D9C255-7325-4DE5-88F0-1FE2EE3F9E0A}" name="Spalte15995"/>
    <tableColumn id="16013" xr3:uid="{6693870D-1B6C-4A9A-ADEC-4A531125F38B}" name="Spalte15996"/>
    <tableColumn id="16014" xr3:uid="{4980A53C-0FA3-44F0-96D2-EB2C0A1249F3}" name="Spalte15997"/>
    <tableColumn id="16015" xr3:uid="{27686869-9349-4795-BA5D-791E0E5719B7}" name="Spalte15998"/>
    <tableColumn id="16016" xr3:uid="{ABF705F3-5D1B-4450-A597-036F694149E4}" name="Spalte15999"/>
    <tableColumn id="16017" xr3:uid="{938D9FC3-0A26-4D8F-982E-7EAA8E45A0FC}" name="Spalte16000"/>
    <tableColumn id="16018" xr3:uid="{FDD96B03-1E16-4075-A734-57A4DD39BE84}" name="Spalte16001"/>
    <tableColumn id="16019" xr3:uid="{3D631A86-36DB-483F-8D10-DC8DABB97AE1}" name="Spalte16002"/>
    <tableColumn id="16020" xr3:uid="{FA23D931-9164-4239-9195-CC6C802D3B68}" name="Spalte16003"/>
    <tableColumn id="16021" xr3:uid="{3F153462-68BF-4CC8-829A-D4FB1F77F8BC}" name="Spalte16004"/>
    <tableColumn id="16022" xr3:uid="{448A612E-85DD-4C8E-AAA6-E9669263BB5F}" name="Spalte16005"/>
    <tableColumn id="16023" xr3:uid="{14338695-5494-4472-8A6E-81BDC90BD879}" name="Spalte16006"/>
    <tableColumn id="16024" xr3:uid="{9D6D34D9-7204-4186-B301-491F3011C9A4}" name="Spalte16007"/>
    <tableColumn id="16025" xr3:uid="{A3EF1AA8-5736-4519-BD39-025ABF84DDF3}" name="Spalte16008"/>
    <tableColumn id="16026" xr3:uid="{D5BB4412-ACCE-47CB-BB9B-16F951F86064}" name="Spalte16009"/>
    <tableColumn id="16027" xr3:uid="{963A8D46-94D7-40AF-A2C0-9EB89963BCC9}" name="Spalte16010"/>
    <tableColumn id="16028" xr3:uid="{11850B5B-427C-484A-9E62-DF86E4041CF8}" name="Spalte16011"/>
    <tableColumn id="16029" xr3:uid="{8491496C-0F9B-4F69-9361-C75F34FC7959}" name="Spalte16012"/>
    <tableColumn id="16030" xr3:uid="{6F7FABCE-0B2C-426C-B0E6-1703DD5E46FF}" name="Spalte16013"/>
    <tableColumn id="16031" xr3:uid="{D1A5B656-FEA6-4FC1-AAC5-6613DCDF8BB0}" name="Spalte16014"/>
    <tableColumn id="16032" xr3:uid="{246A3D0D-A8E9-4BD1-A8E7-98952B5A76B3}" name="Spalte16015"/>
    <tableColumn id="16033" xr3:uid="{F54FBA90-2837-47D1-AE72-A5E86D75514E}" name="Spalte16016"/>
    <tableColumn id="16034" xr3:uid="{10AC6CF9-4159-4CBD-B69C-157266ED8AFC}" name="Spalte16017"/>
    <tableColumn id="16035" xr3:uid="{0EFD97BF-082F-413A-BB11-948040860221}" name="Spalte16018"/>
    <tableColumn id="16036" xr3:uid="{0BCB4D16-1939-407D-8DF5-F94D44133068}" name="Spalte16019"/>
    <tableColumn id="16037" xr3:uid="{F7203BBE-049C-401D-97B0-24C8F406A7DF}" name="Spalte16020"/>
    <tableColumn id="16038" xr3:uid="{B178DE9A-9E08-4B1A-98AE-D5D4F7034163}" name="Spalte16021"/>
    <tableColumn id="16039" xr3:uid="{DF88E1E9-63C4-41A6-9C3A-7A11FB6F8040}" name="Spalte16022"/>
    <tableColumn id="16040" xr3:uid="{2D6D58CD-0FA4-4A95-BD16-400540B48EA0}" name="Spalte16023"/>
    <tableColumn id="16041" xr3:uid="{CA65CB01-7D15-4544-B67E-89C3A74B5E55}" name="Spalte16024"/>
    <tableColumn id="16042" xr3:uid="{CF2AA867-4EE0-4CCE-B82F-711592AFD338}" name="Spalte16025"/>
    <tableColumn id="16043" xr3:uid="{9075F63F-3EF9-4393-95CC-958F12084BC1}" name="Spalte16026"/>
    <tableColumn id="16044" xr3:uid="{F7FA62A7-AC23-4BB0-B2D6-9C7D918A6A60}" name="Spalte16027"/>
    <tableColumn id="16045" xr3:uid="{9D86BC6D-F6E6-41A6-8D42-76427098296C}" name="Spalte16028"/>
    <tableColumn id="16046" xr3:uid="{F8B069CC-DBAE-42AD-87EF-252C1FA8676A}" name="Spalte16029"/>
    <tableColumn id="16047" xr3:uid="{9F467447-B082-4847-B8A8-6A860C362184}" name="Spalte16030"/>
    <tableColumn id="16048" xr3:uid="{14231168-2969-40F9-8E7B-79CFBDC8C63E}" name="Spalte16031"/>
    <tableColumn id="16049" xr3:uid="{A9F6CB75-689C-4735-AA6F-41CB93645429}" name="Spalte16032"/>
    <tableColumn id="16050" xr3:uid="{93CD7315-0194-48B9-9A62-BEB2B2F5B1AD}" name="Spalte16033"/>
    <tableColumn id="16051" xr3:uid="{D710F4F9-0224-42DB-B37D-E28C3DAD8DAE}" name="Spalte16034"/>
    <tableColumn id="16052" xr3:uid="{C5004F67-CDBD-4293-983E-6DE1629C09A8}" name="Spalte16035"/>
    <tableColumn id="16053" xr3:uid="{D5C06FF9-6EF0-43D2-9845-B788A9AFB56D}" name="Spalte16036"/>
    <tableColumn id="16054" xr3:uid="{E951A6D1-A208-4219-961A-5C4B2A905A7F}" name="Spalte16037"/>
    <tableColumn id="16055" xr3:uid="{1B450FB5-3E85-44D2-A17A-8AC3644EEF23}" name="Spalte16038"/>
    <tableColumn id="16056" xr3:uid="{71D04D90-9388-42D1-AB67-7DFA615CAD6C}" name="Spalte16039"/>
    <tableColumn id="16057" xr3:uid="{2A322297-ED77-498A-85A1-AFB56FF094C7}" name="Spalte16040"/>
    <tableColumn id="16058" xr3:uid="{5AD0C0D5-2791-4B4B-BBAC-E3B8CD6138C5}" name="Spalte16041"/>
    <tableColumn id="16059" xr3:uid="{9929247F-40CC-44EE-8E3B-E115B5F75D5A}" name="Spalte16042"/>
    <tableColumn id="16060" xr3:uid="{1B7F48B5-F2F5-40A9-8C87-38BF98574E0E}" name="Spalte16043"/>
    <tableColumn id="16061" xr3:uid="{4F170841-9A9A-4F87-A164-EB2587A1BA30}" name="Spalte16044"/>
    <tableColumn id="16062" xr3:uid="{2ACF01B6-6C3B-441F-B8E8-D717601B3EE3}" name="Spalte16045"/>
    <tableColumn id="16063" xr3:uid="{91E17426-8AF6-4B64-959C-A7353AA1C07F}" name="Spalte16046"/>
    <tableColumn id="16064" xr3:uid="{6A043B72-6423-4B57-8754-656E972868AF}" name="Spalte16047"/>
    <tableColumn id="16065" xr3:uid="{F8A411D8-8008-4D19-BC64-04487CBA4B0A}" name="Spalte16048"/>
    <tableColumn id="16066" xr3:uid="{D7E4451F-4A04-4D39-9355-B722620A7AC9}" name="Spalte16049"/>
    <tableColumn id="16067" xr3:uid="{BE77654B-2F72-4A9B-AF0B-55ED6A279985}" name="Spalte16050"/>
    <tableColumn id="16068" xr3:uid="{4966E654-D09A-4345-B87E-B77423C1DC1B}" name="Spalte16051"/>
    <tableColumn id="16069" xr3:uid="{1DE82014-54BB-4DDC-AE0C-F7BFE065FD3B}" name="Spalte16052"/>
    <tableColumn id="16070" xr3:uid="{2230D3C6-111F-4F5A-83A8-413F02D6887B}" name="Spalte16053"/>
    <tableColumn id="16071" xr3:uid="{D856EEC9-FF86-4824-A340-618BD8378E10}" name="Spalte16054"/>
    <tableColumn id="16072" xr3:uid="{2A9543A1-EDDC-4472-AC89-07D13E77732B}" name="Spalte16055"/>
    <tableColumn id="16073" xr3:uid="{80804F36-FD1D-42CD-B621-56BA1F2DD7ED}" name="Spalte16056"/>
    <tableColumn id="16074" xr3:uid="{626FD085-509B-426E-BE9C-A08D9890C76C}" name="Spalte16057"/>
    <tableColumn id="16075" xr3:uid="{7EF175C9-A5B2-496E-903E-E3362B10EC03}" name="Spalte16058"/>
    <tableColumn id="16076" xr3:uid="{4B707CEC-47E0-4C6A-ABEA-E464CAEB297B}" name="Spalte16059"/>
    <tableColumn id="16077" xr3:uid="{7506AC88-74D5-490C-BDE5-031C9823F8FB}" name="Spalte16060"/>
    <tableColumn id="16078" xr3:uid="{936BEEF5-08C1-42F9-94D5-FED330C5D6D8}" name="Spalte16061"/>
    <tableColumn id="16079" xr3:uid="{4D78CB8E-24F8-4A9D-8B1D-38F309D9F9FD}" name="Spalte16062"/>
    <tableColumn id="16080" xr3:uid="{2F0EC35E-31F9-4E5F-8C8F-40CB0F73F0FD}" name="Spalte16063"/>
    <tableColumn id="16081" xr3:uid="{FCB462EB-A6E6-498A-8ED0-25A2BF519165}" name="Spalte16064"/>
    <tableColumn id="16082" xr3:uid="{DA67D8C9-1EA8-47A1-A3A6-8817952E37EF}" name="Spalte16065"/>
    <tableColumn id="16083" xr3:uid="{0DDE39BE-186C-439A-AE69-2C543B0519C1}" name="Spalte16066"/>
    <tableColumn id="16084" xr3:uid="{ED8D5F17-6348-48D5-8D63-0D2FD2BB2349}" name="Spalte16067"/>
    <tableColumn id="16085" xr3:uid="{5F50E9F1-5D4F-425B-BB59-8BB6D06D80A8}" name="Spalte16068"/>
    <tableColumn id="16086" xr3:uid="{FAB8310E-BDD0-4EC7-888A-D7AE4712CAE6}" name="Spalte16069"/>
    <tableColumn id="16087" xr3:uid="{D1DA2B6A-7569-419A-A164-3CDCE2B68182}" name="Spalte16070"/>
    <tableColumn id="16088" xr3:uid="{71EA63ED-23BB-4ADA-B1CB-18F2E48C03AF}" name="Spalte16071"/>
    <tableColumn id="16089" xr3:uid="{0924BAA7-F636-4EA1-8AE4-F7CE6282A24F}" name="Spalte16072"/>
    <tableColumn id="16090" xr3:uid="{A6FD7AD2-B349-4C28-A1FE-49E34C5AB38C}" name="Spalte16073"/>
    <tableColumn id="16091" xr3:uid="{CD98E6AF-F882-4E26-94CC-45DB061CCF43}" name="Spalte16074"/>
    <tableColumn id="16092" xr3:uid="{C932443D-62B2-411D-AEA4-533A82604722}" name="Spalte16075"/>
    <tableColumn id="16093" xr3:uid="{4C3AA043-CEDD-4C24-9D94-48AED14B3C34}" name="Spalte16076"/>
    <tableColumn id="16094" xr3:uid="{91137D43-BBC2-4703-A381-2D7966D916BF}" name="Spalte16077"/>
    <tableColumn id="16095" xr3:uid="{CE70CA7D-D91A-4B70-A988-FB23744143BE}" name="Spalte16078"/>
    <tableColumn id="16096" xr3:uid="{30BE1DBD-BF77-42E1-86C6-644CC96D89C7}" name="Spalte16079"/>
    <tableColumn id="16097" xr3:uid="{E3E67D69-DF15-493E-9696-92D9079DF20A}" name="Spalte16080"/>
    <tableColumn id="16098" xr3:uid="{103615A2-2216-4194-9737-5D0030A092D4}" name="Spalte16081"/>
    <tableColumn id="16099" xr3:uid="{437B04BE-93BD-4879-9DF6-37F8506A14CE}" name="Spalte16082"/>
    <tableColumn id="16100" xr3:uid="{090C47B8-7BA0-4108-8F66-56DC2836195E}" name="Spalte16083"/>
    <tableColumn id="16101" xr3:uid="{3ECF60EB-B34C-4AA1-94FB-CAFD33684C40}" name="Spalte16084"/>
    <tableColumn id="16102" xr3:uid="{4AB7596C-B3B7-4095-8BFD-480445545091}" name="Spalte16085"/>
    <tableColumn id="16103" xr3:uid="{2E86DCA9-2553-43C8-B45B-8019340FACC5}" name="Spalte16086"/>
    <tableColumn id="16104" xr3:uid="{234FE189-B2C1-4788-957D-72DD0B2DECE6}" name="Spalte16087"/>
    <tableColumn id="16105" xr3:uid="{6A73BD7E-9B5C-4E70-BCF2-4BDA8A03AC03}" name="Spalte16088"/>
    <tableColumn id="16106" xr3:uid="{AE7D4240-2F25-4FDA-9BB9-94A8645FAE67}" name="Spalte16089"/>
    <tableColumn id="16107" xr3:uid="{8F62A334-629D-4C3F-8FE6-195ED0B9EECE}" name="Spalte16090"/>
    <tableColumn id="16108" xr3:uid="{40BEFF39-A3E0-4EB8-AA02-2F6A294FBE01}" name="Spalte16091"/>
    <tableColumn id="16109" xr3:uid="{211AC2FA-6837-41EA-B1F4-8C69C9164CBB}" name="Spalte16092"/>
    <tableColumn id="16110" xr3:uid="{E0BC7D37-4960-4A95-8A0C-C4B1EE2FF8D9}" name="Spalte16093"/>
    <tableColumn id="16111" xr3:uid="{59AB116E-6166-460B-9A21-95A16AD01799}" name="Spalte16094"/>
    <tableColumn id="16112" xr3:uid="{AA12CA6D-09AF-4A51-A092-FDE30455834D}" name="Spalte16095"/>
    <tableColumn id="16113" xr3:uid="{04362559-F691-4540-9850-C198223335B0}" name="Spalte16096"/>
    <tableColumn id="16114" xr3:uid="{958D3407-B16F-4D41-967E-917247F608F5}" name="Spalte16097"/>
    <tableColumn id="16115" xr3:uid="{3CF569FE-B050-42C2-84BA-00600DF1DE83}" name="Spalte16098"/>
    <tableColumn id="16116" xr3:uid="{4933BCB4-DE22-4F26-9C22-B31087D6D823}" name="Spalte16099"/>
    <tableColumn id="16117" xr3:uid="{CBFAE1BF-C980-42F4-916E-569247E0CBB8}" name="Spalte16100"/>
    <tableColumn id="16118" xr3:uid="{E93C29FB-BB4E-474E-8D68-60DB3A039F69}" name="Spalte16101"/>
    <tableColumn id="16119" xr3:uid="{EBBD3458-7F8B-42DB-B5B9-1FA40BAE2740}" name="Spalte16102"/>
    <tableColumn id="16120" xr3:uid="{C61DAF98-7AFF-4B62-90F1-5D7A803D44D2}" name="Spalte16103"/>
    <tableColumn id="16121" xr3:uid="{A36127CF-00A1-485F-9ABC-BABAF2E20D2A}" name="Spalte16104"/>
    <tableColumn id="16122" xr3:uid="{E8101122-4167-45CF-8750-D1670B85D090}" name="Spalte16105"/>
    <tableColumn id="16123" xr3:uid="{226FBF26-21DF-44F7-AB81-7303E1C0A2E6}" name="Spalte16106"/>
    <tableColumn id="16124" xr3:uid="{722AB7F9-7F78-4A92-9897-4108FEDBC063}" name="Spalte16107"/>
    <tableColumn id="16125" xr3:uid="{EED96B3A-7662-49FD-ABF1-E8793AE2E735}" name="Spalte16108"/>
    <tableColumn id="16126" xr3:uid="{B076C6EB-F9E7-4683-80E0-1342B6C58202}" name="Spalte16109"/>
    <tableColumn id="16127" xr3:uid="{04E2C5F7-2B62-46F8-8375-A56122573917}" name="Spalte16110"/>
    <tableColumn id="16128" xr3:uid="{0F690B8D-3D50-467A-8BCD-EEAD6A076537}" name="Spalte16111"/>
    <tableColumn id="16129" xr3:uid="{621534A3-EC24-4884-9362-BD08F7C74288}" name="Spalte16112"/>
    <tableColumn id="16130" xr3:uid="{D8A85AF6-D904-4896-A7F0-F98F05EB3BB3}" name="Spalte16113"/>
    <tableColumn id="16131" xr3:uid="{74968F8A-C724-42A9-BC9B-AB26832942A5}" name="Spalte16114"/>
    <tableColumn id="16132" xr3:uid="{1B50E6AF-7898-43D9-983D-6351484E8E5A}" name="Spalte16115"/>
    <tableColumn id="16133" xr3:uid="{7BDB1A40-67A7-43EF-9367-C71ABE9A2FDE}" name="Spalte16116"/>
    <tableColumn id="16134" xr3:uid="{5654A44A-0847-4B7B-8D85-413BF107A4ED}" name="Spalte16117"/>
    <tableColumn id="16135" xr3:uid="{DAA56C37-16E0-4F5A-9C69-00A4A124C9F0}" name="Spalte16118"/>
    <tableColumn id="16136" xr3:uid="{6A589967-3E12-46DE-843A-7DA85687103C}" name="Spalte16119"/>
    <tableColumn id="16137" xr3:uid="{AE15F233-E705-42E9-9CF0-A6C4C76BFBE7}" name="Spalte16120"/>
    <tableColumn id="16138" xr3:uid="{AFD98470-542D-4934-A55F-0C4D1988073F}" name="Spalte16121"/>
    <tableColumn id="16139" xr3:uid="{061C797A-5A71-4B45-85C5-DCEB4CCCC58C}" name="Spalte16122"/>
    <tableColumn id="16140" xr3:uid="{800507AB-B604-4CC9-BC97-BC4D0F70945E}" name="Spalte16123"/>
    <tableColumn id="16141" xr3:uid="{FE632A23-E404-498B-95AE-B0DB976D932F}" name="Spalte16124"/>
    <tableColumn id="16142" xr3:uid="{CA0C34E5-02D1-480E-BEFE-3CC13561AEB6}" name="Spalte16125"/>
    <tableColumn id="16143" xr3:uid="{4A416735-6EE9-4C7B-8A33-E3CB09F01AFC}" name="Spalte16126"/>
    <tableColumn id="16144" xr3:uid="{9BA5C131-0F8E-40BD-9691-8C296BAFD740}" name="Spalte16127"/>
    <tableColumn id="16145" xr3:uid="{812E3BE1-5205-4F6F-B9A7-A41946D7DF8F}" name="Spalte16128"/>
    <tableColumn id="16146" xr3:uid="{0AC3A024-39B5-413E-A2CE-6BA44EE7F8E2}" name="Spalte16129"/>
    <tableColumn id="16147" xr3:uid="{D5A39BF5-8A03-45F7-83C9-F55C3F498E93}" name="Spalte16130"/>
    <tableColumn id="16148" xr3:uid="{C0BE1933-1DE2-426F-B1F5-E2ED63299C02}" name="Spalte16131"/>
    <tableColumn id="16149" xr3:uid="{D798E919-172F-4AC1-AAE3-EC9AF6D25228}" name="Spalte16132"/>
    <tableColumn id="16150" xr3:uid="{769B6574-CE1A-4EF7-B7E9-47AA8B58538E}" name="Spalte16133"/>
    <tableColumn id="16151" xr3:uid="{5462C228-86D1-4B21-A7A6-A1EFE4396FFB}" name="Spalte16134"/>
    <tableColumn id="16152" xr3:uid="{028DB4F3-0ADC-4221-8D58-1C705D0A25AE}" name="Spalte16135"/>
    <tableColumn id="16153" xr3:uid="{5BEA58BB-9E61-406B-989D-EE03DC14FF28}" name="Spalte16136"/>
    <tableColumn id="16154" xr3:uid="{59A88F10-D4E0-43E9-BCD3-4CF659DD6AED}" name="Spalte16137"/>
    <tableColumn id="16155" xr3:uid="{65A47822-FE42-4A56-BCBA-C07D4A3B4745}" name="Spalte16138"/>
    <tableColumn id="16156" xr3:uid="{BC14E61A-2A25-4B69-A3A1-42C603F5857D}" name="Spalte16139"/>
    <tableColumn id="16157" xr3:uid="{76A58F53-3E94-4A0C-BD0E-E15C186746F7}" name="Spalte16140"/>
    <tableColumn id="16158" xr3:uid="{571CE44A-3550-4FD9-843D-1F0F98779D60}" name="Spalte16141"/>
    <tableColumn id="16159" xr3:uid="{8DD72EBF-2D48-4B6B-883E-CC03CB2430D4}" name="Spalte16142"/>
    <tableColumn id="16160" xr3:uid="{DF9A0D09-3813-49B7-A28C-F2A5CF793AAF}" name="Spalte16143"/>
    <tableColumn id="16161" xr3:uid="{E0ABF116-1FC2-460C-A055-00DA3C5586C6}" name="Spalte16144"/>
    <tableColumn id="16162" xr3:uid="{B53552E9-920F-46C5-A583-D531A387C717}" name="Spalte16145"/>
    <tableColumn id="16163" xr3:uid="{11680F88-B04E-48BF-83D5-AA4ACD858814}" name="Spalte16146"/>
    <tableColumn id="16164" xr3:uid="{E2EA9DA1-52AC-4AA5-9235-C695800FDC99}" name="Spalte16147"/>
    <tableColumn id="16165" xr3:uid="{3416F0E3-B3F2-4F4F-B2B6-81A55613D4CD}" name="Spalte16148"/>
    <tableColumn id="16166" xr3:uid="{7F2B5211-7647-40B4-94EF-610665BE158E}" name="Spalte16149"/>
    <tableColumn id="16167" xr3:uid="{C803B9D2-7E1A-47C8-A0ED-6AA4893F8419}" name="Spalte16150"/>
    <tableColumn id="16168" xr3:uid="{A5C881E0-6543-4826-AD7E-D2CD3FD91F3B}" name="Spalte16151"/>
    <tableColumn id="16169" xr3:uid="{8EA2860F-1B13-40E0-93DF-67EABBC07ED2}" name="Spalte16152"/>
    <tableColumn id="16170" xr3:uid="{D614BE5B-86CB-4A37-BD9D-A3CE556CD45C}" name="Spalte16153"/>
    <tableColumn id="16171" xr3:uid="{3F317F7A-8314-4754-8439-F71DEE1FE967}" name="Spalte16154"/>
    <tableColumn id="16172" xr3:uid="{C56D7DF5-8906-495F-BD01-DE6CBE8B204B}" name="Spalte16155"/>
    <tableColumn id="16173" xr3:uid="{9C2CE79C-9D14-4EE1-A06F-38F78E34750C}" name="Spalte16156"/>
    <tableColumn id="16174" xr3:uid="{5F4F9956-A0BB-4942-8FF6-1B5C57EC0C2C}" name="Spalte16157"/>
    <tableColumn id="16175" xr3:uid="{A8F5A9C8-C917-4641-ABF1-EFAE0A58B354}" name="Spalte16158"/>
    <tableColumn id="16176" xr3:uid="{2AC73347-DAA8-4AE4-A0B5-CAD065BA7078}" name="Spalte16159"/>
    <tableColumn id="16177" xr3:uid="{B0E25289-1AD1-4979-99CD-FF90AE0E41FD}" name="Spalte16160"/>
    <tableColumn id="16178" xr3:uid="{A5C3750B-2D45-4B6D-87B0-D1410AB9A34B}" name="Spalte16161"/>
    <tableColumn id="16179" xr3:uid="{B45AB818-99B9-48A3-A964-1952C8CB33F2}" name="Spalte16162"/>
    <tableColumn id="16180" xr3:uid="{48B151CB-180C-4C18-84F1-5027D178B3DC}" name="Spalte16163"/>
    <tableColumn id="16181" xr3:uid="{7D4C76BA-089C-4AD8-8A88-093919267EB1}" name="Spalte16164"/>
    <tableColumn id="16182" xr3:uid="{5C9FC31B-899F-4E47-9DF3-62CBE24482A5}" name="Spalte16165"/>
    <tableColumn id="16183" xr3:uid="{EDD64A81-9F59-4260-8D14-75C94C375170}" name="Spalte16166"/>
    <tableColumn id="16184" xr3:uid="{2F27784A-926F-439E-9CA9-F4B1E018E392}" name="Spalte16167"/>
    <tableColumn id="16185" xr3:uid="{D3721D99-036F-4674-A9D1-BAD4E53B982B}" name="Spalte16168"/>
    <tableColumn id="16186" xr3:uid="{B99965E2-B763-4012-BBE6-3AEABC4E670D}" name="Spalte16169"/>
    <tableColumn id="16187" xr3:uid="{2C1FF724-6FE5-41B9-8765-FD25283D6938}" name="Spalte16170"/>
    <tableColumn id="16188" xr3:uid="{3CA0A37B-7F5F-4384-A6EF-00D0AF5F3906}" name="Spalte16171"/>
    <tableColumn id="16189" xr3:uid="{6F4BDD6F-9208-4EA2-8511-B21618EF60EB}" name="Spalte16172"/>
    <tableColumn id="16190" xr3:uid="{05D8F8C8-7A02-4FF3-98B2-6A5D64687825}" name="Spalte16173"/>
    <tableColumn id="16191" xr3:uid="{33150D82-FA5F-490A-9502-13D3E91F0F88}" name="Spalte16174"/>
    <tableColumn id="16192" xr3:uid="{EEFD9D02-7509-40FC-BF32-336C41D92BEA}" name="Spalte16175"/>
    <tableColumn id="16193" xr3:uid="{19263046-A007-4172-96FE-A49481426385}" name="Spalte16176"/>
    <tableColumn id="16194" xr3:uid="{44B0FDBB-A933-43C8-827D-FBDED67932D1}" name="Spalte16177"/>
    <tableColumn id="16195" xr3:uid="{2A720697-692E-45F6-ADF9-F8F439AB7F08}" name="Spalte16178"/>
    <tableColumn id="16196" xr3:uid="{3FE78EA1-C2EA-4E97-9937-D30C665F2E59}" name="Spalte16179"/>
    <tableColumn id="16197" xr3:uid="{8B02AC70-F8E9-44E4-BB34-D9E2BD0459E0}" name="Spalte16180"/>
    <tableColumn id="16198" xr3:uid="{341F2326-87CB-4868-A79C-CA42B006A7E2}" name="Spalte16181"/>
    <tableColumn id="16199" xr3:uid="{0DCFE367-C8D9-4E49-B9B0-CAAEF69EC804}" name="Spalte16182"/>
    <tableColumn id="16200" xr3:uid="{DA325AC9-29DC-4364-9778-CC3FC91ED072}" name="Spalte16183"/>
    <tableColumn id="16201" xr3:uid="{5192A234-DB94-482F-9BD7-1F602D4FFA70}" name="Spalte16184"/>
    <tableColumn id="16202" xr3:uid="{BD6B1AFA-0E53-47CE-B8C0-A8C170C46376}" name="Spalte16185"/>
    <tableColumn id="16203" xr3:uid="{A6EE5853-9B07-4991-AEA5-140666266113}" name="Spalte16186"/>
    <tableColumn id="16204" xr3:uid="{76F7E82C-6FED-4B0A-8574-797ED773E1AF}" name="Spalte16187"/>
    <tableColumn id="16205" xr3:uid="{D95EB307-DBA8-415C-B9B2-7A5982C6300F}" name="Spalte16188"/>
    <tableColumn id="16206" xr3:uid="{7F7F48D4-390D-477E-8580-A0F5AD027341}" name="Spalte16189"/>
    <tableColumn id="16207" xr3:uid="{3D504ED2-ED14-4DC3-A9FE-50907CABDF3D}" name="Spalte16190"/>
    <tableColumn id="16208" xr3:uid="{D7C2BEAF-E45F-474A-BAFF-F86B9B962E71}" name="Spalte16191"/>
    <tableColumn id="16209" xr3:uid="{AF7F6E0E-05B6-4284-847D-587B15587A7D}" name="Spalte16192"/>
    <tableColumn id="16210" xr3:uid="{E59DDC6D-CE67-4DB0-B66B-364ED7467961}" name="Spalte16193"/>
    <tableColumn id="16211" xr3:uid="{5E3971DE-7379-45D5-93B1-1FD899A9BEF3}" name="Spalte16194"/>
    <tableColumn id="16212" xr3:uid="{2D2D7F59-44C0-4154-AE80-4DFAE0EA8A5E}" name="Spalte16195"/>
    <tableColumn id="16213" xr3:uid="{360E57BC-127C-4431-A809-867B234BF861}" name="Spalte16196"/>
    <tableColumn id="16214" xr3:uid="{43313C4B-120C-445A-B6C2-1BEC314782E3}" name="Spalte16197"/>
    <tableColumn id="16215" xr3:uid="{241795FF-47F1-4473-8BBE-97D39EAE9992}" name="Spalte16198"/>
    <tableColumn id="16216" xr3:uid="{3323CE89-7CC6-4090-8B47-9A37835F2DF1}" name="Spalte16199"/>
    <tableColumn id="16217" xr3:uid="{769E3EF3-4885-4E68-B56A-E37DC63B4038}" name="Spalte16200"/>
    <tableColumn id="16218" xr3:uid="{63DA2EEA-A03B-4536-8301-62A8E144B275}" name="Spalte16201"/>
    <tableColumn id="16219" xr3:uid="{994B095B-6C2F-4465-BEA6-E269FF0C1BB9}" name="Spalte16202"/>
    <tableColumn id="16220" xr3:uid="{A6872626-2772-41CE-A245-BE568BAAA46A}" name="Spalte16203"/>
    <tableColumn id="16221" xr3:uid="{67CFADED-65B1-4779-93C4-3AC1B3AF1976}" name="Spalte16204"/>
    <tableColumn id="16222" xr3:uid="{85E371D6-EE7D-44BD-B1A6-29D183C43E77}" name="Spalte16205"/>
    <tableColumn id="16223" xr3:uid="{64DC21E1-96F9-4866-9E61-6F14FE11BB7E}" name="Spalte16206"/>
    <tableColumn id="16224" xr3:uid="{CBEBD6F2-BBE9-42D6-832F-BF31A85D5859}" name="Spalte16207"/>
    <tableColumn id="16225" xr3:uid="{BF728E67-D12A-4CA7-BBD7-04A30DE7FE5A}" name="Spalte16208"/>
    <tableColumn id="16226" xr3:uid="{064DF75C-5F15-4A0A-87B1-5009EF5E6456}" name="Spalte16209"/>
    <tableColumn id="16227" xr3:uid="{8211ADBD-9955-440F-8181-7BC36EA0047D}" name="Spalte16210"/>
    <tableColumn id="16228" xr3:uid="{E897DFCF-C221-4696-9C2C-28DFD368EE5B}" name="Spalte16211"/>
    <tableColumn id="16229" xr3:uid="{9B8DAF27-6DE3-4EB7-AB05-BABD0741206D}" name="Spalte16212"/>
    <tableColumn id="16230" xr3:uid="{142B48E1-9D7C-4C2D-9A36-63AE53C9C459}" name="Spalte16213"/>
    <tableColumn id="16231" xr3:uid="{CF9EFE14-4C06-438B-A759-F60F5EA718D3}" name="Spalte16214"/>
    <tableColumn id="16232" xr3:uid="{AFE0A4B4-1F71-4EB5-9EC4-94C95CC2132B}" name="Spalte16215"/>
    <tableColumn id="16233" xr3:uid="{BDF7D96C-E295-4AE0-A3C5-4FC8B9E16EA2}" name="Spalte16216"/>
    <tableColumn id="16234" xr3:uid="{E0EBE95B-625C-49E2-986C-0B12749BD9CD}" name="Spalte16217"/>
    <tableColumn id="16235" xr3:uid="{0A274634-D8F5-440C-9E61-8020E508FA45}" name="Spalte16218"/>
    <tableColumn id="16236" xr3:uid="{D30D9317-04AB-43E4-99E3-F3222597CE3A}" name="Spalte16219"/>
    <tableColumn id="16237" xr3:uid="{84EE9FDC-8FE6-4606-BF9C-CA5BA959DA70}" name="Spalte16220"/>
    <tableColumn id="16238" xr3:uid="{7090CA3C-47C2-4D40-B519-15DB9B1939F7}" name="Spalte16221"/>
    <tableColumn id="16239" xr3:uid="{6718610F-A211-452A-848C-CF5D845B4C9D}" name="Spalte16222"/>
    <tableColumn id="16240" xr3:uid="{862E6B79-1195-47D2-A604-812998B4B90B}" name="Spalte16223"/>
    <tableColumn id="16241" xr3:uid="{E83077D2-5E38-4BB7-B55B-8EE89521C020}" name="Spalte16224"/>
    <tableColumn id="16242" xr3:uid="{4835487D-64C3-476F-B39F-B9FC87D33B3C}" name="Spalte16225"/>
    <tableColumn id="16243" xr3:uid="{E6DBD1BA-097E-48CD-AEC1-8651AB8F0A53}" name="Spalte16226"/>
    <tableColumn id="16244" xr3:uid="{800D4E3B-78D9-4AC4-BF60-54941E2E0CA0}" name="Spalte16227"/>
    <tableColumn id="16245" xr3:uid="{C45BF89F-312C-49F7-AA88-742D0B9BCCC6}" name="Spalte16228"/>
    <tableColumn id="16246" xr3:uid="{8DC48343-A416-4C5E-AA99-511C8C93DC33}" name="Spalte16229"/>
    <tableColumn id="16247" xr3:uid="{598A598F-D957-43CD-A41B-B201F095AC87}" name="Spalte16230"/>
    <tableColumn id="16248" xr3:uid="{EDB15F08-E99C-4A8B-B4CE-7CBB5E7E4821}" name="Spalte16231"/>
    <tableColumn id="16249" xr3:uid="{22138314-6D49-421A-AA0F-2284C654F187}" name="Spalte16232"/>
    <tableColumn id="16250" xr3:uid="{EBD059BE-0993-4159-AE51-CF952DE9EA10}" name="Spalte16233"/>
    <tableColumn id="16251" xr3:uid="{0128D87F-DFC1-41CB-98C6-A783858B2C91}" name="Spalte16234"/>
    <tableColumn id="16252" xr3:uid="{34C3D840-D873-496A-B420-9334DC3E2980}" name="Spalte16235"/>
    <tableColumn id="16253" xr3:uid="{0F1706A9-37DB-4EB3-9617-2D7B15CF2ACC}" name="Spalte16236"/>
    <tableColumn id="16254" xr3:uid="{4B3AE25B-FC2E-4F0E-AA03-E4FDB0521706}" name="Spalte16237"/>
    <tableColumn id="16255" xr3:uid="{8F5FD8CE-FB0D-440F-B275-5ED45CB29786}" name="Spalte16238"/>
    <tableColumn id="16256" xr3:uid="{E865BC95-6D4C-437C-BDDF-4DBF18550F8C}" name="Spalte16239"/>
    <tableColumn id="16257" xr3:uid="{2F9C3391-51F0-4531-9E6F-DA3DD3A767D4}" name="Spalte16240"/>
    <tableColumn id="16258" xr3:uid="{64572C73-481B-4417-9380-B05CD150EF99}" name="Spalte16241"/>
    <tableColumn id="16259" xr3:uid="{D439B8DA-D9B5-4729-9E6A-CCE6FBDF5A08}" name="Spalte16242"/>
    <tableColumn id="16260" xr3:uid="{4F95A6FE-ECB4-4973-BDB4-2EFBC2101F35}" name="Spalte16243"/>
    <tableColumn id="16261" xr3:uid="{0FFFED55-96CF-450E-B62D-A1C18FBA6619}" name="Spalte16244"/>
    <tableColumn id="16262" xr3:uid="{8A8ABF36-D467-4900-AEC3-EDDA229E8530}" name="Spalte16245"/>
    <tableColumn id="16263" xr3:uid="{0AC786CB-4A38-4250-AF78-F0C4ADE931CB}" name="Spalte16246"/>
    <tableColumn id="16264" xr3:uid="{B9EA07A2-A06F-4E98-B62F-E077DFF3DB55}" name="Spalte16247"/>
    <tableColumn id="16265" xr3:uid="{7F8F2C0A-7CBA-422A-9833-062EADF59166}" name="Spalte16248"/>
    <tableColumn id="16266" xr3:uid="{CBBB7F75-77C6-4B63-B56E-5A48963781B9}" name="Spalte16249"/>
    <tableColumn id="16267" xr3:uid="{01334026-181B-4B56-BAC0-86823E578E47}" name="Spalte16250"/>
    <tableColumn id="16268" xr3:uid="{F1C3D06B-22AC-4EF8-9DE1-12B3855D6336}" name="Spalte16251"/>
    <tableColumn id="16269" xr3:uid="{3365003F-DCBA-4E2C-B74F-E54AAA6966E4}" name="Spalte16252"/>
    <tableColumn id="16270" xr3:uid="{98B57E59-9CB0-4CED-B2DA-0DDB597452FC}" name="Spalte16253"/>
    <tableColumn id="16271" xr3:uid="{611B2CF0-CEFB-476A-B585-246302672452}" name="Spalte16254"/>
    <tableColumn id="16272" xr3:uid="{00E32C42-1AFB-4DC0-864C-BA203F412F81}" name="Spalte16255"/>
    <tableColumn id="16273" xr3:uid="{2D8DEC92-13A6-44D5-9FE1-28A51220C9BE}" name="Spalte16256"/>
    <tableColumn id="16274" xr3:uid="{EE6D551D-D005-4635-92B0-2CA7B4746EF2}" name="Spalte16257"/>
    <tableColumn id="16275" xr3:uid="{8919A3A2-716B-4F23-A7AD-C1B1B772FD41}" name="Spalte16258"/>
    <tableColumn id="16276" xr3:uid="{C3446E54-2234-4DFB-8A5E-820433970DC5}" name="Spalte16259"/>
    <tableColumn id="16277" xr3:uid="{89DE12DF-7A72-4448-A07F-0D67443BC2D1}" name="Spalte16260"/>
    <tableColumn id="16278" xr3:uid="{0668E7FC-A861-4E71-8B0B-0B0BF987A49D}" name="Spalte16261"/>
    <tableColumn id="16279" xr3:uid="{26E937B6-D3C0-4257-861F-25137C4377E3}" name="Spalte16262"/>
    <tableColumn id="16280" xr3:uid="{57F25F9A-1A26-4121-9413-E12560FDB2B6}" name="Spalte16263"/>
    <tableColumn id="16281" xr3:uid="{A7724B5B-962C-4114-AFC7-8833D387D72B}" name="Spalte16264"/>
    <tableColumn id="16282" xr3:uid="{508A3399-3831-4958-84BF-CE4424155AC8}" name="Spalte16265"/>
    <tableColumn id="16283" xr3:uid="{55A3269A-15AA-4CC9-A35B-17B66B2C20B6}" name="Spalte16266"/>
    <tableColumn id="16284" xr3:uid="{33324B22-ADB1-4C9D-87BF-61B295A40CCB}" name="Spalte16267"/>
    <tableColumn id="16285" xr3:uid="{6AC9E8EF-EB32-4CC3-BEAD-ABF47FA513FD}" name="Spalte16268"/>
    <tableColumn id="16286" xr3:uid="{FBF97E66-83AE-4059-9928-E3DA4F380177}" name="Spalte16269"/>
    <tableColumn id="16287" xr3:uid="{CA037223-DCC5-449F-B147-0A4F703A568E}" name="Spalte16270"/>
    <tableColumn id="16288" xr3:uid="{C9D7EF5B-0365-44D4-9E0D-46133C8BD05F}" name="Spalte16271"/>
    <tableColumn id="16289" xr3:uid="{5BDCADFE-9D37-4E1A-B90B-6AD5DF40C809}" name="Spalte16272"/>
    <tableColumn id="16290" xr3:uid="{F79F58FE-15D2-42BB-A39A-F92338E50536}" name="Spalte16273"/>
    <tableColumn id="16291" xr3:uid="{9BB3DCFE-5F48-4DE0-A0F7-F6F6FC4B1866}" name="Spalte16274"/>
    <tableColumn id="16292" xr3:uid="{3460F4A2-7F2E-4AE6-AAA4-B50BDCC98405}" name="Spalte16275"/>
    <tableColumn id="16293" xr3:uid="{A8C92286-54C3-470C-897B-B017BF5EE206}" name="Spalte16276"/>
    <tableColumn id="16294" xr3:uid="{5348D614-4E64-45C5-A9CD-C70D01F298C5}" name="Spalte16277"/>
    <tableColumn id="16295" xr3:uid="{2D57E7E0-9BB0-445C-BDAA-F1CBBFA2C749}" name="Spalte16278"/>
    <tableColumn id="16296" xr3:uid="{B2B73EB5-A900-49B8-AACC-D62477677D7D}" name="Spalte16279"/>
    <tableColumn id="16297" xr3:uid="{36408F95-5E48-4AED-944C-3F486F24096D}" name="Spalte16280"/>
    <tableColumn id="16298" xr3:uid="{17B3A3DC-8A78-45FD-B560-A2416F25D915}" name="Spalte16281"/>
    <tableColumn id="16299" xr3:uid="{244A114F-88B9-4BDD-8891-7BB1733C5868}" name="Spalte16282"/>
    <tableColumn id="16300" xr3:uid="{E4AB25D6-4FCD-4086-BB75-61A07C7E7EC3}" name="Spalte16283"/>
    <tableColumn id="16301" xr3:uid="{B371564C-FD36-4C9A-A9C4-7BB2449E1ACC}" name="Spalte16284"/>
    <tableColumn id="16302" xr3:uid="{20CFB258-ABB4-478E-B85F-A5E5294CEE66}" name="Spalte16285"/>
    <tableColumn id="16303" xr3:uid="{6FB6451A-22A9-4257-9850-CE15167E7D89}" name="Spalte16286"/>
    <tableColumn id="16304" xr3:uid="{A173D961-16D0-47EB-97AE-C1D1E0F8F1E0}" name="Spalte16287"/>
    <tableColumn id="16305" xr3:uid="{D3794F7D-8CA5-40E7-9F16-8255F45B289F}" name="Spalte16288"/>
    <tableColumn id="16306" xr3:uid="{5EABEAC7-2377-40C3-AC02-ED652851A384}" name="Spalte16289"/>
    <tableColumn id="16307" xr3:uid="{2D08CD42-1EEB-4657-BF4D-F57255C40071}" name="Spalte16290"/>
    <tableColumn id="16308" xr3:uid="{D820BA5E-176B-4B98-BC4A-F996361E87BF}" name="Spalte16291"/>
    <tableColumn id="16309" xr3:uid="{31B0FC8F-B290-43EB-AEE0-A6796512FFC5}" name="Spalte16292"/>
    <tableColumn id="16310" xr3:uid="{78F8973A-0CA0-4D9A-A83B-8B9E3059DCFF}" name="Spalte16293"/>
    <tableColumn id="16311" xr3:uid="{A086D568-E5D8-4CF0-A888-D7D5F8D909AB}" name="Spalte16294"/>
    <tableColumn id="16312" xr3:uid="{EAA9A3BA-5A8C-4FA7-BB12-326A6BD70D82}" name="Spalte16295"/>
    <tableColumn id="16313" xr3:uid="{FC83CDDC-7EA8-410C-9CC8-A0568C8067ED}" name="Spalte16296"/>
    <tableColumn id="16314" xr3:uid="{9F0576A1-3104-4D80-9062-9D9EF392EAB3}" name="Spalte16297"/>
    <tableColumn id="16315" xr3:uid="{DED0091D-F1A4-4380-8AC6-59074F76F9BC}" name="Spalte16298"/>
    <tableColumn id="16316" xr3:uid="{0497CC41-2738-45ED-AD1E-D2B31C880F11}" name="Spalte16299"/>
    <tableColumn id="16317" xr3:uid="{2AB77B8F-5683-4771-9DD9-2F69807AA782}" name="Spalte16300"/>
    <tableColumn id="16318" xr3:uid="{0CECCDC5-6732-4E8F-9B49-7EA2A9EEAC86}" name="Spalte16301"/>
    <tableColumn id="16319" xr3:uid="{2E50E1DF-5612-4FE4-A28D-3D5B8E202C8B}" name="Spalte16302"/>
    <tableColumn id="16320" xr3:uid="{4D3A22D9-0ED9-4831-8A86-2DA28670F102}" name="Spalte16303"/>
    <tableColumn id="16321" xr3:uid="{870DC8C9-72A0-435C-B876-6B53F6FFE3EA}" name="Spalte16304"/>
    <tableColumn id="16322" xr3:uid="{74E75F1C-5880-4041-932F-75DB0DE7F86B}" name="Spalte16305"/>
    <tableColumn id="16323" xr3:uid="{9D69C3B4-F956-4C2E-9F09-7AB665F01C2A}" name="Spalte16306"/>
    <tableColumn id="16324" xr3:uid="{A817134F-EA7A-4A38-B2F0-8AC2D8C89028}" name="Spalte16307"/>
    <tableColumn id="16325" xr3:uid="{FB8FC840-29C5-4AEE-9985-4018ACD1883E}" name="Spalte16308"/>
    <tableColumn id="16326" xr3:uid="{7C761330-6235-4706-8BE9-1344A0D3A32F}" name="Spalte16309"/>
    <tableColumn id="16327" xr3:uid="{EB2D1A0A-8B88-4FC2-8400-C7B12E32658E}" name="Spalte16310"/>
    <tableColumn id="16328" xr3:uid="{31987A0E-D3AC-411F-A84F-F1CA4D5BCB74}" name="Spalte16311"/>
    <tableColumn id="16329" xr3:uid="{333DF0DD-6029-4C9D-89E0-0DFDE747028D}" name="Spalte16312"/>
    <tableColumn id="16330" xr3:uid="{4B160892-E1C4-490A-ACD1-38B2F1E3766D}" name="Spalte16313"/>
    <tableColumn id="16331" xr3:uid="{AAC34438-ECF6-4604-9F9C-A124D251B1AE}" name="Spalte16314"/>
    <tableColumn id="16332" xr3:uid="{CF6FBA6A-6A4F-4A79-B7DC-7F6965EF23C0}" name="Spalte16315"/>
    <tableColumn id="16333" xr3:uid="{9644CE98-8D6E-4A65-819F-623ED987D028}" name="Spalte16316"/>
    <tableColumn id="16334" xr3:uid="{BB4E2F78-9D50-4BAE-927C-999655286902}" name="Spalte16317"/>
    <tableColumn id="16335" xr3:uid="{0401A6AE-221D-4483-B79F-4362F1AB0FB7}" name="Spalte16318"/>
    <tableColumn id="16336" xr3:uid="{252A1E77-311A-4321-9B94-CDDC3A1BB019}" name="Spalte16319"/>
    <tableColumn id="16337" xr3:uid="{06C62F65-4EAD-4F64-A5AC-49FB1D26B348}" name="Spalte16320"/>
    <tableColumn id="16338" xr3:uid="{097FAD9F-D5DE-48EA-8B3D-E529B7771F2C}" name="Spalte16321"/>
    <tableColumn id="16339" xr3:uid="{AE65290B-5DF4-44F4-A509-8FAC4224A2C2}" name="Spalte16322"/>
    <tableColumn id="16340" xr3:uid="{D89B9D0D-1B9D-4DEA-A98E-5786C72A0CD3}" name="Spalte16323"/>
    <tableColumn id="16341" xr3:uid="{05CC25E7-2843-48AB-9156-6C7F880CA894}" name="Spalte16324"/>
    <tableColumn id="16342" xr3:uid="{9625C5BD-4175-4F81-8688-1D3356F0A0BD}" name="Spalte16325"/>
    <tableColumn id="16343" xr3:uid="{C9437C96-A637-45AD-BFAE-3FEBED0BE124}" name="Spalte16326"/>
    <tableColumn id="16344" xr3:uid="{283A88B8-E0C8-43C6-B87D-1A667865639E}" name="Spalte16327"/>
    <tableColumn id="16345" xr3:uid="{C59C1BBE-422F-4735-86EA-672A70ADC955}" name="Spalte16328"/>
    <tableColumn id="16346" xr3:uid="{73249C9C-A470-45FE-BB73-56FA542A2502}" name="Spalte16329"/>
    <tableColumn id="16347" xr3:uid="{03BAD773-619D-4C9C-BC7F-1B90003718E6}" name="Spalte16330"/>
    <tableColumn id="16348" xr3:uid="{DD4B2EF1-DE57-424F-BFB4-304CEF6BF520}" name="Spalte16331"/>
    <tableColumn id="16349" xr3:uid="{BB972DCE-05AE-4771-9BF4-0758E393D343}" name="Spalte16332"/>
    <tableColumn id="16350" xr3:uid="{F57078F6-4A94-4796-BA90-DE43F36019E6}" name="Spalte16333"/>
    <tableColumn id="16351" xr3:uid="{EC0CF2EC-1B06-4A6E-B2E2-3B6269AB5E92}" name="Spalte16334"/>
    <tableColumn id="16352" xr3:uid="{1811E6AD-857C-4091-AC81-ADD84413F4B3}" name="Spalte16335"/>
    <tableColumn id="16353" xr3:uid="{399ECF36-4D32-4434-A766-3B4EF68A9127}" name="Spalte16336"/>
    <tableColumn id="16354" xr3:uid="{63A0D6CA-DDF1-4B17-B476-107861A21454}" name="Spalte16337"/>
    <tableColumn id="16355" xr3:uid="{E5454D8C-91B2-4D83-AA03-EBACA69676DB}" name="Spalte16338"/>
    <tableColumn id="16356" xr3:uid="{E549F42F-4908-4244-BC0D-C7792A6414A7}" name="Spalte16339"/>
    <tableColumn id="16357" xr3:uid="{303019D2-A9AB-496F-86C7-A775DE42D864}" name="Spalte16340"/>
    <tableColumn id="16358" xr3:uid="{8BC0EA62-133A-4C14-9530-ADCFC610516C}" name="Spalte16341"/>
    <tableColumn id="16359" xr3:uid="{203F4EA0-75FA-4B67-8B54-3490969AC9AC}" name="Spalte16342"/>
    <tableColumn id="16360" xr3:uid="{07120152-140F-4319-A0AB-145B66639D46}" name="Spalte16343"/>
    <tableColumn id="16361" xr3:uid="{01A05D1E-53B1-48DC-BE33-E5E0FDCCB5CF}" name="Spalte16344"/>
    <tableColumn id="16362" xr3:uid="{08CA9845-832F-4C18-B357-1F2E22BCA513}" name="Spalte16345"/>
    <tableColumn id="16363" xr3:uid="{1BF3CFF8-3FF0-445A-B620-966842050FF8}" name="Spalte16346"/>
    <tableColumn id="16364" xr3:uid="{AAE95277-40BE-4F46-9F8A-094D1EDD7616}" name="Spalte16347"/>
    <tableColumn id="16365" xr3:uid="{241C4F39-5B64-46C5-918A-E92BF5B55137}" name="Spalte16348"/>
    <tableColumn id="16366" xr3:uid="{24542300-1E91-49F0-9FD3-DF43ABFBF9D6}" name="Spalte16349"/>
    <tableColumn id="16367" xr3:uid="{C2DAEB21-A0E7-4B27-8A9A-83532E990F51}" name="Spalte16350"/>
    <tableColumn id="16368" xr3:uid="{D1DEC039-BF39-44F3-90E9-34910514415F}" name="Spalte16351"/>
    <tableColumn id="16369" xr3:uid="{53BA7C12-84CF-40CB-B66B-2EBB5E77DC55}" name="Spalte16352"/>
    <tableColumn id="16370" xr3:uid="{E8AF7079-89CF-48E5-B727-60628333F999}" name="Spalte16353"/>
    <tableColumn id="16371" xr3:uid="{DF6D7F02-B7A9-41B9-B7E5-A10098656F6D}" name="Spalte16354"/>
    <tableColumn id="16372" xr3:uid="{4EFA6D9F-5645-406E-8F73-59C560123F8B}" name="Spalte16355"/>
    <tableColumn id="16373" xr3:uid="{F02F83A3-8DC7-4975-8A37-947449F6AD44}" name="Spalte16356"/>
    <tableColumn id="16374" xr3:uid="{C654ACEF-EA27-49E2-BD9F-AF61305F9F7D}" name="Spalte16357"/>
    <tableColumn id="16375" xr3:uid="{5F568039-337B-4116-9B00-DCAEEDF51589}" name="Spalte16358"/>
    <tableColumn id="16376" xr3:uid="{9719C306-C4B8-4F33-9AA4-5B559D517DEE}" name="Spalte16359"/>
    <tableColumn id="16377" xr3:uid="{593D7D09-19AE-4704-B9DA-9560ED1B061D}" name="Spalte16360"/>
    <tableColumn id="16378" xr3:uid="{1A100D85-4F57-49B8-BFE6-D6C0519D680C}" name="Spalte16361"/>
    <tableColumn id="16379" xr3:uid="{29FE2A53-A8E1-4FE3-9C1D-2CC5373E5B4D}" name="Spalte16362"/>
    <tableColumn id="16380" xr3:uid="{551FD41E-80D1-428B-A6F3-CCCA49D6136E}" name="Spalte16363"/>
    <tableColumn id="16381" xr3:uid="{2D33DF4F-5456-4DDE-8EAD-05E88C3C24C6}" name="Spalte16364"/>
    <tableColumn id="16382" xr3:uid="{5A09DC2A-847F-4156-A396-BA52C99772D8}" name="Spalte16365"/>
    <tableColumn id="16383" xr3:uid="{6B28FEA8-45D4-425B-8C0E-63255AE356C3}" name="Spalte16366"/>
    <tableColumn id="16384" xr3:uid="{03A0E148-F049-4642-B948-3002BCA70C34}" name="Spalte1636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E2FD02-998E-4533-8F66-B7D94AE946D6}" name="Preisvergleich" displayName="Preisvergleich" ref="A6:M414" totalsRowShown="0" headerRowDxfId="63" dataDxfId="62">
  <autoFilter ref="A6:M414" xr:uid="{1DE2FD02-998E-4533-8F66-B7D94AE946D6}"/>
  <tableColumns count="13">
    <tableColumn id="1" xr3:uid="{27B93A80-BE90-4DF8-AD22-3678548F015D}" name="Quellzeile" dataDxfId="61"/>
    <tableColumn id="2" xr3:uid="{17924234-97D1-4D8E-852E-7775B5DF8613}" name="Artikelnummer" dataDxfId="60">
      <calculatedColumnFormula>Postkarten!A2</calculatedColumnFormula>
    </tableColumn>
    <tableColumn id="3" xr3:uid="{AC349A93-1EC7-4E31-A040-ACFD51BA232C}" name="Titel" dataDxfId="59">
      <calculatedColumnFormula>Postkarten!B2</calculatedColumnFormula>
    </tableColumn>
    <tableColumn id="4" xr3:uid="{8FAEB7D7-970C-4FDE-9FAE-57AACE132D44}" name="Aktuell Min" dataDxfId="58">
      <calculatedColumnFormula>Postkarten!L2</calculatedColumnFormula>
    </tableColumn>
    <tableColumn id="5" xr3:uid="{C6AC1429-5C1B-498E-9CED-6E6F449874D6}" name="Aktuell Max" dataDxfId="57">
      <calculatedColumnFormula>Postkarten!M2</calculatedColumnFormula>
    </tableColumn>
    <tableColumn id="6" xr3:uid="{CFCB9AC1-4238-4C09-8E2F-1BF4616ADFBA}" name="Aktuell VK" dataDxfId="56">
      <calculatedColumnFormula>Postkarten!N2</calculatedColumnFormula>
    </tableColumn>
    <tableColumn id="7" xr3:uid="{8896DC71-2258-42D8-B85C-CD0F5A2F51C6}" name="Ermittelt Min" dataDxfId="55"/>
    <tableColumn id="8" xr3:uid="{5667BC33-4736-4176-A95A-9BD55CF41538}" name="Ermittelt Max" dataDxfId="54"/>
    <tableColumn id="9" xr3:uid="{5B99A8EC-7AD3-4539-82DE-E9C521642231}" name="Ermittelt VK" dataDxfId="53"/>
    <tableColumn id="10" xr3:uid="{7AA4828F-0E69-4A44-AFD0-87F167723575}" name="Differenz Min" dataDxfId="52">
      <calculatedColumnFormula>G7-D7</calculatedColumnFormula>
    </tableColumn>
    <tableColumn id="11" xr3:uid="{DB1DD5B7-5A53-45EF-BAF2-E9DCF46D89CF}" name="Differenz Max" dataDxfId="51">
      <calculatedColumnFormula>H7-E7</calculatedColumnFormula>
    </tableColumn>
    <tableColumn id="12" xr3:uid="{E598D1A3-C79B-4335-97AC-C4B3E240EB91}" name="Differenz VK" dataDxfId="50">
      <calculatedColumnFormula>I7-F7</calculatedColumnFormula>
    </tableColumn>
    <tableColumn id="13" xr3:uid="{1BA45AA8-D0EB-44D8-8DAF-206C4BB6D85D}" name="Bewertung" dataDxfId="49">
      <calculatedColumnFormula>IF(L7&gt;0,"Erhöhen",IF(L7&lt;0,"Senken","Unverändert"))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C8E563-FB8A-4002-9441-EF7E35EDA04C}" name="MuenzenBestand" displayName="MuenzenBestand" ref="A4:Q13" totalsRowShown="0" headerRowDxfId="48" dataDxfId="47">
  <autoFilter ref="A4:Q13" xr:uid="{07C8E563-FB8A-4002-9441-EF7E35EDA04C}"/>
  <tableColumns count="17">
    <tableColumn id="1" xr3:uid="{0B362B59-C03C-4E5B-A555-32FD408DB300}" name="Artikelnummer" dataDxfId="46"/>
    <tableColumn id="2" xr3:uid="{BCF3D0CE-1F91-4FC5-89EF-795262A90565}" name="Bezeichnung" dataDxfId="45"/>
    <tableColumn id="3" xr3:uid="{E9B73193-6828-4A75-A33A-98A3D1BAAA38}" name="Staat / Münzstätte" dataDxfId="44"/>
    <tableColumn id="4" xr3:uid="{3A799A0B-934E-46E7-9405-533CE751086D}" name="Gebiet" dataDxfId="43"/>
    <tableColumn id="5" xr3:uid="{B64C2ABA-57AD-420D-B891-4C8EBB873A83}" name="Nominal / Motiv" dataDxfId="42"/>
    <tableColumn id="6" xr3:uid="{2AFEA3BF-82EE-4EEE-A4B9-BC969D294FC7}" name="Erhaltungsgrad" dataDxfId="41"/>
    <tableColumn id="7" xr3:uid="{54A70C12-ED1A-40A2-8F1E-18B8F5DDC974}" name="Beschreibung" dataDxfId="40"/>
    <tableColumn id="8" xr3:uid="{047D65BD-AC83-4373-A759-5E1BEB492B43}" name="Ungelaufen (J/N)" dataDxfId="39"/>
    <tableColumn id="9" xr3:uid="{40BA7A8F-35C2-4105-99D7-A93FB04D60AB}" name="Prägejahr" dataDxfId="38"/>
    <tableColumn id="10" xr3:uid="{394B2521-ADA7-4672-8869-8806CEE653F3}" name="Prägezeichen / Zusatzinfo" dataDxfId="37"/>
    <tableColumn id="11" xr3:uid="{7534D1D1-A9E3-4EC6-AC18-4EC13AF66F94}" name="Sammlung / Herkunft" dataDxfId="36"/>
    <tableColumn id="12" xr3:uid="{8D7FBCA2-711A-4D4D-9FA9-61FB58791C24}" name="Wert Min (€)" dataDxfId="35"/>
    <tableColumn id="13" xr3:uid="{DF89BABE-33E5-4E2C-AC26-075F627DBDF5}" name="Wert Max (€)" dataDxfId="34"/>
    <tableColumn id="14" xr3:uid="{C5B85185-F5B1-4513-9A5F-C8B178CE562F}" name="Verkaufspreis (€)" dataDxfId="33">
      <calculatedColumnFormula>MAX(L5,M5)</calculatedColumnFormula>
    </tableColumn>
    <tableColumn id="15" xr3:uid="{B40DB98D-513E-4D0E-BCD0-59090D0635D6}" name="Status" dataDxfId="32"/>
    <tableColumn id="16" xr3:uid="{44627D47-4AD6-4CD0-A1F7-2DCA06B428C0}" name="Besondere Merkmale" dataDxfId="31"/>
    <tableColumn id="17" xr3:uid="{DCC67209-001D-4AAC-BFB1-65C33D1D50A5}" name="Bekannte Mängel" dataDxfId="3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C583BD-9CD0-42B6-9E59-22BC42D148C5}" name="MuenzenPreisvergleich" displayName="MuenzenPreisvergleich" ref="A6:M15" totalsRowShown="0" headerRowDxfId="29" dataDxfId="28">
  <autoFilter ref="A6:M15" xr:uid="{ACC583BD-9CD0-42B6-9E59-22BC42D148C5}"/>
  <tableColumns count="13">
    <tableColumn id="1" xr3:uid="{AF2A377D-F84A-4456-86B8-6536F7D34D4B}" name="Quellzeile" dataDxfId="27"/>
    <tableColumn id="2" xr3:uid="{72E596ED-E2F7-477F-90CB-17D9677A6D92}" name="Artikelnummer" dataDxfId="26">
      <calculatedColumnFormula>Münzen!A5</calculatedColumnFormula>
    </tableColumn>
    <tableColumn id="3" xr3:uid="{AC846571-27DD-4D46-B8BF-0A99D9BA93DD}" name="Bezeichnung" dataDxfId="25">
      <calculatedColumnFormula>Münzen!B5</calculatedColumnFormula>
    </tableColumn>
    <tableColumn id="4" xr3:uid="{02335E07-006B-4FAE-AB03-C76449B1AB4C}" name="Aktuell Min" dataDxfId="24">
      <calculatedColumnFormula>Münzen!L5</calculatedColumnFormula>
    </tableColumn>
    <tableColumn id="5" xr3:uid="{96C2A424-C043-4426-98C9-1C123BCE8367}" name="Aktuell Max" dataDxfId="23">
      <calculatedColumnFormula>Münzen!M5</calculatedColumnFormula>
    </tableColumn>
    <tableColumn id="6" xr3:uid="{204026D2-0DE1-4EDC-B5CC-39981CED7070}" name="Aktuell VK" dataDxfId="22">
      <calculatedColumnFormula>Münzen!N5</calculatedColumnFormula>
    </tableColumn>
    <tableColumn id="7" xr3:uid="{1396B77D-D672-4A98-8987-1C21B1BF2413}" name="Ermittelt Min" dataDxfId="21"/>
    <tableColumn id="8" xr3:uid="{CC373177-75B2-4827-905D-4A498E163F7D}" name="Ermittelt Max" dataDxfId="20"/>
    <tableColumn id="9" xr3:uid="{75109CC6-4F1D-4529-BF59-469CF76D3B7C}" name="Ermittelt VK" dataDxfId="19"/>
    <tableColumn id="10" xr3:uid="{B113B9CD-C953-46E0-A50F-18E0A8252B15}" name="Differenz Min" dataDxfId="18">
      <calculatedColumnFormula>G7-D7</calculatedColumnFormula>
    </tableColumn>
    <tableColumn id="11" xr3:uid="{94F3CF06-D9CE-4BD9-A3B9-03C99F10507A}" name="Differenz Max" dataDxfId="17">
      <calculatedColumnFormula>H7-E7</calculatedColumnFormula>
    </tableColumn>
    <tableColumn id="12" xr3:uid="{38B92589-A759-480C-AAD2-A8969E3534EF}" name="Differenz VK" dataDxfId="16">
      <calculatedColumnFormula>I7-F7</calculatedColumnFormula>
    </tableColumn>
    <tableColumn id="13" xr3:uid="{F79425D1-44AF-4083-8E16-1AA4269F4F15}" name="Bewertung" dataDxf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A6A5-A268-4F27-BC50-CB7BBCADE737}">
  <dimension ref="A1:N22"/>
  <sheetViews>
    <sheetView showGridLines="0" topLeftCell="A8" workbookViewId="0">
      <selection activeCell="G5" sqref="G5:H6"/>
    </sheetView>
  </sheetViews>
  <sheetFormatPr baseColWidth="10" defaultRowHeight="14.4" x14ac:dyDescent="0.3"/>
  <cols>
    <col min="1" max="1" width="13" customWidth="1"/>
    <col min="2" max="3" width="23.109375" customWidth="1"/>
    <col min="4" max="5" width="16.6640625" customWidth="1"/>
    <col min="6" max="6" width="4.6640625" customWidth="1"/>
    <col min="7" max="7" width="20.33203125" customWidth="1"/>
    <col min="8" max="9" width="13" customWidth="1"/>
    <col min="10" max="10" width="15.77734375" customWidth="1"/>
    <col min="11" max="11" width="21.33203125" customWidth="1"/>
    <col min="12" max="12" width="17.5546875" customWidth="1"/>
    <col min="13" max="14" width="13.88671875" customWidth="1"/>
  </cols>
  <sheetData>
    <row r="1" spans="1:14" ht="34.049999999999997" customHeight="1" x14ac:dyDescent="0.5">
      <c r="A1" s="73" t="s">
        <v>3503</v>
      </c>
      <c r="B1" s="73"/>
      <c r="C1" s="73"/>
      <c r="D1" s="73"/>
      <c r="E1" s="73"/>
      <c r="F1" s="73"/>
      <c r="G1" s="73"/>
      <c r="H1" s="73"/>
      <c r="I1" s="73"/>
      <c r="J1" s="73"/>
      <c r="K1" s="73"/>
      <c r="L1" s="73"/>
      <c r="M1" s="73"/>
      <c r="N1" s="73"/>
    </row>
    <row r="2" spans="1:14" ht="22.05" customHeight="1" x14ac:dyDescent="0.3">
      <c r="A2" s="74" t="s">
        <v>3504</v>
      </c>
      <c r="B2" s="74"/>
      <c r="C2" s="74"/>
      <c r="D2" s="74"/>
      <c r="E2" s="74"/>
      <c r="F2" s="74"/>
      <c r="G2" s="74"/>
      <c r="H2" s="74"/>
      <c r="I2" s="74"/>
      <c r="J2" s="74"/>
      <c r="K2" s="74"/>
      <c r="L2" s="74"/>
      <c r="M2" s="74"/>
      <c r="N2" s="74"/>
    </row>
    <row r="3" spans="1:14" x14ac:dyDescent="0.3">
      <c r="A3" s="32"/>
      <c r="B3" s="32"/>
      <c r="C3" s="32"/>
      <c r="D3" s="32"/>
      <c r="E3" s="32"/>
      <c r="F3" s="32"/>
      <c r="G3" s="32"/>
      <c r="H3" s="32"/>
      <c r="I3" s="32"/>
      <c r="J3" s="32"/>
      <c r="K3" s="32"/>
      <c r="L3" s="32"/>
      <c r="M3" s="32"/>
      <c r="N3" s="32"/>
    </row>
    <row r="4" spans="1:14" x14ac:dyDescent="0.3">
      <c r="A4" s="75" t="s">
        <v>3497</v>
      </c>
      <c r="B4" s="75"/>
      <c r="C4" s="75" t="s">
        <v>2158</v>
      </c>
      <c r="D4" s="75"/>
      <c r="E4" s="75" t="s">
        <v>3286</v>
      </c>
      <c r="F4" s="75"/>
      <c r="G4" s="75" t="s">
        <v>3505</v>
      </c>
      <c r="H4" s="75"/>
      <c r="I4" s="75" t="s">
        <v>3496</v>
      </c>
      <c r="J4" s="75"/>
      <c r="K4" s="75"/>
      <c r="L4" s="75" t="s">
        <v>3506</v>
      </c>
      <c r="M4" s="75"/>
      <c r="N4" s="75"/>
    </row>
    <row r="5" spans="1:14" x14ac:dyDescent="0.3">
      <c r="A5" s="77">
        <f>COUNTA(Postkarten!A2:'Postkarten'!A616)+COUNTA(Münzen!A5:A13)</f>
        <v>623</v>
      </c>
      <c r="B5" s="77"/>
      <c r="C5" s="78">
        <f>SUM(Postkarten!N2:'Postkarten'!N622)+SUM(Münzen!N5:N13)</f>
        <v>5335.9</v>
      </c>
      <c r="D5" s="78"/>
      <c r="E5" s="78">
        <f>SUM(Preisvergleich[Ermittelt VK])+SUM(MuenzenPreisvergleich[Ermittelt VK])</f>
        <v>3576.4</v>
      </c>
      <c r="F5" s="78"/>
      <c r="G5" s="78">
        <f>E5-C5</f>
        <v>-1759.4999999999995</v>
      </c>
      <c r="H5" s="78"/>
      <c r="I5" s="79">
        <f>COUNTIF(Preisvergleich[Differenz VK],"&lt;&gt;0")+COUNTIF(MuenzenPreisvergleich[Differenz VK],"&lt;&gt;0")</f>
        <v>68</v>
      </c>
      <c r="J5" s="77"/>
      <c r="K5" s="77"/>
      <c r="L5" s="77">
        <f>COUNTIF(MuenzenPreisvergleich[Bewertung],"Identifikation prüfen")</f>
        <v>5</v>
      </c>
      <c r="M5" s="77"/>
      <c r="N5" s="77"/>
    </row>
    <row r="6" spans="1:14" x14ac:dyDescent="0.3">
      <c r="A6" s="77"/>
      <c r="B6" s="77"/>
      <c r="C6" s="78"/>
      <c r="D6" s="78"/>
      <c r="E6" s="78"/>
      <c r="F6" s="78"/>
      <c r="G6" s="78"/>
      <c r="H6" s="78"/>
      <c r="I6" s="77"/>
      <c r="J6" s="77"/>
      <c r="K6" s="77"/>
      <c r="L6" s="77"/>
      <c r="M6" s="77"/>
      <c r="N6" s="77"/>
    </row>
    <row r="7" spans="1:14" x14ac:dyDescent="0.3">
      <c r="A7" s="32"/>
      <c r="B7" s="32"/>
      <c r="C7" s="32"/>
      <c r="D7" s="32"/>
      <c r="E7" s="32"/>
      <c r="F7" s="32"/>
      <c r="G7" s="32"/>
      <c r="H7" s="32"/>
      <c r="I7" s="32"/>
      <c r="J7" s="32"/>
      <c r="K7" s="32"/>
      <c r="L7" s="32"/>
      <c r="M7" s="32"/>
      <c r="N7" s="32"/>
    </row>
    <row r="8" spans="1:14" x14ac:dyDescent="0.3">
      <c r="A8" s="32"/>
      <c r="B8" s="32"/>
      <c r="C8" s="32"/>
      <c r="D8" s="32"/>
      <c r="E8" s="32"/>
      <c r="F8" s="32"/>
      <c r="G8" s="32"/>
      <c r="H8" s="32"/>
      <c r="I8" s="32"/>
      <c r="J8" s="32"/>
      <c r="K8" s="32"/>
      <c r="L8" s="32"/>
      <c r="M8" s="32"/>
      <c r="N8" s="32"/>
    </row>
    <row r="9" spans="1:14" x14ac:dyDescent="0.3">
      <c r="A9" s="54" t="s">
        <v>3507</v>
      </c>
      <c r="B9" s="54" t="s">
        <v>3508</v>
      </c>
      <c r="C9" s="54" t="s">
        <v>2373</v>
      </c>
      <c r="D9" s="54" t="s">
        <v>3313</v>
      </c>
      <c r="E9" s="54" t="s">
        <v>2403</v>
      </c>
      <c r="F9" s="32"/>
      <c r="G9" s="54" t="s">
        <v>3510</v>
      </c>
      <c r="H9" s="54" t="s">
        <v>2406</v>
      </c>
      <c r="I9" s="54" t="s">
        <v>2405</v>
      </c>
      <c r="J9" s="54" t="s">
        <v>2162</v>
      </c>
      <c r="K9" s="54" t="s">
        <v>3494</v>
      </c>
      <c r="L9" s="32"/>
      <c r="M9" s="32"/>
      <c r="N9" s="32"/>
    </row>
    <row r="10" spans="1:14" x14ac:dyDescent="0.3">
      <c r="A10" s="55" t="s">
        <v>3509</v>
      </c>
      <c r="B10" s="55">
        <f>COUNTA(Postkarten!A2:A410)</f>
        <v>408</v>
      </c>
      <c r="C10" s="56">
        <f>SUM(Postkarten!N2:N410)</f>
        <v>3303.4</v>
      </c>
      <c r="D10" s="56">
        <f>SUM(Preisvergleich[Ermittelt VK])</f>
        <v>3224.4</v>
      </c>
      <c r="E10" s="56">
        <f>D10-C10</f>
        <v>-79</v>
      </c>
      <c r="F10" s="32"/>
      <c r="G10" s="55" t="s">
        <v>3509</v>
      </c>
      <c r="H10" s="55">
        <f>COUNTIF(Preisvergleich[Bewertung],"Erhöhen")</f>
        <v>12</v>
      </c>
      <c r="I10" s="55">
        <f>COUNTIF(Preisvergleich[Bewertung],"Senken")</f>
        <v>52</v>
      </c>
      <c r="J10" s="55">
        <f>COUNTIF(Preisvergleich[Bewertung],"Unverändert")</f>
        <v>344</v>
      </c>
      <c r="K10" s="55">
        <v>0</v>
      </c>
      <c r="L10" s="32"/>
      <c r="M10" s="32"/>
      <c r="N10" s="32"/>
    </row>
    <row r="11" spans="1:14" x14ac:dyDescent="0.3">
      <c r="A11" s="55" t="s">
        <v>3495</v>
      </c>
      <c r="B11" s="55">
        <f>COUNTA(Münzen!A5:A13)</f>
        <v>9</v>
      </c>
      <c r="C11" s="56">
        <f>SUM(Münzen!N5:N13)</f>
        <v>340</v>
      </c>
      <c r="D11" s="56">
        <f>SUM(MuenzenPreisvergleich[Ermittelt VK])</f>
        <v>352</v>
      </c>
      <c r="E11" s="56">
        <f>D11-C11</f>
        <v>12</v>
      </c>
      <c r="F11" s="32"/>
      <c r="G11" s="55" t="s">
        <v>3495</v>
      </c>
      <c r="H11" s="55">
        <f>COUNTIF(MuenzenPreisvergleich[Bewertung],"Erhöhen")</f>
        <v>2</v>
      </c>
      <c r="I11" s="55">
        <f>COUNTIF(MuenzenPreisvergleich[Bewertung],"Senken")</f>
        <v>1</v>
      </c>
      <c r="J11" s="55">
        <f>COUNTIF(MuenzenPreisvergleich[Bewertung],"Unverändert")</f>
        <v>1</v>
      </c>
      <c r="K11" s="55">
        <f>COUNTIF(MuenzenPreisvergleich[Bewertung],"Identifikation prüfen")</f>
        <v>5</v>
      </c>
      <c r="L11" s="32"/>
      <c r="M11" s="32"/>
      <c r="N11" s="32"/>
    </row>
    <row r="12" spans="1:14" x14ac:dyDescent="0.3">
      <c r="A12" s="32"/>
      <c r="B12" s="32"/>
      <c r="C12" s="32"/>
      <c r="D12" s="32"/>
      <c r="E12" s="32"/>
      <c r="F12" s="32"/>
      <c r="G12" s="32"/>
      <c r="H12" s="32"/>
      <c r="I12" s="32"/>
      <c r="J12" s="32"/>
      <c r="K12" s="32"/>
      <c r="L12" s="32"/>
      <c r="M12" s="32"/>
      <c r="N12" s="32"/>
    </row>
    <row r="13" spans="1:14" x14ac:dyDescent="0.3">
      <c r="A13" s="32"/>
      <c r="B13" s="32"/>
      <c r="C13" s="32"/>
      <c r="D13" s="32"/>
      <c r="E13" s="32"/>
      <c r="F13" s="32"/>
      <c r="G13" s="32"/>
      <c r="H13" s="32"/>
      <c r="I13" s="32"/>
      <c r="J13" s="32"/>
      <c r="K13" s="32"/>
      <c r="L13" s="32"/>
      <c r="M13" s="32"/>
      <c r="N13" s="32"/>
    </row>
    <row r="14" spans="1:14" x14ac:dyDescent="0.3">
      <c r="A14" s="80" t="s">
        <v>3511</v>
      </c>
      <c r="B14" s="80"/>
      <c r="C14" s="80"/>
      <c r="D14" s="80"/>
      <c r="E14" s="80"/>
      <c r="F14" s="80"/>
      <c r="G14" s="80"/>
      <c r="H14" s="80"/>
      <c r="I14" s="80"/>
      <c r="J14" s="80"/>
      <c r="K14" s="80"/>
      <c r="L14" s="80"/>
      <c r="M14" s="80"/>
      <c r="N14" s="80"/>
    </row>
    <row r="15" spans="1:14" x14ac:dyDescent="0.3">
      <c r="A15" s="57">
        <v>1</v>
      </c>
      <c r="B15" s="57" t="s">
        <v>3512</v>
      </c>
      <c r="C15" s="81" t="s">
        <v>3513</v>
      </c>
      <c r="D15" s="81"/>
      <c r="E15" s="81"/>
      <c r="F15" s="81"/>
      <c r="G15" s="81"/>
      <c r="H15" s="81"/>
      <c r="I15" s="81"/>
      <c r="J15" s="81"/>
      <c r="K15" s="81"/>
      <c r="L15" s="81"/>
      <c r="M15" s="81"/>
      <c r="N15" s="81"/>
    </row>
    <row r="16" spans="1:14" x14ac:dyDescent="0.3">
      <c r="A16" s="57">
        <v>2</v>
      </c>
      <c r="B16" s="57" t="s">
        <v>3514</v>
      </c>
      <c r="C16" s="81" t="s">
        <v>3515</v>
      </c>
      <c r="D16" s="81"/>
      <c r="E16" s="81"/>
      <c r="F16" s="81"/>
      <c r="G16" s="81"/>
      <c r="H16" s="81"/>
      <c r="I16" s="81"/>
      <c r="J16" s="81"/>
      <c r="K16" s="81"/>
      <c r="L16" s="81"/>
      <c r="M16" s="81"/>
      <c r="N16" s="81"/>
    </row>
    <row r="17" spans="1:14" x14ac:dyDescent="0.3">
      <c r="A17" s="57">
        <v>3</v>
      </c>
      <c r="B17" s="57" t="s">
        <v>3495</v>
      </c>
      <c r="C17" s="81" t="s">
        <v>3516</v>
      </c>
      <c r="D17" s="81"/>
      <c r="E17" s="81"/>
      <c r="F17" s="81"/>
      <c r="G17" s="81"/>
      <c r="H17" s="81"/>
      <c r="I17" s="81"/>
      <c r="J17" s="81"/>
      <c r="K17" s="81"/>
      <c r="L17" s="81"/>
      <c r="M17" s="81"/>
      <c r="N17" s="81"/>
    </row>
    <row r="18" spans="1:14" x14ac:dyDescent="0.3">
      <c r="A18" s="57">
        <v>4</v>
      </c>
      <c r="B18" s="57" t="s">
        <v>3517</v>
      </c>
      <c r="C18" s="81" t="s">
        <v>3518</v>
      </c>
      <c r="D18" s="81"/>
      <c r="E18" s="81"/>
      <c r="F18" s="81"/>
      <c r="G18" s="81"/>
      <c r="H18" s="81"/>
      <c r="I18" s="81"/>
      <c r="J18" s="81"/>
      <c r="K18" s="81"/>
      <c r="L18" s="81"/>
      <c r="M18" s="81"/>
      <c r="N18" s="81"/>
    </row>
    <row r="19" spans="1:14" x14ac:dyDescent="0.3">
      <c r="A19" s="32"/>
      <c r="B19" s="32"/>
      <c r="C19" s="32"/>
      <c r="D19" s="32"/>
      <c r="E19" s="32"/>
      <c r="F19" s="32"/>
      <c r="G19" s="32"/>
      <c r="H19" s="32"/>
      <c r="I19" s="32"/>
      <c r="J19" s="32"/>
      <c r="K19" s="32"/>
      <c r="L19" s="32"/>
      <c r="M19" s="32"/>
      <c r="N19" s="32"/>
    </row>
    <row r="20" spans="1:14" x14ac:dyDescent="0.3">
      <c r="A20" s="32"/>
      <c r="B20" s="32"/>
      <c r="C20" s="32"/>
      <c r="D20" s="32"/>
      <c r="E20" s="32"/>
      <c r="F20" s="32"/>
      <c r="G20" s="32"/>
      <c r="H20" s="32"/>
      <c r="I20" s="32"/>
      <c r="J20" s="32"/>
      <c r="K20" s="32"/>
      <c r="L20" s="32"/>
      <c r="M20" s="32"/>
      <c r="N20" s="32"/>
    </row>
    <row r="21" spans="1:14" ht="42" customHeight="1" x14ac:dyDescent="0.3">
      <c r="A21" s="76" t="s">
        <v>3519</v>
      </c>
      <c r="B21" s="76"/>
      <c r="C21" s="76"/>
      <c r="D21" s="76"/>
      <c r="E21" s="76"/>
      <c r="F21" s="76"/>
      <c r="G21" s="76"/>
      <c r="H21" s="76"/>
      <c r="I21" s="76"/>
      <c r="J21" s="76"/>
      <c r="K21" s="76"/>
      <c r="L21" s="76"/>
      <c r="M21" s="76"/>
      <c r="N21" s="76"/>
    </row>
    <row r="22" spans="1:14" ht="42" customHeight="1" x14ac:dyDescent="0.3">
      <c r="A22" s="76"/>
      <c r="B22" s="76"/>
      <c r="C22" s="76"/>
      <c r="D22" s="76"/>
      <c r="E22" s="76"/>
      <c r="F22" s="76"/>
      <c r="G22" s="76"/>
      <c r="H22" s="76"/>
      <c r="I22" s="76"/>
      <c r="J22" s="76"/>
      <c r="K22" s="76"/>
      <c r="L22" s="76"/>
      <c r="M22" s="76"/>
      <c r="N22" s="76"/>
    </row>
  </sheetData>
  <mergeCells count="20">
    <mergeCell ref="A21:N22"/>
    <mergeCell ref="A5:B6"/>
    <mergeCell ref="C5:D6"/>
    <mergeCell ref="E5:F6"/>
    <mergeCell ref="G5:H6"/>
    <mergeCell ref="I5:K6"/>
    <mergeCell ref="L5:N6"/>
    <mergeCell ref="A14:N14"/>
    <mergeCell ref="C15:N15"/>
    <mergeCell ref="C16:N16"/>
    <mergeCell ref="C17:N17"/>
    <mergeCell ref="C18:N18"/>
    <mergeCell ref="A1:N1"/>
    <mergeCell ref="A2:N2"/>
    <mergeCell ref="A4:B4"/>
    <mergeCell ref="C4:D4"/>
    <mergeCell ref="E4:F4"/>
    <mergeCell ref="G4:H4"/>
    <mergeCell ref="I4:K4"/>
    <mergeCell ref="L4:N4"/>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6BF79-502E-4988-95FD-39B9ED567998}">
  <dimension ref="A1:N70"/>
  <sheetViews>
    <sheetView topLeftCell="A19" workbookViewId="0">
      <selection activeCell="B13" sqref="B13"/>
    </sheetView>
  </sheetViews>
  <sheetFormatPr baseColWidth="10" defaultRowHeight="14.4" x14ac:dyDescent="0.3"/>
  <cols>
    <col min="1" max="1" width="11.109375" customWidth="1"/>
    <col min="2" max="2" width="19.44140625" customWidth="1"/>
    <col min="3" max="3" width="46.33203125" customWidth="1"/>
    <col min="4" max="6" width="14.77734375" customWidth="1"/>
    <col min="7" max="7" width="19.44140625" customWidth="1"/>
    <col min="8" max="8" width="21.33203125" customWidth="1"/>
    <col min="9" max="9" width="45.33203125" customWidth="1"/>
    <col min="10" max="10" width="13" customWidth="1"/>
    <col min="11" max="11" width="38.88671875" customWidth="1"/>
    <col min="12" max="13" width="15.21875" customWidth="1"/>
    <col min="14" max="14" width="26.88671875" customWidth="1"/>
  </cols>
  <sheetData>
    <row r="1" spans="1:14" ht="34.049999999999997" customHeight="1" x14ac:dyDescent="0.3">
      <c r="A1" s="85" t="s">
        <v>2370</v>
      </c>
      <c r="B1" s="85"/>
      <c r="C1" s="85"/>
      <c r="D1" s="85"/>
      <c r="E1" s="85"/>
      <c r="F1" s="85"/>
      <c r="G1" s="85"/>
      <c r="H1" s="85"/>
      <c r="I1" s="85"/>
      <c r="J1" s="85"/>
      <c r="K1" s="85"/>
      <c r="L1" s="85"/>
      <c r="M1" s="85"/>
      <c r="N1" s="85"/>
    </row>
    <row r="2" spans="1:14" ht="22.95" customHeight="1" x14ac:dyDescent="0.3">
      <c r="A2" s="86" t="s">
        <v>2371</v>
      </c>
      <c r="B2" s="86"/>
      <c r="C2" s="86"/>
      <c r="D2" s="86"/>
      <c r="E2" s="86"/>
      <c r="F2" s="86"/>
      <c r="G2" s="86"/>
      <c r="H2" s="86"/>
      <c r="I2" s="86"/>
      <c r="J2" s="86"/>
      <c r="K2" s="86"/>
      <c r="L2" s="86"/>
      <c r="M2" s="86"/>
      <c r="N2" s="86"/>
    </row>
    <row r="3" spans="1:14" ht="22.05" customHeight="1" x14ac:dyDescent="0.3">
      <c r="A3" s="6"/>
      <c r="B3" s="6"/>
      <c r="C3" s="6"/>
      <c r="D3" s="6"/>
      <c r="E3" s="6"/>
      <c r="F3" s="6"/>
      <c r="G3" s="6"/>
      <c r="H3" s="6"/>
      <c r="I3" s="6"/>
      <c r="J3" s="6"/>
      <c r="K3" s="6"/>
      <c r="L3" s="6"/>
      <c r="M3" s="6"/>
      <c r="N3" s="6"/>
    </row>
    <row r="4" spans="1:14" ht="22.05" customHeight="1" x14ac:dyDescent="0.3">
      <c r="A4" s="83" t="s">
        <v>2372</v>
      </c>
      <c r="B4" s="83"/>
      <c r="C4" s="83" t="s">
        <v>2373</v>
      </c>
      <c r="D4" s="83"/>
      <c r="E4" s="83" t="s">
        <v>2374</v>
      </c>
      <c r="F4" s="83"/>
      <c r="G4" s="83" t="s">
        <v>2375</v>
      </c>
      <c r="H4" s="83"/>
      <c r="I4" s="83" t="s">
        <v>2376</v>
      </c>
      <c r="J4" s="83"/>
      <c r="K4" s="83" t="s">
        <v>2377</v>
      </c>
      <c r="L4" s="83"/>
      <c r="M4" s="83"/>
      <c r="N4" s="83"/>
    </row>
    <row r="5" spans="1:14" ht="28.95" customHeight="1" x14ac:dyDescent="0.3">
      <c r="A5" s="84">
        <f>COUNTA(Postkarten!$A$2:$A$695)</f>
        <v>635</v>
      </c>
      <c r="B5" s="87"/>
      <c r="C5" s="87">
        <f>SUM(Postkarten!$N$2:$N$695)</f>
        <v>5101.8999999999996</v>
      </c>
      <c r="D5" s="87"/>
      <c r="E5" s="87">
        <f>IFERROR(C5/A5,0)</f>
        <v>8.0344881889763773</v>
      </c>
      <c r="F5" s="87"/>
      <c r="G5" s="88">
        <f>IFERROR(COUNTIF(Preisvergleich[Artikelnummer],"AK-*")/A5,0)</f>
        <v>0.64251968503937007</v>
      </c>
      <c r="H5" s="88"/>
      <c r="I5" s="84">
        <f>COUNTIFS(Preisvergleich[Artikelnummer],"AK-*",Preisvergleich[Differenz VK],"&lt;&gt;0")</f>
        <v>64</v>
      </c>
      <c r="J5" s="84"/>
      <c r="K5" s="84" cm="1">
        <f t="array" ref="K5">COUNTA(_xlfn._xlws.FILTER(Postkarten!$A$2:$A$410,Postkarten!$A$2:$A$410&lt;&gt;""))-ROWS(_xlfn.UNIQUE(_xlfn._xlws.FILTER(Postkarten!$A$2:$A$410,Postkarten!$A$2:$A$410&lt;&gt;"")))</f>
        <v>0</v>
      </c>
      <c r="L5" s="84"/>
      <c r="M5" s="84"/>
      <c r="N5" s="84"/>
    </row>
    <row r="6" spans="1:14" ht="28.95" customHeight="1" x14ac:dyDescent="0.3">
      <c r="A6" s="84"/>
      <c r="B6" s="87"/>
      <c r="C6" s="87"/>
      <c r="D6" s="87"/>
      <c r="E6" s="87"/>
      <c r="F6" s="87"/>
      <c r="G6" s="88"/>
      <c r="H6" s="88"/>
      <c r="I6" s="84"/>
      <c r="J6" s="84"/>
      <c r="K6" s="84"/>
      <c r="L6" s="84"/>
      <c r="M6" s="84"/>
      <c r="N6" s="84"/>
    </row>
    <row r="7" spans="1:14" ht="22.05" customHeight="1" x14ac:dyDescent="0.3">
      <c r="A7" s="6"/>
      <c r="B7" s="6"/>
      <c r="C7" s="6"/>
      <c r="D7" s="6"/>
      <c r="E7" s="6"/>
      <c r="F7" s="6"/>
      <c r="G7" s="6"/>
      <c r="H7" s="6"/>
      <c r="I7" s="6"/>
      <c r="J7" s="6"/>
      <c r="K7" s="6"/>
      <c r="L7" s="6"/>
      <c r="M7" s="6"/>
      <c r="N7" s="6"/>
    </row>
    <row r="8" spans="1:14" ht="22.05" customHeight="1" x14ac:dyDescent="0.3">
      <c r="A8" s="10" t="s">
        <v>2378</v>
      </c>
      <c r="B8" s="10" t="s">
        <v>2372</v>
      </c>
      <c r="C8" s="10" t="s">
        <v>2379</v>
      </c>
      <c r="D8" s="6"/>
      <c r="E8" s="10" t="s">
        <v>2381</v>
      </c>
      <c r="F8" s="10" t="s">
        <v>2372</v>
      </c>
      <c r="G8" s="10" t="s">
        <v>2379</v>
      </c>
      <c r="H8" s="6"/>
      <c r="I8" s="10" t="s">
        <v>2386</v>
      </c>
      <c r="J8" s="10" t="s">
        <v>2387</v>
      </c>
      <c r="K8" s="10" t="s">
        <v>2388</v>
      </c>
      <c r="L8" s="6"/>
      <c r="M8" s="6"/>
      <c r="N8" s="6"/>
    </row>
    <row r="9" spans="1:14" ht="22.05" customHeight="1" x14ac:dyDescent="0.3">
      <c r="A9" s="11" t="s">
        <v>19</v>
      </c>
      <c r="B9" s="11">
        <f>COUNTIF(Postkarten!$D$2:$D$410,A9&amp;"*")</f>
        <v>54</v>
      </c>
      <c r="C9" s="12">
        <f>SUMIF(Postkarten!$D$2:$D$410,A9&amp;"*",Postkarten!$N$2:$N$410)</f>
        <v>492</v>
      </c>
      <c r="D9" s="6"/>
      <c r="E9" s="11" t="s">
        <v>2382</v>
      </c>
      <c r="F9" s="11">
        <f>COUNTIF(Postkarten!$N$2:$N$410,"&gt;=12")</f>
        <v>46</v>
      </c>
      <c r="G9" s="12">
        <f>SUMIF(Postkarten!$N$2:$N$410,"&gt;=12",Postkarten!$N$2:$N$410)</f>
        <v>670.4</v>
      </c>
      <c r="H9" s="6"/>
      <c r="I9" s="11" t="s">
        <v>2389</v>
      </c>
      <c r="J9" s="11">
        <f>A5-ROWS(Preisvergleich[Artikelnummer])</f>
        <v>227</v>
      </c>
      <c r="K9" s="11" t="s">
        <v>2390</v>
      </c>
      <c r="L9" s="6"/>
      <c r="M9" s="6"/>
      <c r="N9" s="6"/>
    </row>
    <row r="10" spans="1:14" ht="22.05" customHeight="1" x14ac:dyDescent="0.3">
      <c r="A10" s="11" t="s">
        <v>103</v>
      </c>
      <c r="B10" s="11">
        <f>COUNTIF(Postkarten!$D$2:$D$410,A10&amp;"*")</f>
        <v>42</v>
      </c>
      <c r="C10" s="12">
        <f>SUMIF(Postkarten!$D$2:$D$410,A10&amp;"*",Postkarten!$N$2:$N$410)</f>
        <v>333.5</v>
      </c>
      <c r="D10" s="6"/>
      <c r="E10" s="11" t="s">
        <v>2383</v>
      </c>
      <c r="F10" s="11">
        <f>COUNTIFS(Postkarten!$N$2:$N$410,"&gt;=8",Postkarten!$N$2:$N$410,"&lt;12")</f>
        <v>152</v>
      </c>
      <c r="G10" s="12">
        <f>SUMIFS(Postkarten!$N$2:$N$410,Postkarten!$N$2:$N$410,"&gt;=8",Postkarten!$N$2:$N$410,"&lt;12")</f>
        <v>1362</v>
      </c>
      <c r="H10" s="6"/>
      <c r="I10" s="11" t="s">
        <v>2391</v>
      </c>
      <c r="J10" s="11">
        <f>K5</f>
        <v>0</v>
      </c>
      <c r="K10" s="11" t="s">
        <v>2390</v>
      </c>
      <c r="L10" s="6"/>
      <c r="M10" s="6"/>
      <c r="N10" s="6"/>
    </row>
    <row r="11" spans="1:14" ht="22.05" customHeight="1" x14ac:dyDescent="0.3">
      <c r="A11" s="11" t="s">
        <v>40</v>
      </c>
      <c r="B11" s="11">
        <f>COUNTIF(Postkarten!$D$2:$D$410,A11&amp;"*")</f>
        <v>24</v>
      </c>
      <c r="C11" s="12">
        <f>SUMIF(Postkarten!$D$2:$D$410,A11&amp;"*",Postkarten!$N$2:$N$410)</f>
        <v>198.5</v>
      </c>
      <c r="D11" s="6"/>
      <c r="E11" s="11" t="s">
        <v>2384</v>
      </c>
      <c r="F11" s="11">
        <f>COUNTIFS(Postkarten!$N$2:$N$410,"&gt;=5",Postkarten!$N$2:$N$410,"&lt;8")</f>
        <v>201</v>
      </c>
      <c r="G11" s="12">
        <f>SUMIFS(Postkarten!$N$2:$N$410,Postkarten!$N$2:$N$410,"&gt;=5",Postkarten!$N$2:$N$410,"&lt;8")</f>
        <v>1234</v>
      </c>
      <c r="H11" s="6"/>
      <c r="I11" s="11" t="s">
        <v>2392</v>
      </c>
      <c r="J11" s="11">
        <f>COUNTIF(Postkarten!$C$2:$C$410,"*Unbekannt*")</f>
        <v>73</v>
      </c>
      <c r="K11" s="11" t="s">
        <v>2393</v>
      </c>
      <c r="L11" s="6"/>
      <c r="M11" s="6"/>
      <c r="N11" s="6"/>
    </row>
    <row r="12" spans="1:14" ht="22.05" customHeight="1" x14ac:dyDescent="0.3">
      <c r="A12" s="11" t="s">
        <v>286</v>
      </c>
      <c r="B12" s="11">
        <f>COUNTIF(Postkarten!$D$2:$D$410,A12&amp;"*")</f>
        <v>22</v>
      </c>
      <c r="C12" s="12">
        <f>SUMIF(Postkarten!$D$2:$D$410,A12&amp;"*",Postkarten!$N$2:$N$410)</f>
        <v>218.4</v>
      </c>
      <c r="D12" s="6"/>
      <c r="E12" s="11" t="s">
        <v>2385</v>
      </c>
      <c r="F12" s="11">
        <f>COUNTIF(Postkarten!$N$2:$N$410,"&lt;5")</f>
        <v>10</v>
      </c>
      <c r="G12" s="12">
        <f>SUMIF(Postkarten!$N$2:$N$410,"&lt;5",Postkarten!$N$2:$N$410)</f>
        <v>37</v>
      </c>
      <c r="H12" s="6"/>
      <c r="I12" s="11" t="s">
        <v>2394</v>
      </c>
      <c r="J12" s="11">
        <f>COUNTIF(Postkarten!$I$2:$I$410,"*Unbekannt*")+COUNTIF(Postkarten!$I$2:$I$410,"Keiner")</f>
        <v>74</v>
      </c>
      <c r="K12" s="11" t="s">
        <v>2393</v>
      </c>
      <c r="L12" s="6"/>
      <c r="M12" s="6"/>
      <c r="N12" s="6"/>
    </row>
    <row r="13" spans="1:14" ht="22.05" customHeight="1" x14ac:dyDescent="0.3">
      <c r="A13" s="11" t="s">
        <v>246</v>
      </c>
      <c r="B13" s="11">
        <f>COUNTIF(Postkarten!$D$2:$D$410,A13&amp;"*")</f>
        <v>13</v>
      </c>
      <c r="C13" s="12">
        <f>SUMIF(Postkarten!$D$2:$D$410,A13&amp;"*",Postkarten!$N$2:$N$410)</f>
        <v>139</v>
      </c>
      <c r="D13" s="6"/>
      <c r="E13" s="6"/>
      <c r="F13" s="6"/>
      <c r="G13" s="6"/>
      <c r="H13" s="6"/>
      <c r="I13" s="11" t="s">
        <v>2395</v>
      </c>
      <c r="J13" s="11">
        <f>COUNTIF(Postkarten!$J$2:$J$410,"*Unbekannt*")+COUNTIF(Postkarten!$J$2:$J$410,"Keiner")</f>
        <v>93</v>
      </c>
      <c r="K13" s="11" t="s">
        <v>2396</v>
      </c>
      <c r="L13" s="6"/>
      <c r="M13" s="6"/>
      <c r="N13" s="6"/>
    </row>
    <row r="14" spans="1:14" ht="22.05" customHeight="1" x14ac:dyDescent="0.3">
      <c r="A14" s="11" t="s">
        <v>325</v>
      </c>
      <c r="B14" s="11">
        <f>COUNTIF(Postkarten!$D$2:$D$410,A14&amp;"*")</f>
        <v>8</v>
      </c>
      <c r="C14" s="12">
        <f>SUMIF(Postkarten!$D$2:$D$410,A14&amp;"*",Postkarten!$N$2:$N$410)</f>
        <v>75</v>
      </c>
      <c r="D14" s="6"/>
      <c r="E14" s="6"/>
      <c r="F14" s="6"/>
      <c r="G14" s="6"/>
      <c r="H14" s="6"/>
      <c r="I14" s="11" t="s">
        <v>2397</v>
      </c>
      <c r="J14" s="11">
        <f>COUNTIF(Postkarten!$K$2:$K$410,"*Unbekannt*")+COUNTIF(Postkarten!$K$2:$K$410,"Keine")</f>
        <v>112</v>
      </c>
      <c r="K14" s="11" t="s">
        <v>2396</v>
      </c>
      <c r="L14" s="6"/>
      <c r="M14" s="6"/>
      <c r="N14" s="6"/>
    </row>
    <row r="15" spans="1:14" ht="22.05" customHeight="1" x14ac:dyDescent="0.3">
      <c r="A15" s="11" t="s">
        <v>2380</v>
      </c>
      <c r="B15" s="11">
        <f>COUNTIF(Postkarten!$D$2:$D$410,A15&amp;"*")</f>
        <v>7</v>
      </c>
      <c r="C15" s="12">
        <f>SUMIF(Postkarten!$D$2:$D$410,A15&amp;"*",Postkarten!$N$2:$N$410)</f>
        <v>46</v>
      </c>
      <c r="D15" s="6"/>
      <c r="E15" s="6"/>
      <c r="F15" s="6"/>
      <c r="G15" s="6"/>
      <c r="H15" s="6"/>
      <c r="I15" s="6"/>
      <c r="J15" s="6"/>
      <c r="K15" s="6"/>
      <c r="L15" s="6"/>
      <c r="M15" s="6"/>
      <c r="N15" s="6"/>
    </row>
    <row r="16" spans="1:14" ht="22.05" customHeight="1" x14ac:dyDescent="0.3">
      <c r="A16" s="11" t="s">
        <v>537</v>
      </c>
      <c r="B16" s="11">
        <f>COUNTIF(Postkarten!$D$2:$D$410,A16&amp;"*")</f>
        <v>7</v>
      </c>
      <c r="C16" s="12">
        <f>SUMIF(Postkarten!$D$2:$D$410,A16&amp;"*",Postkarten!$N$2:$N$410)</f>
        <v>64</v>
      </c>
      <c r="D16" s="6"/>
      <c r="E16" s="6"/>
      <c r="F16" s="6"/>
      <c r="G16" s="6"/>
      <c r="H16" s="6"/>
      <c r="I16" s="6"/>
      <c r="J16" s="6"/>
      <c r="K16" s="6"/>
      <c r="L16" s="6"/>
      <c r="M16" s="6"/>
      <c r="N16" s="6"/>
    </row>
    <row r="17" spans="1:14" ht="22.05" customHeight="1" x14ac:dyDescent="0.3">
      <c r="A17" s="11" t="s">
        <v>773</v>
      </c>
      <c r="B17" s="11">
        <f>COUNTIF(Postkarten!$D$2:$D$410,A17&amp;"*")</f>
        <v>7</v>
      </c>
      <c r="C17" s="12">
        <f>SUMIF(Postkarten!$D$2:$D$410,A17&amp;"*",Postkarten!$N$2:$N$410)</f>
        <v>48</v>
      </c>
      <c r="D17" s="6"/>
      <c r="E17" s="6"/>
      <c r="F17" s="6"/>
      <c r="G17" s="6"/>
      <c r="H17" s="6"/>
      <c r="I17" s="6"/>
      <c r="J17" s="6"/>
      <c r="K17" s="6"/>
      <c r="L17" s="6"/>
      <c r="M17" s="6"/>
      <c r="N17" s="6"/>
    </row>
    <row r="18" spans="1:14" ht="22.05" customHeight="1" x14ac:dyDescent="0.3">
      <c r="A18" s="11" t="s">
        <v>112</v>
      </c>
      <c r="B18" s="11">
        <f>COUNTIF(Postkarten!$D$2:$D$410,A18&amp;"*")</f>
        <v>5</v>
      </c>
      <c r="C18" s="12">
        <f>SUMIF(Postkarten!$D$2:$D$410,A18&amp;"*",Postkarten!$N$2:$N$410)</f>
        <v>37</v>
      </c>
      <c r="D18" s="6"/>
      <c r="E18" s="6"/>
      <c r="F18" s="6"/>
      <c r="G18" s="6"/>
      <c r="H18" s="6"/>
      <c r="I18" s="6"/>
      <c r="J18" s="6"/>
      <c r="K18" s="6"/>
      <c r="L18" s="6"/>
      <c r="M18" s="6"/>
      <c r="N18" s="6"/>
    </row>
    <row r="19" spans="1:14" ht="22.05" customHeight="1" x14ac:dyDescent="0.3">
      <c r="A19" s="6"/>
      <c r="B19" s="6"/>
      <c r="C19" s="6"/>
      <c r="D19" s="6"/>
      <c r="E19" s="6"/>
      <c r="F19" s="6"/>
      <c r="G19" s="6"/>
      <c r="H19" s="6"/>
      <c r="I19" s="6"/>
      <c r="J19" s="6"/>
      <c r="K19" s="6"/>
      <c r="L19" s="6"/>
      <c r="M19" s="6"/>
      <c r="N19" s="6"/>
    </row>
    <row r="20" spans="1:14" ht="22.05" customHeight="1" x14ac:dyDescent="0.3">
      <c r="A20" s="6"/>
      <c r="B20" s="6"/>
      <c r="C20" s="6"/>
      <c r="D20" s="6"/>
      <c r="E20" s="6"/>
      <c r="F20" s="6"/>
      <c r="G20" s="6"/>
      <c r="H20" s="6"/>
      <c r="I20" s="6"/>
      <c r="J20" s="6"/>
      <c r="K20" s="6"/>
      <c r="L20" s="6"/>
      <c r="M20" s="6"/>
      <c r="N20" s="6"/>
    </row>
    <row r="21" spans="1:14" ht="22.05" customHeight="1" x14ac:dyDescent="0.3">
      <c r="A21" s="82" t="s">
        <v>2398</v>
      </c>
      <c r="B21" s="82"/>
      <c r="C21" s="82"/>
      <c r="D21" s="82"/>
      <c r="E21" s="82"/>
      <c r="F21" s="82"/>
      <c r="G21" s="82"/>
      <c r="H21" s="82"/>
      <c r="I21" s="6"/>
      <c r="J21" s="82" t="s">
        <v>2407</v>
      </c>
      <c r="K21" s="82"/>
      <c r="L21" s="82"/>
      <c r="M21" s="82"/>
      <c r="N21" s="82"/>
    </row>
    <row r="22" spans="1:14" ht="22.05" customHeight="1" x14ac:dyDescent="0.3">
      <c r="A22" s="10" t="s">
        <v>2399</v>
      </c>
      <c r="B22" s="10" t="s">
        <v>0</v>
      </c>
      <c r="C22" s="10" t="s">
        <v>1</v>
      </c>
      <c r="D22" s="10" t="s">
        <v>2400</v>
      </c>
      <c r="E22" s="10" t="s">
        <v>2401</v>
      </c>
      <c r="F22" s="10" t="s">
        <v>2402</v>
      </c>
      <c r="G22" s="10" t="s">
        <v>2403</v>
      </c>
      <c r="H22" s="10" t="s">
        <v>2404</v>
      </c>
      <c r="I22" s="6"/>
      <c r="J22" s="10" t="s">
        <v>2408</v>
      </c>
      <c r="K22" s="10" t="s">
        <v>2409</v>
      </c>
      <c r="L22" s="10" t="s">
        <v>2410</v>
      </c>
      <c r="M22" s="10" t="s">
        <v>14</v>
      </c>
      <c r="N22" s="10" t="s">
        <v>2411</v>
      </c>
    </row>
    <row r="23" spans="1:14" x14ac:dyDescent="0.3">
      <c r="A23" s="13" cm="1">
        <f t="array" ref="A23:H34">_xlfn.LET(_xlpm.ids,_xlfn._xlws.FILTER(Postkarten!$A$2:$A$410,Postkarten!$A$2:$A$410&lt;&gt;""),_xlpm.ttl,_xlfn._xlws.FILTER(Postkarten!$B$2:$B$410,Postkarten!$A$2:$A$410&lt;&gt;""),_xlpm.ort,_xlfn._xlws.FILTER(Postkarten!$D$2:$D$410,Postkarten!$A$2:$A$410&lt;&gt;""),_xlpm.vk,_xlfn._xlws.FILTER(Postkarten!$N$2:$N$410,Postkarten!$A$2:$A$410&lt;&gt;""),_xlpm.d,_xlfn.HSTACK(_xlpm.ids,_xlpm.ttl,_xlpm.ort,_xlpm.vk),_xlpm.z,_xlfn.TAKE(_xlfn.SORTBY(_xlpm.d,_xlpm.vk,-1),12),_xlpm.mv,_xlfn.XLOOKUP(_xlfn.CHOOSECOLS(_xlpm.z,1),Preisvergleich[Artikelnummer],Preisvergleich[Ermittelt VK],0),_xlpm.df,_xlpm.mv-_xlfn.CHOOSECOLS(_xlpm.z,4),_xlfn.HSTACK(_xlfn.SEQUENCE(12),_xlpm.z,_xlpm.mv,_xlpm.df,IF(_xlpm.df&gt;0,"Erhöhen",IF(_xlpm.df&lt;0,"Senken","Unverändert"))))</f>
        <v>1</v>
      </c>
      <c r="B23" s="13" t="str">
        <v>AK-2026-0331</v>
      </c>
      <c r="C23" s="15" t="str">
        <v>Gilching, Villenkolonie</v>
      </c>
      <c r="D23" s="13" t="str">
        <v>Gilching / Oberbayern / Bayern</v>
      </c>
      <c r="E23" s="14">
        <v>28</v>
      </c>
      <c r="F23" s="14">
        <v>28</v>
      </c>
      <c r="G23" s="14">
        <v>0</v>
      </c>
      <c r="H23" s="13" t="str">
        <v>Unverändert</v>
      </c>
      <c r="I23" s="6"/>
      <c r="J23" s="13">
        <v>1</v>
      </c>
      <c r="K23" s="15" t="s">
        <v>2412</v>
      </c>
      <c r="L23" s="13">
        <f>A5-ROWS(Preisvergleich[Artikelnummer])</f>
        <v>227</v>
      </c>
      <c r="M23" s="13" t="str">
        <f>IF(L23=0,"Bereit","Offen")</f>
        <v>Offen</v>
      </c>
      <c r="N23" s="13" t="s">
        <v>2413</v>
      </c>
    </row>
    <row r="24" spans="1:14" ht="27.6" x14ac:dyDescent="0.3">
      <c r="A24" s="13">
        <v>2</v>
      </c>
      <c r="B24" s="13" t="str">
        <v>AK-2026-0026</v>
      </c>
      <c r="C24" s="15" t="str">
        <v>Dürnsricht – Blick auf Dürnsricht mit Bäckerei &amp; Kolonialwarengeschäft Bartmann</v>
      </c>
      <c r="D24" s="13" t="str">
        <v>Dürnsricht</v>
      </c>
      <c r="E24" s="14">
        <v>25</v>
      </c>
      <c r="F24" s="14">
        <v>25</v>
      </c>
      <c r="G24" s="14">
        <v>0</v>
      </c>
      <c r="H24" s="13" t="str">
        <v>Unverändert</v>
      </c>
      <c r="I24" s="6"/>
      <c r="J24" s="13">
        <v>2</v>
      </c>
      <c r="K24" s="15" t="s">
        <v>2414</v>
      </c>
      <c r="L24" s="13">
        <f>K5</f>
        <v>0</v>
      </c>
      <c r="M24" s="13" t="str">
        <f>IF(L24=0,"Bereit","Offen")</f>
        <v>Bereit</v>
      </c>
      <c r="N24" s="13" t="s">
        <v>2415</v>
      </c>
    </row>
    <row r="25" spans="1:14" x14ac:dyDescent="0.3">
      <c r="A25" s="13">
        <v>3</v>
      </c>
      <c r="B25" s="13" t="str">
        <v>AK-2026-0268</v>
      </c>
      <c r="C25" s="15" t="str">
        <v>München - Klapp-Werbebriefkarte Drei Masken Verlag</v>
      </c>
      <c r="D25" s="13" t="str">
        <v>München / Oberbayern</v>
      </c>
      <c r="E25" s="14">
        <v>22</v>
      </c>
      <c r="F25" s="14">
        <v>22</v>
      </c>
      <c r="G25" s="14">
        <v>0</v>
      </c>
      <c r="H25" s="13" t="str">
        <v>Unverändert</v>
      </c>
      <c r="I25" s="6"/>
      <c r="J25" s="13">
        <v>3</v>
      </c>
      <c r="K25" s="15" t="s">
        <v>2416</v>
      </c>
      <c r="L25" s="13">
        <f>F9</f>
        <v>46</v>
      </c>
      <c r="M25" s="13" t="s">
        <v>2387</v>
      </c>
      <c r="N25" s="13" t="s">
        <v>2417</v>
      </c>
    </row>
    <row r="26" spans="1:14" ht="27.6" x14ac:dyDescent="0.3">
      <c r="A26" s="13">
        <v>4</v>
      </c>
      <c r="B26" s="13" t="str">
        <v>AK-2026-0370</v>
      </c>
      <c r="C26" s="15" t="str">
        <v>Schloss Herrenchiemsee – Salle de l'oeil de boeuf (Ochsenaugensaal)</v>
      </c>
      <c r="D26" s="13" t="str">
        <v>Chiemsee / Herrenchiemsee / Oberbayern / Bayern</v>
      </c>
      <c r="E26" s="14">
        <v>22</v>
      </c>
      <c r="F26" s="14">
        <v>22</v>
      </c>
      <c r="G26" s="14">
        <v>0</v>
      </c>
      <c r="H26" s="13" t="str">
        <v>Unverändert</v>
      </c>
      <c r="I26" s="6"/>
      <c r="J26" s="13">
        <v>4</v>
      </c>
      <c r="K26" s="15" t="s">
        <v>2418</v>
      </c>
      <c r="L26" s="13">
        <f>F12</f>
        <v>10</v>
      </c>
      <c r="M26" s="13" t="s">
        <v>2387</v>
      </c>
      <c r="N26" s="13" t="s">
        <v>2419</v>
      </c>
    </row>
    <row r="27" spans="1:14" ht="27.6" x14ac:dyDescent="0.3">
      <c r="A27" s="13">
        <v>5</v>
      </c>
      <c r="B27" s="13" t="str">
        <v>AK-2026-0344</v>
      </c>
      <c r="C27" s="15" t="str">
        <v>Walhalla a. Donau bei Regensburg (Erbaut 1830–1842 durch König Ludwig I., Entwurf von Leo von Klenze)</v>
      </c>
      <c r="D27" s="13" t="str">
        <v>Donaustauf / Regensburg / Oberpfalz / Bayern</v>
      </c>
      <c r="E27" s="14">
        <v>20</v>
      </c>
      <c r="F27" s="14">
        <v>20</v>
      </c>
      <c r="G27" s="14">
        <v>0</v>
      </c>
      <c r="H27" s="13" t="str">
        <v>Unverändert</v>
      </c>
      <c r="I27" s="6"/>
      <c r="J27" s="13">
        <v>5</v>
      </c>
      <c r="K27" s="15" t="s">
        <v>2420</v>
      </c>
      <c r="L27" s="13">
        <f>J11</f>
        <v>73</v>
      </c>
      <c r="M27" s="13" t="s">
        <v>2387</v>
      </c>
      <c r="N27" s="13" t="s">
        <v>2421</v>
      </c>
    </row>
    <row r="28" spans="1:14" x14ac:dyDescent="0.3">
      <c r="A28" s="13">
        <v>6</v>
      </c>
      <c r="B28" s="13" t="str">
        <v>AK-2026-0345</v>
      </c>
      <c r="C28" s="15" t="str">
        <v>Gaststätte „Tiroler Höhe“ Nürnberg-S. am Hasenbuck</v>
      </c>
      <c r="D28" s="13" t="str">
        <v>Nürnberg / Mittelfranken / Bayern[cite: 14]</v>
      </c>
      <c r="E28" s="14">
        <v>20</v>
      </c>
      <c r="F28" s="14">
        <v>6</v>
      </c>
      <c r="G28" s="14">
        <v>-14</v>
      </c>
      <c r="H28" s="13" t="str">
        <v>Senken</v>
      </c>
      <c r="I28" s="6"/>
      <c r="J28" s="13">
        <v>6</v>
      </c>
      <c r="K28" s="15" t="s">
        <v>2422</v>
      </c>
      <c r="L28" s="13">
        <f>J12</f>
        <v>74</v>
      </c>
      <c r="M28" s="13" t="s">
        <v>2387</v>
      </c>
      <c r="N28" s="13" t="s">
        <v>2423</v>
      </c>
    </row>
    <row r="29" spans="1:14" x14ac:dyDescent="0.3">
      <c r="A29" s="13">
        <v>7</v>
      </c>
      <c r="B29" s="13" t="str">
        <v>AK-2026-0133</v>
      </c>
      <c r="C29" s="15" t="str">
        <v>XXIII. Bundestag des D. R. B. Nürnberg (Kaiserburg)</v>
      </c>
      <c r="D29" s="13" t="str">
        <v>Nürnberg</v>
      </c>
      <c r="E29" s="14">
        <v>19</v>
      </c>
      <c r="F29" s="14">
        <v>19</v>
      </c>
      <c r="G29" s="14">
        <v>0</v>
      </c>
      <c r="H29" s="13" t="str">
        <v>Unverändert</v>
      </c>
      <c r="I29" s="6"/>
      <c r="J29" s="13">
        <v>7</v>
      </c>
      <c r="K29" s="15" t="s">
        <v>2424</v>
      </c>
      <c r="L29" s="13">
        <f>A5</f>
        <v>635</v>
      </c>
      <c r="M29" s="13" t="s">
        <v>2425</v>
      </c>
      <c r="N29" s="13" t="s">
        <v>2426</v>
      </c>
    </row>
    <row r="30" spans="1:14" ht="31.05" customHeight="1" x14ac:dyDescent="0.3">
      <c r="A30" s="13">
        <v>8</v>
      </c>
      <c r="B30" s="13" t="str">
        <v>AK-2026-0084</v>
      </c>
      <c r="C30" s="15" t="str">
        <v>Prinz Regent Luitpold von Bayern – Jubiläums-Postkarte 1821–1911</v>
      </c>
      <c r="D30" s="13" t="str">
        <v>München / Bayern</v>
      </c>
      <c r="E30" s="14">
        <v>18</v>
      </c>
      <c r="F30" s="14">
        <v>12</v>
      </c>
      <c r="G30" s="14">
        <v>-6</v>
      </c>
      <c r="H30" s="13" t="str">
        <v>Senken</v>
      </c>
      <c r="I30" s="6"/>
      <c r="J30" s="6"/>
      <c r="K30" s="6"/>
      <c r="L30" s="6"/>
      <c r="M30" s="6"/>
      <c r="N30" s="6"/>
    </row>
    <row r="31" spans="1:14" ht="31.05" customHeight="1" x14ac:dyDescent="0.3">
      <c r="A31" s="13">
        <v>9</v>
      </c>
      <c r="B31" s="13" t="str">
        <v>AK-2026-0085</v>
      </c>
      <c r="C31" s="15" t="str">
        <v>Prinz Regent Luitpold von Bayern – Jubiläums-Postkarte mit Mädchen (1911)</v>
      </c>
      <c r="D31" s="13" t="str">
        <v>München / Bayern</v>
      </c>
      <c r="E31" s="14">
        <v>18</v>
      </c>
      <c r="F31" s="14">
        <v>12</v>
      </c>
      <c r="G31" s="14">
        <v>-6</v>
      </c>
      <c r="H31" s="13" t="str">
        <v>Senken</v>
      </c>
      <c r="I31" s="6"/>
      <c r="J31" s="6"/>
      <c r="K31" s="6"/>
      <c r="L31" s="6"/>
      <c r="M31" s="6"/>
      <c r="N31" s="6"/>
    </row>
    <row r="32" spans="1:14" ht="31.05" customHeight="1" x14ac:dyDescent="0.3">
      <c r="A32" s="13">
        <v>10</v>
      </c>
      <c r="B32" s="13" t="str">
        <v>AK-2026-0158</v>
      </c>
      <c r="C32" s="15" t="str">
        <v>Granit-Steinbruch Zeinried!</v>
      </c>
      <c r="D32" s="13" t="str">
        <v>Zeinried / Oberpfalz</v>
      </c>
      <c r="E32" s="14">
        <v>18</v>
      </c>
      <c r="F32" s="14">
        <v>18</v>
      </c>
      <c r="G32" s="14">
        <v>0</v>
      </c>
      <c r="H32" s="13" t="str">
        <v>Unverändert</v>
      </c>
      <c r="I32" s="6"/>
      <c r="J32" s="6"/>
      <c r="K32" s="6"/>
      <c r="L32" s="6"/>
      <c r="M32" s="6"/>
      <c r="N32" s="6"/>
    </row>
    <row r="33" spans="1:14" ht="31.05" customHeight="1" x14ac:dyDescent="0.3">
      <c r="A33" s="13">
        <v>11</v>
      </c>
      <c r="B33" s="13" t="str">
        <v>AK-2026-0017</v>
      </c>
      <c r="C33" s="15" t="str">
        <v>Regensburg – Moltkeplatz im Schnee (Nachtschneekarte mit Dom)</v>
      </c>
      <c r="D33" s="13" t="str">
        <v>Regensburg</v>
      </c>
      <c r="E33" s="14">
        <v>15</v>
      </c>
      <c r="F33" s="14">
        <v>15</v>
      </c>
      <c r="G33" s="14">
        <v>0</v>
      </c>
      <c r="H33" s="13" t="str">
        <v>Unverändert</v>
      </c>
      <c r="I33" s="6"/>
      <c r="J33" s="6"/>
      <c r="K33" s="6"/>
      <c r="L33" s="6"/>
      <c r="M33" s="6"/>
      <c r="N33" s="6"/>
    </row>
    <row r="34" spans="1:14" ht="31.05" customHeight="1" x14ac:dyDescent="0.3">
      <c r="A34" s="13">
        <v>12</v>
      </c>
      <c r="B34" s="13" t="str">
        <v>AK-2026-0111</v>
      </c>
      <c r="C34" s="15" t="str">
        <v>Blick auf München vom Maximilianeum aus</v>
      </c>
      <c r="D34" s="13" t="str">
        <v>München</v>
      </c>
      <c r="E34" s="14">
        <v>15</v>
      </c>
      <c r="F34" s="14">
        <v>15</v>
      </c>
      <c r="G34" s="14">
        <v>0</v>
      </c>
      <c r="H34" s="13" t="str">
        <v>Unverändert</v>
      </c>
      <c r="I34" s="6"/>
      <c r="J34" s="6"/>
      <c r="K34" s="6"/>
      <c r="L34" s="6"/>
      <c r="M34" s="6"/>
      <c r="N34" s="6"/>
    </row>
    <row r="35" spans="1:14" ht="22.05" customHeight="1" x14ac:dyDescent="0.3">
      <c r="A35" s="6"/>
      <c r="B35" s="6"/>
      <c r="C35" s="6"/>
      <c r="D35" s="6"/>
      <c r="E35" s="6"/>
      <c r="F35" s="6"/>
      <c r="G35" s="6"/>
      <c r="H35" s="6"/>
      <c r="I35" s="6"/>
      <c r="J35" s="6"/>
      <c r="K35" s="6"/>
      <c r="L35" s="6"/>
      <c r="M35" s="6"/>
      <c r="N35" s="6"/>
    </row>
    <row r="36" spans="1:14" ht="22.05" customHeight="1" x14ac:dyDescent="0.3">
      <c r="A36" s="6"/>
      <c r="B36" s="6"/>
      <c r="C36" s="6"/>
      <c r="D36" s="6"/>
      <c r="E36" s="6"/>
      <c r="F36" s="6"/>
      <c r="G36" s="6"/>
      <c r="H36" s="6"/>
      <c r="I36" s="6"/>
      <c r="J36" s="6"/>
      <c r="K36" s="6"/>
      <c r="L36" s="6"/>
      <c r="M36" s="6"/>
      <c r="N36" s="6"/>
    </row>
    <row r="37" spans="1:14" ht="22.05" customHeight="1" x14ac:dyDescent="0.3">
      <c r="A37" s="82" t="s">
        <v>2427</v>
      </c>
      <c r="B37" s="82"/>
      <c r="C37" s="82"/>
      <c r="D37" s="82"/>
      <c r="E37" s="82"/>
      <c r="F37" s="82"/>
      <c r="G37" s="82"/>
      <c r="H37" s="82"/>
      <c r="I37" s="6"/>
      <c r="J37" s="82" t="s">
        <v>2430</v>
      </c>
      <c r="K37" s="82"/>
      <c r="L37" s="82"/>
      <c r="M37" s="82"/>
      <c r="N37" s="82"/>
    </row>
    <row r="38" spans="1:14" ht="22.05" customHeight="1" x14ac:dyDescent="0.3">
      <c r="A38" s="10" t="s">
        <v>0</v>
      </c>
      <c r="B38" s="10" t="s">
        <v>1</v>
      </c>
      <c r="C38" s="10" t="s">
        <v>2166</v>
      </c>
      <c r="D38" s="10" t="s">
        <v>2402</v>
      </c>
      <c r="E38" s="10" t="s">
        <v>2428</v>
      </c>
      <c r="F38" s="10" t="s">
        <v>2400</v>
      </c>
      <c r="G38" s="10" t="s">
        <v>2163</v>
      </c>
      <c r="H38" s="10" t="s">
        <v>2429</v>
      </c>
      <c r="I38" s="6"/>
      <c r="J38" s="10" t="s">
        <v>0</v>
      </c>
      <c r="K38" s="10" t="s">
        <v>1</v>
      </c>
      <c r="L38" s="10" t="s">
        <v>2431</v>
      </c>
      <c r="M38" s="10" t="s">
        <v>2432</v>
      </c>
      <c r="N38" s="10" t="s">
        <v>2403</v>
      </c>
    </row>
    <row r="39" spans="1:14" ht="31.05" customHeight="1" x14ac:dyDescent="0.3">
      <c r="A39" s="13" t="str" cm="1">
        <f t="array" ref="A39:H48">IFERROR(_xlfn.LET(_xlpm.d,_xlfn._xlws.FILTER(_xlfn.HSTACK(Preisvergleich[Artikelnummer],Preisvergleich[Titel],Preisvergleich[Aktuell VK],Preisvergleich[Ermittelt VK],Preisvergleich[Differenz VK],_xlfn.XLOOKUP(Preisvergleich[Artikelnummer],Postkarten!A2:A410,Postkarten!D2:D410,""),Preisvergleich[Quellzeile]),(Preisvergleich[Differenz VK]&gt;0)*(LEFT(Preisvergleich[Artikelnummer],3)="AK-")),_xlpm.z,_xlfn.TAKE(_xlfn.SORTBY(_xlpm.d,_xlfn.CHOOSECOLS(_xlpm.d,5),-1),10),_xlfn.HSTACK(_xlpm.z,IF(_xlfn.CHOOSECOLS(_xlpm.z,5)&gt;0,"Preis prüfen/erhöhen",""))),"Keine Erhöhungen offen")</f>
        <v>AK-2026-0396</v>
      </c>
      <c r="B39" s="15" t="str">
        <v>Gruß aus Ensdorf bei Amberg Opf.</v>
      </c>
      <c r="C39" s="14">
        <v>7</v>
      </c>
      <c r="D39" s="14">
        <v>14</v>
      </c>
      <c r="E39" s="14">
        <v>7</v>
      </c>
      <c r="F39" s="13" t="str">
        <v>Ensdorf / Oberpfalz / Bayern</v>
      </c>
      <c r="G39" s="13">
        <v>398</v>
      </c>
      <c r="H39" s="13" t="str">
        <v>Preis prüfen/erhöhen</v>
      </c>
      <c r="I39" s="6"/>
      <c r="J39" s="13" t="str" cm="1">
        <f t="array" ref="J39:N48">_xlfn.LET(_xlpm.d,_xlfn._xlws.FILTER(_xlfn.HSTACK(Preisvergleich[Artikelnummer],Preisvergleich[Titel],Preisvergleich[Aktuell VK],Preisvergleich[Ermittelt VK],Preisvergleich[Differenz VK]),(Preisvergleich[Differenz VK]&lt;0)*(LEFT(Preisvergleich[Artikelnummer],3)="AK-")),_xlfn.TAKE(_xlfn.SORTBY(_xlpm.d,_xlfn.CHOOSECOLS(_xlpm.d,5),1),10))</f>
        <v>AK-2026-0345</v>
      </c>
      <c r="K39" s="15" t="str">
        <v>Gaststätte „Tiroler Höhe“ Nürnberg-S. am Hasenbuck</v>
      </c>
      <c r="L39" s="14">
        <v>20</v>
      </c>
      <c r="M39" s="14">
        <v>6</v>
      </c>
      <c r="N39" s="14">
        <v>-14</v>
      </c>
    </row>
    <row r="40" spans="1:14" ht="31.05" customHeight="1" x14ac:dyDescent="0.3">
      <c r="A40" s="13" t="str">
        <v>AK-2026-0397</v>
      </c>
      <c r="B40" s="15" t="str">
        <v>Ansbach – Krankenhaus</v>
      </c>
      <c r="C40" s="14">
        <v>6</v>
      </c>
      <c r="D40" s="14">
        <v>13</v>
      </c>
      <c r="E40" s="14">
        <v>7</v>
      </c>
      <c r="F40" s="13" t="str">
        <v>Ansbach / Mittelfranken / Bayern</v>
      </c>
      <c r="G40" s="13">
        <v>399</v>
      </c>
      <c r="H40" s="13" t="str">
        <v>Preis prüfen/erhöhen</v>
      </c>
      <c r="I40" s="6"/>
      <c r="J40" s="13" t="str">
        <v>AK-2026-0084</v>
      </c>
      <c r="K40" s="15" t="str">
        <v>Prinz Regent Luitpold von Bayern – Jubiläums-Postkarte 1821–1911</v>
      </c>
      <c r="L40" s="14">
        <v>18</v>
      </c>
      <c r="M40" s="14">
        <v>12</v>
      </c>
      <c r="N40" s="14">
        <v>-6</v>
      </c>
    </row>
    <row r="41" spans="1:14" ht="31.05" customHeight="1" x14ac:dyDescent="0.3">
      <c r="A41" s="13" t="str">
        <v>AK-2026-0384</v>
      </c>
      <c r="B41" s="15" t="str">
        <v>Roth a/ See</v>
      </c>
      <c r="C41" s="14">
        <v>6</v>
      </c>
      <c r="D41" s="14">
        <v>9</v>
      </c>
      <c r="E41" s="14">
        <v>3</v>
      </c>
      <c r="F41" s="13" t="str">
        <v>Roth an der Saale / Unterfranken / Bayern</v>
      </c>
      <c r="G41" s="13">
        <v>386</v>
      </c>
      <c r="H41" s="13" t="str">
        <v>Preis prüfen/erhöhen</v>
      </c>
      <c r="I41" s="6"/>
      <c r="J41" s="13" t="str">
        <v>AK-2026-0085</v>
      </c>
      <c r="K41" s="15" t="str">
        <v>Prinz Regent Luitpold von Bayern – Jubiläums-Postkarte mit Mädchen (1911)</v>
      </c>
      <c r="L41" s="14">
        <v>18</v>
      </c>
      <c r="M41" s="14">
        <v>12</v>
      </c>
      <c r="N41" s="14">
        <v>-6</v>
      </c>
    </row>
    <row r="42" spans="1:14" ht="31.05" customHeight="1" x14ac:dyDescent="0.3">
      <c r="A42" s="13" t="str">
        <v>AK-2026-0400</v>
      </c>
      <c r="B42" s="15" t="str">
        <v>Schloß Parsberg / Bayrische Oberpfalz</v>
      </c>
      <c r="C42" s="14">
        <v>7</v>
      </c>
      <c r="D42" s="14">
        <v>10</v>
      </c>
      <c r="E42" s="14">
        <v>3</v>
      </c>
      <c r="F42" s="13" t="str">
        <v>Parsberg / Oberpfalz / Bayern</v>
      </c>
      <c r="G42" s="13">
        <v>402</v>
      </c>
      <c r="H42" s="13" t="str">
        <v>Preis prüfen/erhöhen</v>
      </c>
      <c r="I42" s="6"/>
      <c r="J42" s="13" t="str">
        <v>AK-2026-0343</v>
      </c>
      <c r="K42" s="15" t="str">
        <v>München - Ehrentempel am Königlichen Platz</v>
      </c>
      <c r="L42" s="14">
        <v>10</v>
      </c>
      <c r="M42" s="14">
        <v>6</v>
      </c>
      <c r="N42" s="14">
        <v>-4</v>
      </c>
    </row>
    <row r="43" spans="1:14" ht="31.05" customHeight="1" x14ac:dyDescent="0.3">
      <c r="A43" s="13" t="str">
        <v>AK-2026-0382</v>
      </c>
      <c r="B43" s="15" t="str">
        <v>Zenting, bayr. Wald</v>
      </c>
      <c r="C43" s="14">
        <v>4</v>
      </c>
      <c r="D43" s="14">
        <v>6</v>
      </c>
      <c r="E43" s="14">
        <v>2</v>
      </c>
      <c r="F43" s="13" t="str">
        <v>Zenting / Niederbayern / Bayern</v>
      </c>
      <c r="G43" s="13">
        <v>384</v>
      </c>
      <c r="H43" s="13" t="str">
        <v>Preis prüfen/erhöhen</v>
      </c>
      <c r="I43" s="6"/>
      <c r="J43" s="13" t="str">
        <v>AK-2026-0156</v>
      </c>
      <c r="K43" s="15" t="str">
        <v>Gruss vom Oberammergauer Passionsspiel (Bühnenansicht)</v>
      </c>
      <c r="L43" s="14">
        <v>12</v>
      </c>
      <c r="M43" s="14">
        <v>9</v>
      </c>
      <c r="N43" s="14">
        <v>-3</v>
      </c>
    </row>
    <row r="44" spans="1:14" ht="27.6" x14ac:dyDescent="0.3">
      <c r="A44" s="13" t="str">
        <v>AK-2026-0383</v>
      </c>
      <c r="B44" s="15" t="str">
        <v>Zenting, bayr. Wald</v>
      </c>
      <c r="C44" s="14">
        <v>4</v>
      </c>
      <c r="D44" s="14">
        <v>6</v>
      </c>
      <c r="E44" s="14">
        <v>2</v>
      </c>
      <c r="F44" s="13" t="str">
        <v>Zenting / Niederbayern / Bayern</v>
      </c>
      <c r="G44" s="13">
        <v>385</v>
      </c>
      <c r="H44" s="13" t="str">
        <v>Preis prüfen/erhöhen</v>
      </c>
      <c r="I44" s="6"/>
      <c r="J44" s="13" t="str">
        <v>AK-2026-0310</v>
      </c>
      <c r="K44" s="15" t="str">
        <v>Gruß aus Seubersdorf (Mehrfach-Luftbildkarte)</v>
      </c>
      <c r="L44" s="14">
        <v>12</v>
      </c>
      <c r="M44" s="14">
        <v>9</v>
      </c>
      <c r="N44" s="14">
        <v>-3</v>
      </c>
    </row>
    <row r="45" spans="1:14" ht="41.4" x14ac:dyDescent="0.3">
      <c r="A45" s="13" t="str">
        <v>AK-2026-0236</v>
      </c>
      <c r="B45" s="15" t="str">
        <v>Schwarzenkopfhütte über Neuhaus b. Schliersee</v>
      </c>
      <c r="C45" s="14">
        <v>6</v>
      </c>
      <c r="D45" s="14">
        <v>8</v>
      </c>
      <c r="E45" s="14">
        <v>2</v>
      </c>
      <c r="F45" s="13" t="str">
        <v>Schliersee / Oberbayern / Bayern</v>
      </c>
      <c r="G45" s="13">
        <v>237</v>
      </c>
      <c r="H45" s="13" t="str">
        <v>Preis prüfen/erhöhen</v>
      </c>
      <c r="I45" s="6"/>
      <c r="J45" s="13" t="str">
        <v>AK-2026-0311</v>
      </c>
      <c r="K45" s="15" t="str">
        <v>Feldkirchen b. Westerham gegen Wendelstein (1884 m)</v>
      </c>
      <c r="L45" s="14">
        <v>9</v>
      </c>
      <c r="M45" s="14">
        <v>6</v>
      </c>
      <c r="N45" s="14">
        <v>-3</v>
      </c>
    </row>
    <row r="46" spans="1:14" ht="41.4" x14ac:dyDescent="0.3">
      <c r="A46" s="13" t="str">
        <v>AK-2026-0381</v>
      </c>
      <c r="B46" s="15" t="str">
        <v>Feste Koburg aus einem Flugzeug gesehen</v>
      </c>
      <c r="C46" s="14">
        <v>5</v>
      </c>
      <c r="D46" s="14">
        <v>6</v>
      </c>
      <c r="E46" s="14">
        <v>1</v>
      </c>
      <c r="F46" s="13" t="str">
        <v>Coburg / Oberfranken / Bayern</v>
      </c>
      <c r="G46" s="13">
        <v>383</v>
      </c>
      <c r="H46" s="13" t="str">
        <v>Preis prüfen/erhöhen</v>
      </c>
      <c r="I46" s="6"/>
      <c r="J46" s="13" t="str">
        <v>AK-2026-0312</v>
      </c>
      <c r="K46" s="15" t="str">
        <v>Luftbild Sulzbürg / Opf.</v>
      </c>
      <c r="L46" s="14">
        <v>11</v>
      </c>
      <c r="M46" s="14">
        <v>8</v>
      </c>
      <c r="N46" s="14">
        <v>-3</v>
      </c>
    </row>
    <row r="47" spans="1:14" ht="41.4" x14ac:dyDescent="0.3">
      <c r="A47" s="13" t="str">
        <v>AK-2026-0390</v>
      </c>
      <c r="B47" s="15" t="str">
        <v>Regensburg – Blick auf die Stadt von den Winserer Höhen</v>
      </c>
      <c r="C47" s="14">
        <v>6</v>
      </c>
      <c r="D47" s="14">
        <v>7</v>
      </c>
      <c r="E47" s="14">
        <v>1</v>
      </c>
      <c r="F47" s="13" t="str">
        <v>Regensburg / Oberpfalz / Bayern</v>
      </c>
      <c r="G47" s="13">
        <v>392</v>
      </c>
      <c r="H47" s="13" t="str">
        <v>Preis prüfen/erhöhen</v>
      </c>
      <c r="I47" s="6"/>
      <c r="J47" s="13" t="str">
        <v>AK-2026-0314</v>
      </c>
      <c r="K47" s="15" t="str">
        <v>Seubersdorf Opf. (Mehrfach-Luftbildkarte mit Bäckerei Anton Liedl)</v>
      </c>
      <c r="L47" s="14">
        <v>15</v>
      </c>
      <c r="M47" s="14">
        <v>12</v>
      </c>
      <c r="N47" s="14">
        <v>-3</v>
      </c>
    </row>
    <row r="48" spans="1:14" ht="31.05" customHeight="1" x14ac:dyDescent="0.3">
      <c r="A48" s="13" t="str">
        <v>AK-2026-0391</v>
      </c>
      <c r="B48" s="15" t="str">
        <v>München – Total mit Frauenkirche</v>
      </c>
      <c r="C48" s="14">
        <v>7</v>
      </c>
      <c r="D48" s="14">
        <v>8</v>
      </c>
      <c r="E48" s="14">
        <v>1</v>
      </c>
      <c r="F48" s="13" t="str">
        <v>München / Oberbayern / Bayern</v>
      </c>
      <c r="G48" s="13">
        <v>393</v>
      </c>
      <c r="H48" s="13" t="str">
        <v>Preis prüfen/erhöhen</v>
      </c>
      <c r="I48" s="6"/>
      <c r="J48" s="13" t="str">
        <v>AK-2026-0315</v>
      </c>
      <c r="K48" s="15" t="str">
        <v>Bodensee - Panorama-Ansichtskarte mit Wappen</v>
      </c>
      <c r="L48" s="14">
        <v>12</v>
      </c>
      <c r="M48" s="14">
        <v>9</v>
      </c>
      <c r="N48" s="14">
        <v>-3</v>
      </c>
    </row>
    <row r="51" ht="25.95" customHeight="1" x14ac:dyDescent="0.3"/>
    <row r="58" ht="30" customHeight="1" x14ac:dyDescent="0.3"/>
    <row r="59" ht="43.95" customHeight="1" x14ac:dyDescent="0.3"/>
    <row r="60" ht="43.95" customHeight="1" x14ac:dyDescent="0.3"/>
    <row r="61" ht="43.95" customHeight="1" x14ac:dyDescent="0.3"/>
    <row r="62" ht="43.95" customHeight="1" x14ac:dyDescent="0.3"/>
    <row r="63" ht="43.95" customHeight="1" x14ac:dyDescent="0.3"/>
    <row r="64" ht="43.95" customHeight="1" x14ac:dyDescent="0.3"/>
    <row r="65" ht="43.95" customHeight="1" x14ac:dyDescent="0.3"/>
    <row r="66" ht="43.95" customHeight="1" x14ac:dyDescent="0.3"/>
    <row r="67" ht="43.95" customHeight="1" x14ac:dyDescent="0.3"/>
    <row r="69" ht="42" customHeight="1" x14ac:dyDescent="0.3"/>
    <row r="70" ht="42" customHeight="1" x14ac:dyDescent="0.3"/>
  </sheetData>
  <mergeCells count="18">
    <mergeCell ref="A1:N1"/>
    <mergeCell ref="A2:N2"/>
    <mergeCell ref="A4:B4"/>
    <mergeCell ref="A5:B6"/>
    <mergeCell ref="C4:D4"/>
    <mergeCell ref="C5:D6"/>
    <mergeCell ref="E4:F4"/>
    <mergeCell ref="E5:F6"/>
    <mergeCell ref="G4:H4"/>
    <mergeCell ref="G5:H6"/>
    <mergeCell ref="A37:H37"/>
    <mergeCell ref="J37:N37"/>
    <mergeCell ref="I4:J4"/>
    <mergeCell ref="I5:J6"/>
    <mergeCell ref="K4:N4"/>
    <mergeCell ref="K5:N6"/>
    <mergeCell ref="A21:H21"/>
    <mergeCell ref="J21:N21"/>
  </mergeCells>
  <conditionalFormatting sqref="E39:E48">
    <cfRule type="dataBar" priority="3">
      <dataBar>
        <cfvo type="min"/>
        <cfvo type="max"/>
        <color rgb="FF638EC6"/>
      </dataBar>
      <extLst>
        <ext xmlns:x14="http://schemas.microsoft.com/office/spreadsheetml/2009/9/main" uri="{B025F937-C7B1-47D3-B67F-A62EFF666E3E}">
          <x14:id>{0ACE1568-116B-4340-9FE9-463794BF0AB0}</x14:id>
        </ext>
      </extLst>
    </cfRule>
  </conditionalFormatting>
  <conditionalFormatting sqref="K9:K14">
    <cfRule type="expression" dxfId="14" priority="1">
      <formula>$K9="Hoch"</formula>
    </cfRule>
    <cfRule type="expression" dxfId="13" priority="2">
      <formula>$K9="Mittel"</formula>
    </cfRule>
  </conditionalFormatting>
  <conditionalFormatting sqref="M23:M29">
    <cfRule type="expression" dxfId="12" priority="5">
      <formula>$M23="Offen"</formula>
    </cfRule>
    <cfRule type="expression" dxfId="11" priority="6">
      <formula>$M23="Bereit"</formula>
    </cfRule>
  </conditionalFormatting>
  <conditionalFormatting sqref="N39:N48">
    <cfRule type="expression" dxfId="10" priority="4">
      <formula>$N39&lt;0</formula>
    </cfRule>
  </conditionalFormatting>
  <pageMargins left="0.7" right="0.7" top="0.78740157499999996" bottom="0.78740157499999996" header="0.3" footer="0.3"/>
  <drawing r:id="rId1"/>
  <extLst>
    <ext xmlns:x14="http://schemas.microsoft.com/office/spreadsheetml/2009/9/main" uri="{78C0D931-6437-407d-A8EE-F0AAD7539E65}">
      <x14:conditionalFormattings>
        <x14:conditionalFormatting xmlns:xm="http://schemas.microsoft.com/office/excel/2006/main">
          <x14:cfRule type="dataBar" id="{0ACE1568-116B-4340-9FE9-463794BF0AB0}">
            <x14:dataBar minLength="0" maxLength="100" negativeBarColorSameAsPositive="1" axisPosition="none">
              <x14:cfvo type="min"/>
              <x14:cfvo type="max"/>
            </x14:dataBar>
          </x14:cfRule>
          <xm:sqref>E39:E48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96"/>
  <sheetViews>
    <sheetView tabSelected="1" zoomScaleNormal="100" workbookViewId="0">
      <selection activeCell="A580" sqref="A580"/>
    </sheetView>
  </sheetViews>
  <sheetFormatPr baseColWidth="10" defaultColWidth="8.88671875" defaultRowHeight="14.4" x14ac:dyDescent="0.3"/>
  <cols>
    <col min="1" max="1" width="16.5546875" customWidth="1"/>
    <col min="2" max="2" width="84" customWidth="1"/>
    <col min="3" max="3" width="115.33203125" bestFit="1" customWidth="1"/>
    <col min="4" max="4" width="27" customWidth="1"/>
    <col min="5" max="5" width="32" customWidth="1"/>
    <col min="6" max="6" width="30" customWidth="1"/>
    <col min="7" max="7" width="98" customWidth="1"/>
    <col min="8" max="8" width="17" customWidth="1"/>
    <col min="9" max="9" width="20" customWidth="1"/>
    <col min="10" max="10" width="33" customWidth="1"/>
    <col min="11" max="11" width="87.21875" bestFit="1" customWidth="1"/>
    <col min="12" max="12" width="14.33203125" customWidth="1"/>
    <col min="13" max="13" width="14.6640625" customWidth="1"/>
    <col min="14" max="14" width="18" customWidth="1"/>
    <col min="15" max="15" width="19.44140625" customWidth="1"/>
    <col min="16" max="16" width="54.5546875" customWidth="1"/>
    <col min="17" max="17" width="42.33203125" bestFit="1" customWidth="1"/>
  </cols>
  <sheetData>
    <row r="1" spans="1:17" ht="30" customHeight="1" x14ac:dyDescent="0.3">
      <c r="A1" s="1" t="s">
        <v>0</v>
      </c>
      <c r="B1" s="2" t="s">
        <v>1</v>
      </c>
      <c r="C1" s="2" t="s">
        <v>2</v>
      </c>
      <c r="D1" s="2" t="s">
        <v>3</v>
      </c>
      <c r="E1" s="2" t="s">
        <v>4</v>
      </c>
      <c r="F1" s="2" t="s">
        <v>5</v>
      </c>
      <c r="G1" s="2" t="s">
        <v>6</v>
      </c>
      <c r="H1" s="1" t="s">
        <v>7</v>
      </c>
      <c r="I1" s="1" t="s">
        <v>8</v>
      </c>
      <c r="J1" s="2" t="s">
        <v>9</v>
      </c>
      <c r="K1" s="2" t="s">
        <v>10</v>
      </c>
      <c r="L1" s="3" t="s">
        <v>11</v>
      </c>
      <c r="M1" s="3" t="s">
        <v>12</v>
      </c>
      <c r="N1" s="4" t="s">
        <v>13</v>
      </c>
      <c r="O1" s="1" t="s">
        <v>14</v>
      </c>
      <c r="P1" s="2" t="s">
        <v>15</v>
      </c>
      <c r="Q1" t="s">
        <v>3323</v>
      </c>
    </row>
    <row r="2" spans="1:17" ht="24" customHeight="1" x14ac:dyDescent="0.3">
      <c r="A2" s="1" t="s">
        <v>16</v>
      </c>
      <c r="B2" s="2" t="s">
        <v>17</v>
      </c>
      <c r="C2" s="2" t="s">
        <v>18</v>
      </c>
      <c r="D2" s="2" t="s">
        <v>19</v>
      </c>
      <c r="E2" s="2" t="s">
        <v>20</v>
      </c>
      <c r="F2" s="2" t="s">
        <v>21</v>
      </c>
      <c r="G2" s="2" t="s">
        <v>22</v>
      </c>
      <c r="H2" s="1" t="s">
        <v>23</v>
      </c>
      <c r="I2" s="1" t="s">
        <v>24</v>
      </c>
      <c r="J2" s="2" t="s">
        <v>25</v>
      </c>
      <c r="K2" s="2" t="s">
        <v>26</v>
      </c>
      <c r="L2" s="3">
        <v>4</v>
      </c>
      <c r="M2" s="3">
        <v>8</v>
      </c>
      <c r="N2" s="4">
        <f t="shared" ref="N2:N65" si="0">MAX(L2,M2)</f>
        <v>8</v>
      </c>
      <c r="O2" s="1" t="s">
        <v>27</v>
      </c>
      <c r="P2" s="2" t="s">
        <v>28</v>
      </c>
    </row>
    <row r="3" spans="1:17" ht="24" customHeight="1" x14ac:dyDescent="0.3">
      <c r="A3" s="1" t="s">
        <v>29</v>
      </c>
      <c r="B3" s="2" t="s">
        <v>30</v>
      </c>
      <c r="C3" s="2" t="s">
        <v>31</v>
      </c>
      <c r="D3" s="2" t="s">
        <v>32</v>
      </c>
      <c r="E3" s="2" t="s">
        <v>33</v>
      </c>
      <c r="F3" s="2" t="s">
        <v>21</v>
      </c>
      <c r="G3" s="2" t="s">
        <v>34</v>
      </c>
      <c r="H3" s="1" t="s">
        <v>23</v>
      </c>
      <c r="I3" s="1" t="s">
        <v>35</v>
      </c>
      <c r="J3" s="2" t="s">
        <v>32</v>
      </c>
      <c r="K3" s="2" t="s">
        <v>26</v>
      </c>
      <c r="L3" s="3">
        <v>3</v>
      </c>
      <c r="M3" s="3">
        <v>6</v>
      </c>
      <c r="N3" s="4">
        <f t="shared" si="0"/>
        <v>6</v>
      </c>
      <c r="O3" s="1" t="s">
        <v>27</v>
      </c>
      <c r="P3" s="2" t="s">
        <v>36</v>
      </c>
    </row>
    <row r="4" spans="1:17" ht="24" customHeight="1" x14ac:dyDescent="0.3">
      <c r="A4" s="1" t="s">
        <v>37</v>
      </c>
      <c r="B4" s="2" t="s">
        <v>38</v>
      </c>
      <c r="C4" s="2" t="s">
        <v>39</v>
      </c>
      <c r="D4" s="2" t="s">
        <v>40</v>
      </c>
      <c r="E4" s="2" t="s">
        <v>41</v>
      </c>
      <c r="F4" s="2" t="s">
        <v>42</v>
      </c>
      <c r="G4" s="2" t="s">
        <v>43</v>
      </c>
      <c r="H4" s="1" t="s">
        <v>23</v>
      </c>
      <c r="I4" s="1" t="s">
        <v>44</v>
      </c>
      <c r="J4" s="2" t="s">
        <v>40</v>
      </c>
      <c r="K4" s="2" t="s">
        <v>26</v>
      </c>
      <c r="L4" s="3">
        <v>2.5</v>
      </c>
      <c r="M4" s="3">
        <v>5</v>
      </c>
      <c r="N4" s="4">
        <f t="shared" si="0"/>
        <v>5</v>
      </c>
      <c r="O4" s="1" t="s">
        <v>27</v>
      </c>
      <c r="P4" s="2" t="s">
        <v>45</v>
      </c>
    </row>
    <row r="5" spans="1:17" ht="24" customHeight="1" x14ac:dyDescent="0.3">
      <c r="A5" s="1" t="s">
        <v>46</v>
      </c>
      <c r="B5" s="2" t="s">
        <v>47</v>
      </c>
      <c r="C5" s="2" t="s">
        <v>48</v>
      </c>
      <c r="D5" s="2" t="s">
        <v>49</v>
      </c>
      <c r="E5" s="2" t="s">
        <v>50</v>
      </c>
      <c r="F5" s="2" t="s">
        <v>51</v>
      </c>
      <c r="G5" s="2" t="s">
        <v>52</v>
      </c>
      <c r="H5" s="1" t="s">
        <v>23</v>
      </c>
      <c r="I5" s="1" t="s">
        <v>53</v>
      </c>
      <c r="J5" s="2" t="s">
        <v>54</v>
      </c>
      <c r="K5" s="2" t="s">
        <v>55</v>
      </c>
      <c r="L5" s="3">
        <v>4</v>
      </c>
      <c r="M5" s="3">
        <v>7</v>
      </c>
      <c r="N5" s="4">
        <f t="shared" si="0"/>
        <v>7</v>
      </c>
      <c r="O5" s="1" t="s">
        <v>27</v>
      </c>
      <c r="P5" s="2" t="s">
        <v>56</v>
      </c>
    </row>
    <row r="6" spans="1:17" ht="24" customHeight="1" x14ac:dyDescent="0.3">
      <c r="A6" s="1" t="s">
        <v>57</v>
      </c>
      <c r="B6" s="2" t="s">
        <v>58</v>
      </c>
      <c r="C6" s="2" t="s">
        <v>59</v>
      </c>
      <c r="D6" s="2" t="s">
        <v>19</v>
      </c>
      <c r="E6" s="2" t="s">
        <v>60</v>
      </c>
      <c r="F6" s="2" t="s">
        <v>61</v>
      </c>
      <c r="G6" s="2" t="s">
        <v>62</v>
      </c>
      <c r="H6" s="1" t="s">
        <v>63</v>
      </c>
      <c r="I6" s="1" t="s">
        <v>64</v>
      </c>
      <c r="J6" s="2" t="s">
        <v>65</v>
      </c>
      <c r="K6" s="2" t="s">
        <v>66</v>
      </c>
      <c r="L6" s="3">
        <v>6</v>
      </c>
      <c r="M6" s="3">
        <v>12</v>
      </c>
      <c r="N6" s="4">
        <f t="shared" si="0"/>
        <v>12</v>
      </c>
      <c r="O6" s="1" t="s">
        <v>27</v>
      </c>
      <c r="P6" s="2" t="s">
        <v>67</v>
      </c>
    </row>
    <row r="7" spans="1:17" ht="24" customHeight="1" x14ac:dyDescent="0.3">
      <c r="A7" s="1" t="s">
        <v>68</v>
      </c>
      <c r="B7" s="2" t="s">
        <v>69</v>
      </c>
      <c r="C7" s="2" t="s">
        <v>59</v>
      </c>
      <c r="D7" s="2" t="s">
        <v>70</v>
      </c>
      <c r="E7" s="2" t="s">
        <v>60</v>
      </c>
      <c r="F7" s="2" t="s">
        <v>21</v>
      </c>
      <c r="G7" s="2" t="s">
        <v>71</v>
      </c>
      <c r="H7" s="1" t="s">
        <v>23</v>
      </c>
      <c r="I7" s="1" t="s">
        <v>72</v>
      </c>
      <c r="J7" s="2" t="s">
        <v>73</v>
      </c>
      <c r="K7" s="2" t="s">
        <v>74</v>
      </c>
      <c r="L7" s="3">
        <v>8</v>
      </c>
      <c r="M7" s="3">
        <v>14</v>
      </c>
      <c r="N7" s="4">
        <f t="shared" si="0"/>
        <v>14</v>
      </c>
      <c r="O7" s="1" t="s">
        <v>27</v>
      </c>
      <c r="P7" s="2" t="s">
        <v>75</v>
      </c>
    </row>
    <row r="8" spans="1:17" ht="24" customHeight="1" x14ac:dyDescent="0.3">
      <c r="A8" s="1" t="s">
        <v>76</v>
      </c>
      <c r="B8" s="2" t="s">
        <v>77</v>
      </c>
      <c r="C8" s="2" t="s">
        <v>59</v>
      </c>
      <c r="D8" s="2" t="s">
        <v>70</v>
      </c>
      <c r="E8" s="2" t="s">
        <v>60</v>
      </c>
      <c r="F8" s="2" t="s">
        <v>78</v>
      </c>
      <c r="G8" s="2" t="s">
        <v>79</v>
      </c>
      <c r="H8" s="1" t="s">
        <v>23</v>
      </c>
      <c r="I8" s="1" t="s">
        <v>72</v>
      </c>
      <c r="J8" s="2" t="s">
        <v>73</v>
      </c>
      <c r="K8" s="2" t="s">
        <v>80</v>
      </c>
      <c r="L8" s="3">
        <v>3</v>
      </c>
      <c r="M8" s="3">
        <v>6</v>
      </c>
      <c r="N8" s="4">
        <f t="shared" si="0"/>
        <v>6</v>
      </c>
      <c r="O8" s="1" t="s">
        <v>27</v>
      </c>
      <c r="P8" s="2" t="s">
        <v>81</v>
      </c>
    </row>
    <row r="9" spans="1:17" ht="24" customHeight="1" x14ac:dyDescent="0.3">
      <c r="A9" s="1" t="s">
        <v>82</v>
      </c>
      <c r="B9" s="2" t="s">
        <v>83</v>
      </c>
      <c r="C9" s="2" t="s">
        <v>59</v>
      </c>
      <c r="D9" s="2" t="s">
        <v>19</v>
      </c>
      <c r="E9" s="2" t="s">
        <v>60</v>
      </c>
      <c r="F9" s="2" t="s">
        <v>78</v>
      </c>
      <c r="G9" s="2" t="s">
        <v>84</v>
      </c>
      <c r="H9" s="1" t="s">
        <v>63</v>
      </c>
      <c r="I9" s="1" t="s">
        <v>85</v>
      </c>
      <c r="J9" s="2" t="s">
        <v>65</v>
      </c>
      <c r="K9" s="2" t="s">
        <v>66</v>
      </c>
      <c r="L9" s="3">
        <v>3</v>
      </c>
      <c r="M9" s="3">
        <v>6</v>
      </c>
      <c r="N9" s="4">
        <f t="shared" si="0"/>
        <v>6</v>
      </c>
      <c r="O9" s="1" t="s">
        <v>27</v>
      </c>
      <c r="P9" s="2" t="s">
        <v>86</v>
      </c>
    </row>
    <row r="10" spans="1:17" ht="24" customHeight="1" x14ac:dyDescent="0.3">
      <c r="A10" s="1" t="s">
        <v>87</v>
      </c>
      <c r="B10" s="2" t="s">
        <v>88</v>
      </c>
      <c r="C10" s="2" t="s">
        <v>59</v>
      </c>
      <c r="D10" s="2" t="s">
        <v>19</v>
      </c>
      <c r="E10" s="2" t="s">
        <v>60</v>
      </c>
      <c r="F10" s="2" t="s">
        <v>51</v>
      </c>
      <c r="G10" s="2" t="s">
        <v>89</v>
      </c>
      <c r="H10" s="1" t="s">
        <v>63</v>
      </c>
      <c r="I10" s="1" t="s">
        <v>85</v>
      </c>
      <c r="J10" s="2" t="s">
        <v>65</v>
      </c>
      <c r="K10" s="2" t="s">
        <v>66</v>
      </c>
      <c r="L10" s="3">
        <v>5</v>
      </c>
      <c r="M10" s="3">
        <v>9</v>
      </c>
      <c r="N10" s="4">
        <f t="shared" si="0"/>
        <v>9</v>
      </c>
      <c r="O10" s="1" t="s">
        <v>27</v>
      </c>
      <c r="P10" s="2" t="s">
        <v>90</v>
      </c>
    </row>
    <row r="11" spans="1:17" ht="24" customHeight="1" x14ac:dyDescent="0.3">
      <c r="A11" s="1" t="s">
        <v>91</v>
      </c>
      <c r="B11" s="2" t="s">
        <v>92</v>
      </c>
      <c r="C11" s="2" t="s">
        <v>93</v>
      </c>
      <c r="D11" s="2" t="s">
        <v>40</v>
      </c>
      <c r="E11" s="2" t="s">
        <v>94</v>
      </c>
      <c r="F11" s="2" t="s">
        <v>51</v>
      </c>
      <c r="G11" s="2" t="s">
        <v>95</v>
      </c>
      <c r="H11" s="1" t="s">
        <v>23</v>
      </c>
      <c r="I11" s="1" t="s">
        <v>96</v>
      </c>
      <c r="J11" s="2" t="s">
        <v>97</v>
      </c>
      <c r="K11" s="2" t="s">
        <v>98</v>
      </c>
      <c r="L11" s="3">
        <v>6</v>
      </c>
      <c r="M11" s="3">
        <v>12</v>
      </c>
      <c r="N11" s="4">
        <f t="shared" si="0"/>
        <v>12</v>
      </c>
      <c r="O11" s="1" t="s">
        <v>27</v>
      </c>
      <c r="P11" s="2" t="s">
        <v>99</v>
      </c>
    </row>
    <row r="12" spans="1:17" ht="24" customHeight="1" x14ac:dyDescent="0.3">
      <c r="A12" s="1" t="s">
        <v>100</v>
      </c>
      <c r="B12" s="2" t="s">
        <v>101</v>
      </c>
      <c r="C12" s="2" t="s">
        <v>102</v>
      </c>
      <c r="D12" s="2" t="s">
        <v>103</v>
      </c>
      <c r="E12" s="2" t="s">
        <v>104</v>
      </c>
      <c r="F12" s="2" t="s">
        <v>51</v>
      </c>
      <c r="G12" s="2" t="s">
        <v>105</v>
      </c>
      <c r="H12" s="1" t="s">
        <v>23</v>
      </c>
      <c r="I12" s="1">
        <v>1901</v>
      </c>
      <c r="J12" s="2" t="s">
        <v>106</v>
      </c>
      <c r="K12" s="2" t="s">
        <v>107</v>
      </c>
      <c r="L12" s="3">
        <v>6</v>
      </c>
      <c r="M12" s="3">
        <v>12</v>
      </c>
      <c r="N12" s="4">
        <f t="shared" si="0"/>
        <v>12</v>
      </c>
      <c r="O12" s="1" t="s">
        <v>27</v>
      </c>
      <c r="P12" s="2" t="s">
        <v>108</v>
      </c>
    </row>
    <row r="13" spans="1:17" ht="24" customHeight="1" x14ac:dyDescent="0.3">
      <c r="A13" s="1" t="s">
        <v>109</v>
      </c>
      <c r="B13" s="2" t="s">
        <v>110</v>
      </c>
      <c r="C13" s="2" t="s">
        <v>111</v>
      </c>
      <c r="D13" s="2" t="s">
        <v>112</v>
      </c>
      <c r="E13" s="2" t="s">
        <v>104</v>
      </c>
      <c r="F13" s="2" t="s">
        <v>21</v>
      </c>
      <c r="G13" s="2" t="s">
        <v>113</v>
      </c>
      <c r="H13" s="1" t="s">
        <v>23</v>
      </c>
      <c r="I13" s="1">
        <v>1903</v>
      </c>
      <c r="J13" s="2" t="s">
        <v>114</v>
      </c>
      <c r="K13" s="2" t="s">
        <v>107</v>
      </c>
      <c r="L13" s="3">
        <v>5</v>
      </c>
      <c r="M13" s="3">
        <v>10</v>
      </c>
      <c r="N13" s="4">
        <f t="shared" si="0"/>
        <v>10</v>
      </c>
      <c r="O13" s="1" t="s">
        <v>27</v>
      </c>
      <c r="P13" s="2" t="s">
        <v>115</v>
      </c>
    </row>
    <row r="14" spans="1:17" ht="24" customHeight="1" x14ac:dyDescent="0.3">
      <c r="A14" s="1" t="s">
        <v>116</v>
      </c>
      <c r="B14" s="2" t="s">
        <v>117</v>
      </c>
      <c r="C14" s="2" t="s">
        <v>118</v>
      </c>
      <c r="D14" s="2" t="s">
        <v>19</v>
      </c>
      <c r="E14" s="2" t="s">
        <v>104</v>
      </c>
      <c r="F14" s="2" t="s">
        <v>51</v>
      </c>
      <c r="G14" s="2" t="s">
        <v>119</v>
      </c>
      <c r="H14" s="1" t="s">
        <v>23</v>
      </c>
      <c r="I14" s="1">
        <v>1901</v>
      </c>
      <c r="J14" s="2" t="s">
        <v>120</v>
      </c>
      <c r="K14" s="2" t="s">
        <v>107</v>
      </c>
      <c r="L14" s="3">
        <v>6</v>
      </c>
      <c r="M14" s="3">
        <v>12</v>
      </c>
      <c r="N14" s="4">
        <f t="shared" si="0"/>
        <v>12</v>
      </c>
      <c r="O14" s="1" t="s">
        <v>27</v>
      </c>
      <c r="P14" s="2" t="s">
        <v>121</v>
      </c>
    </row>
    <row r="15" spans="1:17" ht="24" customHeight="1" x14ac:dyDescent="0.3">
      <c r="A15" s="1" t="s">
        <v>122</v>
      </c>
      <c r="B15" s="2" t="s">
        <v>123</v>
      </c>
      <c r="C15" s="2" t="s">
        <v>124</v>
      </c>
      <c r="D15" s="2" t="s">
        <v>103</v>
      </c>
      <c r="E15" s="2" t="s">
        <v>125</v>
      </c>
      <c r="F15" s="2" t="s">
        <v>21</v>
      </c>
      <c r="G15" s="2" t="s">
        <v>126</v>
      </c>
      <c r="H15" s="1" t="s">
        <v>23</v>
      </c>
      <c r="I15" s="1">
        <v>1900</v>
      </c>
      <c r="J15" s="2" t="s">
        <v>127</v>
      </c>
      <c r="K15" s="2" t="s">
        <v>128</v>
      </c>
      <c r="L15" s="3">
        <v>5</v>
      </c>
      <c r="M15" s="3">
        <v>10</v>
      </c>
      <c r="N15" s="4">
        <f t="shared" si="0"/>
        <v>10</v>
      </c>
      <c r="O15" s="1" t="s">
        <v>27</v>
      </c>
      <c r="P15" s="2" t="s">
        <v>129</v>
      </c>
    </row>
    <row r="16" spans="1:17" ht="24" customHeight="1" x14ac:dyDescent="0.3">
      <c r="A16" s="1" t="s">
        <v>130</v>
      </c>
      <c r="B16" s="2" t="s">
        <v>131</v>
      </c>
      <c r="C16" s="2" t="s">
        <v>132</v>
      </c>
      <c r="D16" s="2" t="s">
        <v>19</v>
      </c>
      <c r="E16" s="2" t="s">
        <v>133</v>
      </c>
      <c r="F16" s="2" t="s">
        <v>51</v>
      </c>
      <c r="G16" s="2" t="s">
        <v>134</v>
      </c>
      <c r="H16" s="1" t="s">
        <v>23</v>
      </c>
      <c r="I16" s="1">
        <v>1902</v>
      </c>
      <c r="J16" s="2" t="s">
        <v>135</v>
      </c>
      <c r="K16" s="2" t="s">
        <v>107</v>
      </c>
      <c r="L16" s="3">
        <v>6</v>
      </c>
      <c r="M16" s="3">
        <v>12</v>
      </c>
      <c r="N16" s="4">
        <f t="shared" si="0"/>
        <v>12</v>
      </c>
      <c r="O16" s="1" t="s">
        <v>27</v>
      </c>
      <c r="P16" s="2" t="s">
        <v>136</v>
      </c>
    </row>
    <row r="17" spans="1:16" ht="24" customHeight="1" x14ac:dyDescent="0.3">
      <c r="A17" s="1" t="s">
        <v>137</v>
      </c>
      <c r="B17" s="2" t="s">
        <v>138</v>
      </c>
      <c r="C17" s="2" t="s">
        <v>139</v>
      </c>
      <c r="D17" s="2" t="s">
        <v>103</v>
      </c>
      <c r="E17" s="2" t="s">
        <v>125</v>
      </c>
      <c r="F17" s="2" t="s">
        <v>21</v>
      </c>
      <c r="G17" s="2" t="s">
        <v>140</v>
      </c>
      <c r="H17" s="1" t="s">
        <v>23</v>
      </c>
      <c r="I17" s="1">
        <v>1899</v>
      </c>
      <c r="J17" s="2" t="s">
        <v>141</v>
      </c>
      <c r="K17" s="2" t="s">
        <v>142</v>
      </c>
      <c r="L17" s="3">
        <v>5</v>
      </c>
      <c r="M17" s="3">
        <v>10</v>
      </c>
      <c r="N17" s="4">
        <f t="shared" si="0"/>
        <v>10</v>
      </c>
      <c r="O17" s="1" t="s">
        <v>27</v>
      </c>
      <c r="P17" s="2" t="s">
        <v>143</v>
      </c>
    </row>
    <row r="18" spans="1:16" ht="24" customHeight="1" x14ac:dyDescent="0.3">
      <c r="A18" s="1" t="s">
        <v>144</v>
      </c>
      <c r="B18" s="2" t="s">
        <v>145</v>
      </c>
      <c r="C18" s="2" t="s">
        <v>146</v>
      </c>
      <c r="D18" s="2" t="s">
        <v>103</v>
      </c>
      <c r="E18" s="2" t="s">
        <v>147</v>
      </c>
      <c r="F18" s="2" t="s">
        <v>51</v>
      </c>
      <c r="G18" s="2" t="s">
        <v>148</v>
      </c>
      <c r="H18" s="1" t="s">
        <v>23</v>
      </c>
      <c r="I18" s="1">
        <v>1901</v>
      </c>
      <c r="J18" s="2" t="s">
        <v>149</v>
      </c>
      <c r="K18" s="2" t="s">
        <v>142</v>
      </c>
      <c r="L18" s="3">
        <v>8</v>
      </c>
      <c r="M18" s="3">
        <v>15</v>
      </c>
      <c r="N18" s="4">
        <f t="shared" si="0"/>
        <v>15</v>
      </c>
      <c r="O18" s="1" t="s">
        <v>27</v>
      </c>
      <c r="P18" s="2" t="s">
        <v>150</v>
      </c>
    </row>
    <row r="19" spans="1:16" ht="24" customHeight="1" x14ac:dyDescent="0.3">
      <c r="A19" s="1" t="s">
        <v>151</v>
      </c>
      <c r="B19" s="2" t="s">
        <v>152</v>
      </c>
      <c r="C19" s="2" t="s">
        <v>153</v>
      </c>
      <c r="D19" s="2" t="s">
        <v>19</v>
      </c>
      <c r="E19" s="2" t="s">
        <v>125</v>
      </c>
      <c r="F19" s="2" t="s">
        <v>21</v>
      </c>
      <c r="G19" s="2" t="s">
        <v>154</v>
      </c>
      <c r="H19" s="1" t="s">
        <v>23</v>
      </c>
      <c r="I19" s="1">
        <v>1898</v>
      </c>
      <c r="J19" s="2" t="s">
        <v>155</v>
      </c>
      <c r="K19" s="2" t="s">
        <v>156</v>
      </c>
      <c r="L19" s="3">
        <v>5</v>
      </c>
      <c r="M19" s="3">
        <v>10</v>
      </c>
      <c r="N19" s="4">
        <f t="shared" si="0"/>
        <v>10</v>
      </c>
      <c r="O19" s="1" t="s">
        <v>27</v>
      </c>
      <c r="P19" s="2" t="s">
        <v>157</v>
      </c>
    </row>
    <row r="20" spans="1:16" ht="24" customHeight="1" x14ac:dyDescent="0.3">
      <c r="A20" s="1" t="s">
        <v>158</v>
      </c>
      <c r="B20" s="2" t="s">
        <v>159</v>
      </c>
      <c r="C20" s="2" t="s">
        <v>160</v>
      </c>
      <c r="D20" s="2" t="s">
        <v>161</v>
      </c>
      <c r="E20" s="2" t="s">
        <v>162</v>
      </c>
      <c r="F20" s="2" t="s">
        <v>51</v>
      </c>
      <c r="G20" s="2" t="s">
        <v>163</v>
      </c>
      <c r="H20" s="1" t="s">
        <v>23</v>
      </c>
      <c r="I20" s="1">
        <v>1943</v>
      </c>
      <c r="J20" s="2" t="s">
        <v>164</v>
      </c>
      <c r="K20" s="2" t="s">
        <v>165</v>
      </c>
      <c r="L20" s="3">
        <v>4</v>
      </c>
      <c r="M20" s="3">
        <v>8</v>
      </c>
      <c r="N20" s="4">
        <f t="shared" si="0"/>
        <v>8</v>
      </c>
      <c r="O20" s="1" t="s">
        <v>27</v>
      </c>
      <c r="P20" s="2" t="s">
        <v>166</v>
      </c>
    </row>
    <row r="21" spans="1:16" ht="24" customHeight="1" x14ac:dyDescent="0.3">
      <c r="A21" s="1" t="s">
        <v>167</v>
      </c>
      <c r="B21" s="2" t="s">
        <v>168</v>
      </c>
      <c r="C21" s="2" t="s">
        <v>169</v>
      </c>
      <c r="D21" s="2" t="s">
        <v>170</v>
      </c>
      <c r="E21" s="2" t="s">
        <v>171</v>
      </c>
      <c r="F21" s="2" t="s">
        <v>21</v>
      </c>
      <c r="G21" s="2" t="s">
        <v>172</v>
      </c>
      <c r="H21" s="1" t="s">
        <v>23</v>
      </c>
      <c r="I21" s="1">
        <v>1905</v>
      </c>
      <c r="J21" s="2" t="s">
        <v>173</v>
      </c>
      <c r="K21" s="2" t="s">
        <v>174</v>
      </c>
      <c r="L21" s="3">
        <v>3</v>
      </c>
      <c r="M21" s="3">
        <v>7</v>
      </c>
      <c r="N21" s="4">
        <f t="shared" si="0"/>
        <v>7</v>
      </c>
      <c r="O21" s="1" t="s">
        <v>27</v>
      </c>
      <c r="P21" s="2" t="s">
        <v>175</v>
      </c>
    </row>
    <row r="22" spans="1:16" ht="24" customHeight="1" x14ac:dyDescent="0.3">
      <c r="A22" s="1" t="s">
        <v>176</v>
      </c>
      <c r="B22" s="2" t="s">
        <v>177</v>
      </c>
      <c r="C22" s="2" t="s">
        <v>139</v>
      </c>
      <c r="D22" s="2" t="s">
        <v>103</v>
      </c>
      <c r="E22" s="2" t="s">
        <v>178</v>
      </c>
      <c r="F22" s="2" t="s">
        <v>21</v>
      </c>
      <c r="G22" s="2" t="s">
        <v>179</v>
      </c>
      <c r="H22" s="1" t="s">
        <v>23</v>
      </c>
      <c r="I22" s="1">
        <v>1903</v>
      </c>
      <c r="J22" s="2" t="s">
        <v>180</v>
      </c>
      <c r="K22" s="2" t="s">
        <v>181</v>
      </c>
      <c r="L22" s="3">
        <v>6</v>
      </c>
      <c r="M22" s="3">
        <v>12</v>
      </c>
      <c r="N22" s="4">
        <f t="shared" si="0"/>
        <v>12</v>
      </c>
      <c r="O22" s="1" t="s">
        <v>27</v>
      </c>
      <c r="P22" s="2" t="s">
        <v>182</v>
      </c>
    </row>
    <row r="23" spans="1:16" ht="24" customHeight="1" x14ac:dyDescent="0.3">
      <c r="A23" s="1" t="s">
        <v>183</v>
      </c>
      <c r="B23" s="2" t="s">
        <v>184</v>
      </c>
      <c r="C23" s="2" t="s">
        <v>185</v>
      </c>
      <c r="D23" s="2" t="s">
        <v>103</v>
      </c>
      <c r="E23" s="2" t="s">
        <v>186</v>
      </c>
      <c r="F23" s="2" t="s">
        <v>21</v>
      </c>
      <c r="G23" s="2" t="s">
        <v>187</v>
      </c>
      <c r="H23" s="1" t="s">
        <v>23</v>
      </c>
      <c r="I23" s="1">
        <v>1902</v>
      </c>
      <c r="J23" s="2" t="s">
        <v>188</v>
      </c>
      <c r="K23" s="2" t="s">
        <v>189</v>
      </c>
      <c r="L23" s="3">
        <v>6</v>
      </c>
      <c r="M23" s="3">
        <v>12</v>
      </c>
      <c r="N23" s="4">
        <f t="shared" si="0"/>
        <v>12</v>
      </c>
      <c r="O23" s="1" t="s">
        <v>27</v>
      </c>
      <c r="P23" s="2" t="s">
        <v>190</v>
      </c>
    </row>
    <row r="24" spans="1:16" ht="24" customHeight="1" x14ac:dyDescent="0.3">
      <c r="A24" s="1" t="s">
        <v>191</v>
      </c>
      <c r="B24" s="2" t="s">
        <v>192</v>
      </c>
      <c r="C24" s="2" t="s">
        <v>193</v>
      </c>
      <c r="D24" s="2" t="s">
        <v>103</v>
      </c>
      <c r="E24" s="2" t="s">
        <v>125</v>
      </c>
      <c r="F24" s="2" t="s">
        <v>21</v>
      </c>
      <c r="G24" s="2" t="s">
        <v>194</v>
      </c>
      <c r="H24" s="1" t="s">
        <v>23</v>
      </c>
      <c r="I24" s="1">
        <v>1901</v>
      </c>
      <c r="J24" s="2" t="s">
        <v>195</v>
      </c>
      <c r="K24" s="2" t="s">
        <v>142</v>
      </c>
      <c r="L24" s="3">
        <v>5</v>
      </c>
      <c r="M24" s="3">
        <v>10</v>
      </c>
      <c r="N24" s="4">
        <f t="shared" si="0"/>
        <v>10</v>
      </c>
      <c r="O24" s="1" t="s">
        <v>27</v>
      </c>
      <c r="P24" s="2" t="s">
        <v>196</v>
      </c>
    </row>
    <row r="25" spans="1:16" ht="24" customHeight="1" x14ac:dyDescent="0.3">
      <c r="A25" s="1" t="s">
        <v>197</v>
      </c>
      <c r="B25" s="2" t="s">
        <v>198</v>
      </c>
      <c r="C25" s="2" t="s">
        <v>199</v>
      </c>
      <c r="D25" s="2" t="s">
        <v>19</v>
      </c>
      <c r="E25" s="2" t="s">
        <v>200</v>
      </c>
      <c r="F25" s="2" t="s">
        <v>201</v>
      </c>
      <c r="G25" s="2" t="s">
        <v>202</v>
      </c>
      <c r="H25" s="1" t="s">
        <v>23</v>
      </c>
      <c r="I25" s="1">
        <v>1903</v>
      </c>
      <c r="J25" s="2" t="s">
        <v>203</v>
      </c>
      <c r="K25" s="2" t="s">
        <v>204</v>
      </c>
      <c r="L25" s="3">
        <v>3</v>
      </c>
      <c r="M25" s="3">
        <v>6</v>
      </c>
      <c r="N25" s="4">
        <f t="shared" si="0"/>
        <v>6</v>
      </c>
      <c r="O25" s="1" t="s">
        <v>27</v>
      </c>
      <c r="P25" s="2" t="s">
        <v>205</v>
      </c>
    </row>
    <row r="26" spans="1:16" ht="24" customHeight="1" x14ac:dyDescent="0.3">
      <c r="A26" s="1" t="s">
        <v>206</v>
      </c>
      <c r="B26" s="2" t="s">
        <v>207</v>
      </c>
      <c r="C26" s="2" t="s">
        <v>208</v>
      </c>
      <c r="D26" s="2" t="s">
        <v>209</v>
      </c>
      <c r="E26" s="2" t="s">
        <v>210</v>
      </c>
      <c r="F26" s="2" t="s">
        <v>21</v>
      </c>
      <c r="G26" s="2" t="s">
        <v>211</v>
      </c>
      <c r="H26" s="1" t="s">
        <v>23</v>
      </c>
      <c r="I26" s="1">
        <v>1911</v>
      </c>
      <c r="J26" s="2" t="s">
        <v>212</v>
      </c>
      <c r="K26" s="2" t="s">
        <v>213</v>
      </c>
      <c r="L26" s="3">
        <v>3</v>
      </c>
      <c r="M26" s="3">
        <v>6</v>
      </c>
      <c r="N26" s="4">
        <f t="shared" si="0"/>
        <v>6</v>
      </c>
      <c r="O26" s="1" t="s">
        <v>27</v>
      </c>
      <c r="P26" s="2" t="s">
        <v>214</v>
      </c>
    </row>
    <row r="27" spans="1:16" ht="24" customHeight="1" x14ac:dyDescent="0.3">
      <c r="A27" s="1" t="s">
        <v>215</v>
      </c>
      <c r="B27" s="2" t="s">
        <v>216</v>
      </c>
      <c r="C27" s="2" t="s">
        <v>217</v>
      </c>
      <c r="D27" s="2" t="s">
        <v>218</v>
      </c>
      <c r="E27" s="2" t="s">
        <v>162</v>
      </c>
      <c r="F27" s="2" t="s">
        <v>51</v>
      </c>
      <c r="G27" s="2" t="s">
        <v>219</v>
      </c>
      <c r="H27" s="1" t="s">
        <v>23</v>
      </c>
      <c r="I27" s="1">
        <v>1931</v>
      </c>
      <c r="J27" s="2" t="s">
        <v>220</v>
      </c>
      <c r="K27" s="2" t="s">
        <v>221</v>
      </c>
      <c r="L27" s="3">
        <v>12</v>
      </c>
      <c r="M27" s="3">
        <v>25</v>
      </c>
      <c r="N27" s="4">
        <f t="shared" si="0"/>
        <v>25</v>
      </c>
      <c r="O27" s="1" t="s">
        <v>27</v>
      </c>
      <c r="P27" s="2" t="s">
        <v>222</v>
      </c>
    </row>
    <row r="28" spans="1:16" ht="24" customHeight="1" x14ac:dyDescent="0.3">
      <c r="A28" s="1" t="s">
        <v>223</v>
      </c>
      <c r="B28" s="2" t="s">
        <v>224</v>
      </c>
      <c r="C28" s="2" t="s">
        <v>225</v>
      </c>
      <c r="D28" s="2" t="s">
        <v>226</v>
      </c>
      <c r="E28" s="2" t="s">
        <v>227</v>
      </c>
      <c r="F28" s="2" t="s">
        <v>228</v>
      </c>
      <c r="G28" s="2" t="s">
        <v>229</v>
      </c>
      <c r="H28" s="1" t="s">
        <v>23</v>
      </c>
      <c r="I28" s="1">
        <v>1902</v>
      </c>
      <c r="J28" s="2" t="s">
        <v>230</v>
      </c>
      <c r="K28" s="2" t="s">
        <v>231</v>
      </c>
      <c r="L28" s="3">
        <v>4</v>
      </c>
      <c r="M28" s="3">
        <v>8</v>
      </c>
      <c r="N28" s="4">
        <f t="shared" si="0"/>
        <v>8</v>
      </c>
      <c r="O28" s="1" t="s">
        <v>27</v>
      </c>
      <c r="P28" s="2" t="s">
        <v>232</v>
      </c>
    </row>
    <row r="29" spans="1:16" ht="24" customHeight="1" x14ac:dyDescent="0.3">
      <c r="A29" s="1" t="s">
        <v>233</v>
      </c>
      <c r="B29" s="2" t="s">
        <v>234</v>
      </c>
      <c r="C29" s="2" t="s">
        <v>235</v>
      </c>
      <c r="D29" s="2" t="s">
        <v>236</v>
      </c>
      <c r="E29" s="2" t="s">
        <v>237</v>
      </c>
      <c r="F29" s="2" t="s">
        <v>238</v>
      </c>
      <c r="G29" s="2" t="s">
        <v>239</v>
      </c>
      <c r="H29" s="1" t="s">
        <v>23</v>
      </c>
      <c r="I29" s="1">
        <v>1901</v>
      </c>
      <c r="J29" s="2" t="s">
        <v>240</v>
      </c>
      <c r="K29" s="2" t="s">
        <v>241</v>
      </c>
      <c r="L29" s="3">
        <v>3.5</v>
      </c>
      <c r="M29" s="3">
        <v>7</v>
      </c>
      <c r="N29" s="4">
        <f t="shared" si="0"/>
        <v>7</v>
      </c>
      <c r="O29" s="1" t="s">
        <v>27</v>
      </c>
      <c r="P29" s="2" t="s">
        <v>242</v>
      </c>
    </row>
    <row r="30" spans="1:16" ht="24" customHeight="1" x14ac:dyDescent="0.3">
      <c r="A30" s="1" t="s">
        <v>243</v>
      </c>
      <c r="B30" s="2" t="s">
        <v>244</v>
      </c>
      <c r="C30" s="2" t="s">
        <v>245</v>
      </c>
      <c r="D30" s="2" t="s">
        <v>246</v>
      </c>
      <c r="E30" s="2" t="s">
        <v>247</v>
      </c>
      <c r="F30" s="2" t="s">
        <v>21</v>
      </c>
      <c r="G30" s="2" t="s">
        <v>248</v>
      </c>
      <c r="H30" s="1" t="s">
        <v>23</v>
      </c>
      <c r="I30" s="1">
        <v>1908</v>
      </c>
      <c r="J30" s="2" t="s">
        <v>249</v>
      </c>
      <c r="K30" s="2" t="s">
        <v>250</v>
      </c>
      <c r="L30" s="3">
        <v>4</v>
      </c>
      <c r="M30" s="3">
        <v>8</v>
      </c>
      <c r="N30" s="4">
        <f t="shared" si="0"/>
        <v>8</v>
      </c>
      <c r="O30" s="1" t="s">
        <v>27</v>
      </c>
      <c r="P30" s="2" t="s">
        <v>251</v>
      </c>
    </row>
    <row r="31" spans="1:16" ht="24" customHeight="1" x14ac:dyDescent="0.3">
      <c r="A31" s="1" t="s">
        <v>252</v>
      </c>
      <c r="B31" s="2" t="s">
        <v>253</v>
      </c>
      <c r="C31" s="2" t="s">
        <v>254</v>
      </c>
      <c r="D31" s="2" t="s">
        <v>255</v>
      </c>
      <c r="E31" s="2" t="s">
        <v>247</v>
      </c>
      <c r="F31" s="2" t="s">
        <v>21</v>
      </c>
      <c r="G31" s="2" t="s">
        <v>256</v>
      </c>
      <c r="H31" s="1" t="s">
        <v>23</v>
      </c>
      <c r="I31" s="1">
        <v>1901</v>
      </c>
      <c r="J31" s="2" t="s">
        <v>257</v>
      </c>
      <c r="K31" s="2" t="s">
        <v>241</v>
      </c>
      <c r="L31" s="3">
        <v>3.5</v>
      </c>
      <c r="M31" s="3">
        <v>7</v>
      </c>
      <c r="N31" s="4">
        <f t="shared" si="0"/>
        <v>7</v>
      </c>
      <c r="O31" s="1" t="s">
        <v>27</v>
      </c>
      <c r="P31" s="2" t="s">
        <v>258</v>
      </c>
    </row>
    <row r="32" spans="1:16" ht="24" customHeight="1" x14ac:dyDescent="0.3">
      <c r="A32" s="1" t="s">
        <v>259</v>
      </c>
      <c r="B32" s="2" t="s">
        <v>260</v>
      </c>
      <c r="C32" s="2" t="s">
        <v>261</v>
      </c>
      <c r="D32" s="2" t="s">
        <v>262</v>
      </c>
      <c r="E32" s="2" t="s">
        <v>263</v>
      </c>
      <c r="F32" s="2" t="s">
        <v>51</v>
      </c>
      <c r="G32" s="2" t="s">
        <v>264</v>
      </c>
      <c r="H32" s="1" t="s">
        <v>63</v>
      </c>
      <c r="I32" s="1"/>
      <c r="J32" s="2" t="s">
        <v>265</v>
      </c>
      <c r="K32" s="2" t="s">
        <v>265</v>
      </c>
      <c r="L32" s="3">
        <v>4</v>
      </c>
      <c r="M32" s="3">
        <v>8</v>
      </c>
      <c r="N32" s="4">
        <f t="shared" si="0"/>
        <v>8</v>
      </c>
      <c r="O32" s="1" t="s">
        <v>27</v>
      </c>
      <c r="P32" s="2" t="s">
        <v>266</v>
      </c>
    </row>
    <row r="33" spans="1:17" ht="24" customHeight="1" x14ac:dyDescent="0.3">
      <c r="A33" s="1" t="s">
        <v>267</v>
      </c>
      <c r="B33" s="2" t="s">
        <v>268</v>
      </c>
      <c r="C33" s="2" t="s">
        <v>269</v>
      </c>
      <c r="D33" s="2" t="s">
        <v>270</v>
      </c>
      <c r="E33" s="2" t="s">
        <v>247</v>
      </c>
      <c r="F33" s="2" t="s">
        <v>51</v>
      </c>
      <c r="G33" s="2" t="s">
        <v>271</v>
      </c>
      <c r="H33" s="1" t="s">
        <v>23</v>
      </c>
      <c r="I33" s="1">
        <v>1941</v>
      </c>
      <c r="J33" s="2" t="s">
        <v>272</v>
      </c>
      <c r="K33" s="2" t="s">
        <v>273</v>
      </c>
      <c r="L33" s="3">
        <v>4</v>
      </c>
      <c r="M33" s="3">
        <v>8</v>
      </c>
      <c r="N33" s="4">
        <f t="shared" si="0"/>
        <v>8</v>
      </c>
      <c r="O33" s="1" t="s">
        <v>27</v>
      </c>
      <c r="P33" s="2" t="s">
        <v>274</v>
      </c>
    </row>
    <row r="34" spans="1:17" ht="24" customHeight="1" x14ac:dyDescent="0.3">
      <c r="A34" s="1" t="s">
        <v>2843</v>
      </c>
      <c r="B34" s="2" t="s">
        <v>2837</v>
      </c>
      <c r="C34" s="2" t="s">
        <v>2838</v>
      </c>
      <c r="D34" s="2" t="s">
        <v>2839</v>
      </c>
      <c r="E34" s="2" t="s">
        <v>2840</v>
      </c>
      <c r="F34" s="2" t="s">
        <v>1147</v>
      </c>
      <c r="G34" s="2" t="s">
        <v>2841</v>
      </c>
      <c r="H34" s="1" t="s">
        <v>63</v>
      </c>
      <c r="I34" s="1" t="s">
        <v>2064</v>
      </c>
      <c r="J34" s="2" t="s">
        <v>2064</v>
      </c>
      <c r="K34" s="2" t="s">
        <v>1754</v>
      </c>
      <c r="L34" s="3">
        <v>5</v>
      </c>
      <c r="M34" s="3">
        <v>10</v>
      </c>
      <c r="N34" s="4">
        <f t="shared" si="0"/>
        <v>10</v>
      </c>
      <c r="O34" s="1" t="s">
        <v>27</v>
      </c>
      <c r="P34" s="2" t="s">
        <v>2842</v>
      </c>
      <c r="Q34" t="s">
        <v>2785</v>
      </c>
    </row>
    <row r="35" spans="1:17" ht="24" customHeight="1" x14ac:dyDescent="0.3">
      <c r="A35" s="1" t="s">
        <v>275</v>
      </c>
      <c r="B35" s="2" t="s">
        <v>276</v>
      </c>
      <c r="C35" s="2" t="s">
        <v>277</v>
      </c>
      <c r="D35" s="2" t="s">
        <v>262</v>
      </c>
      <c r="E35" s="2" t="s">
        <v>278</v>
      </c>
      <c r="F35" s="2" t="s">
        <v>238</v>
      </c>
      <c r="G35" s="2" t="s">
        <v>279</v>
      </c>
      <c r="H35" s="1" t="s">
        <v>23</v>
      </c>
      <c r="I35" s="1">
        <v>1933</v>
      </c>
      <c r="J35" s="2" t="s">
        <v>280</v>
      </c>
      <c r="K35" s="2" t="s">
        <v>281</v>
      </c>
      <c r="L35" s="3">
        <v>4</v>
      </c>
      <c r="M35" s="3">
        <v>8</v>
      </c>
      <c r="N35" s="4">
        <f t="shared" si="0"/>
        <v>8</v>
      </c>
      <c r="O35" s="1" t="s">
        <v>27</v>
      </c>
      <c r="P35" s="2" t="s">
        <v>282</v>
      </c>
    </row>
    <row r="36" spans="1:17" ht="24" customHeight="1" x14ac:dyDescent="0.3">
      <c r="A36" s="1" t="s">
        <v>283</v>
      </c>
      <c r="B36" s="2" t="s">
        <v>284</v>
      </c>
      <c r="C36" s="2" t="s">
        <v>285</v>
      </c>
      <c r="D36" s="2" t="s">
        <v>286</v>
      </c>
      <c r="E36" s="2" t="s">
        <v>162</v>
      </c>
      <c r="F36" s="2" t="s">
        <v>21</v>
      </c>
      <c r="G36" s="2" t="s">
        <v>287</v>
      </c>
      <c r="H36" s="1" t="s">
        <v>23</v>
      </c>
      <c r="I36" s="1">
        <v>1909</v>
      </c>
      <c r="J36" s="2" t="s">
        <v>288</v>
      </c>
      <c r="K36" s="2" t="s">
        <v>289</v>
      </c>
      <c r="L36" s="3">
        <v>4</v>
      </c>
      <c r="M36" s="3">
        <v>8</v>
      </c>
      <c r="N36" s="4">
        <f t="shared" si="0"/>
        <v>8</v>
      </c>
      <c r="O36" s="1" t="s">
        <v>27</v>
      </c>
      <c r="P36" s="2" t="s">
        <v>290</v>
      </c>
    </row>
    <row r="37" spans="1:17" ht="24" customHeight="1" x14ac:dyDescent="0.3">
      <c r="A37" s="1" t="s">
        <v>291</v>
      </c>
      <c r="B37" s="2" t="s">
        <v>292</v>
      </c>
      <c r="C37" s="2" t="s">
        <v>293</v>
      </c>
      <c r="D37" s="2" t="s">
        <v>294</v>
      </c>
      <c r="E37" s="2" t="s">
        <v>247</v>
      </c>
      <c r="F37" s="2" t="s">
        <v>238</v>
      </c>
      <c r="G37" s="2" t="s">
        <v>295</v>
      </c>
      <c r="H37" s="1" t="s">
        <v>23</v>
      </c>
      <c r="I37" s="1">
        <v>1955</v>
      </c>
      <c r="J37" s="2" t="s">
        <v>296</v>
      </c>
      <c r="K37" s="2" t="s">
        <v>297</v>
      </c>
      <c r="L37" s="3">
        <v>3</v>
      </c>
      <c r="M37" s="3">
        <v>6</v>
      </c>
      <c r="N37" s="4">
        <f t="shared" si="0"/>
        <v>6</v>
      </c>
      <c r="O37" s="1" t="s">
        <v>27</v>
      </c>
      <c r="P37" s="2" t="s">
        <v>298</v>
      </c>
    </row>
    <row r="38" spans="1:17" ht="24" customHeight="1" x14ac:dyDescent="0.3">
      <c r="A38" s="1" t="s">
        <v>299</v>
      </c>
      <c r="B38" s="2" t="s">
        <v>300</v>
      </c>
      <c r="C38" s="2" t="s">
        <v>301</v>
      </c>
      <c r="D38" s="2" t="s">
        <v>103</v>
      </c>
      <c r="E38" s="2" t="s">
        <v>247</v>
      </c>
      <c r="F38" s="2" t="s">
        <v>238</v>
      </c>
      <c r="G38" s="2" t="s">
        <v>302</v>
      </c>
      <c r="H38" s="1" t="s">
        <v>23</v>
      </c>
      <c r="I38" s="1" t="s">
        <v>265</v>
      </c>
      <c r="J38" s="2" t="s">
        <v>303</v>
      </c>
      <c r="K38" s="2" t="s">
        <v>304</v>
      </c>
      <c r="L38" s="3">
        <v>3</v>
      </c>
      <c r="M38" s="3">
        <v>6</v>
      </c>
      <c r="N38" s="4">
        <f t="shared" si="0"/>
        <v>6</v>
      </c>
      <c r="O38" s="1" t="s">
        <v>27</v>
      </c>
      <c r="P38" s="2" t="s">
        <v>305</v>
      </c>
    </row>
    <row r="39" spans="1:17" ht="24" customHeight="1" x14ac:dyDescent="0.3">
      <c r="A39" s="1" t="s">
        <v>306</v>
      </c>
      <c r="B39" s="2" t="s">
        <v>307</v>
      </c>
      <c r="C39" s="2" t="s">
        <v>308</v>
      </c>
      <c r="D39" s="2" t="s">
        <v>309</v>
      </c>
      <c r="E39" s="2" t="s">
        <v>247</v>
      </c>
      <c r="F39" s="2" t="s">
        <v>238</v>
      </c>
      <c r="G39" s="2" t="s">
        <v>310</v>
      </c>
      <c r="H39" s="1" t="s">
        <v>23</v>
      </c>
      <c r="I39" s="1">
        <v>1936</v>
      </c>
      <c r="J39" s="2" t="s">
        <v>311</v>
      </c>
      <c r="K39" s="2" t="s">
        <v>312</v>
      </c>
      <c r="L39" s="3">
        <v>4</v>
      </c>
      <c r="M39" s="3">
        <v>8</v>
      </c>
      <c r="N39" s="4">
        <f t="shared" si="0"/>
        <v>8</v>
      </c>
      <c r="O39" s="1" t="s">
        <v>27</v>
      </c>
      <c r="P39" s="2" t="s">
        <v>313</v>
      </c>
    </row>
    <row r="40" spans="1:17" ht="24" customHeight="1" x14ac:dyDescent="0.3">
      <c r="A40" s="1" t="s">
        <v>314</v>
      </c>
      <c r="B40" s="2" t="s">
        <v>315</v>
      </c>
      <c r="C40" s="2" t="s">
        <v>316</v>
      </c>
      <c r="D40" s="2" t="s">
        <v>317</v>
      </c>
      <c r="E40" s="2" t="s">
        <v>318</v>
      </c>
      <c r="F40" s="2" t="s">
        <v>238</v>
      </c>
      <c r="G40" s="2" t="s">
        <v>319</v>
      </c>
      <c r="H40" s="1" t="s">
        <v>23</v>
      </c>
      <c r="I40" s="1">
        <v>1940</v>
      </c>
      <c r="J40" s="2" t="s">
        <v>320</v>
      </c>
      <c r="K40" s="2" t="s">
        <v>321</v>
      </c>
      <c r="L40" s="3">
        <v>3</v>
      </c>
      <c r="M40" s="3">
        <v>6</v>
      </c>
      <c r="N40" s="4">
        <f t="shared" si="0"/>
        <v>6</v>
      </c>
      <c r="O40" s="1" t="s">
        <v>27</v>
      </c>
      <c r="P40" s="2" t="s">
        <v>322</v>
      </c>
    </row>
    <row r="41" spans="1:17" ht="24" customHeight="1" x14ac:dyDescent="0.3">
      <c r="A41" s="1" t="s">
        <v>323</v>
      </c>
      <c r="B41" s="2" t="s">
        <v>324</v>
      </c>
      <c r="C41" s="2" t="s">
        <v>301</v>
      </c>
      <c r="D41" s="2" t="s">
        <v>325</v>
      </c>
      <c r="E41" s="2" t="s">
        <v>247</v>
      </c>
      <c r="F41" s="2" t="s">
        <v>21</v>
      </c>
      <c r="G41" s="2" t="s">
        <v>326</v>
      </c>
      <c r="H41" s="1" t="s">
        <v>23</v>
      </c>
      <c r="I41" s="1" t="s">
        <v>265</v>
      </c>
      <c r="J41" s="2" t="s">
        <v>327</v>
      </c>
      <c r="K41" s="2" t="s">
        <v>328</v>
      </c>
      <c r="L41" s="3">
        <v>3</v>
      </c>
      <c r="M41" s="3">
        <v>6</v>
      </c>
      <c r="N41" s="4">
        <f t="shared" si="0"/>
        <v>6</v>
      </c>
      <c r="O41" s="1" t="s">
        <v>27</v>
      </c>
      <c r="P41" s="2" t="s">
        <v>329</v>
      </c>
    </row>
    <row r="42" spans="1:17" ht="24" customHeight="1" x14ac:dyDescent="0.3">
      <c r="A42" s="1" t="s">
        <v>330</v>
      </c>
      <c r="B42" s="2" t="s">
        <v>331</v>
      </c>
      <c r="C42" s="2" t="s">
        <v>332</v>
      </c>
      <c r="D42" s="2" t="s">
        <v>325</v>
      </c>
      <c r="E42" s="2" t="s">
        <v>333</v>
      </c>
      <c r="F42" s="2" t="s">
        <v>238</v>
      </c>
      <c r="G42" s="2" t="s">
        <v>334</v>
      </c>
      <c r="H42" s="1" t="s">
        <v>23</v>
      </c>
      <c r="I42" s="1">
        <v>1904</v>
      </c>
      <c r="J42" s="2" t="s">
        <v>335</v>
      </c>
      <c r="K42" s="2" t="s">
        <v>336</v>
      </c>
      <c r="L42" s="3">
        <v>4</v>
      </c>
      <c r="M42" s="3">
        <v>8</v>
      </c>
      <c r="N42" s="4">
        <f t="shared" si="0"/>
        <v>8</v>
      </c>
      <c r="O42" s="1" t="s">
        <v>27</v>
      </c>
      <c r="P42" s="2" t="s">
        <v>337</v>
      </c>
    </row>
    <row r="43" spans="1:17" ht="24" customHeight="1" x14ac:dyDescent="0.3">
      <c r="A43" s="1" t="s">
        <v>338</v>
      </c>
      <c r="B43" s="2" t="s">
        <v>339</v>
      </c>
      <c r="C43" s="2" t="s">
        <v>340</v>
      </c>
      <c r="D43" s="2" t="s">
        <v>286</v>
      </c>
      <c r="E43" s="2" t="s">
        <v>247</v>
      </c>
      <c r="F43" s="2" t="s">
        <v>341</v>
      </c>
      <c r="G43" s="2" t="s">
        <v>342</v>
      </c>
      <c r="H43" s="1" t="s">
        <v>63</v>
      </c>
      <c r="I43" s="1"/>
      <c r="J43" s="2" t="s">
        <v>265</v>
      </c>
      <c r="K43" s="2" t="s">
        <v>343</v>
      </c>
      <c r="L43" s="3">
        <v>2</v>
      </c>
      <c r="M43" s="3">
        <v>5</v>
      </c>
      <c r="N43" s="4">
        <f t="shared" si="0"/>
        <v>5</v>
      </c>
      <c r="O43" s="1" t="s">
        <v>27</v>
      </c>
      <c r="P43" s="2" t="s">
        <v>344</v>
      </c>
    </row>
    <row r="44" spans="1:17" ht="24" customHeight="1" x14ac:dyDescent="0.3">
      <c r="A44" s="1" t="s">
        <v>345</v>
      </c>
      <c r="B44" s="2" t="s">
        <v>346</v>
      </c>
      <c r="C44" s="2" t="s">
        <v>301</v>
      </c>
      <c r="D44" s="2" t="s">
        <v>103</v>
      </c>
      <c r="E44" s="2" t="s">
        <v>247</v>
      </c>
      <c r="F44" s="2" t="s">
        <v>238</v>
      </c>
      <c r="G44" s="2" t="s">
        <v>347</v>
      </c>
      <c r="H44" s="1" t="s">
        <v>23</v>
      </c>
      <c r="I44" s="1" t="s">
        <v>265</v>
      </c>
      <c r="J44" s="2" t="s">
        <v>348</v>
      </c>
      <c r="K44" s="2" t="s">
        <v>349</v>
      </c>
      <c r="L44" s="3">
        <v>3</v>
      </c>
      <c r="M44" s="3">
        <v>6</v>
      </c>
      <c r="N44" s="4">
        <f t="shared" si="0"/>
        <v>6</v>
      </c>
      <c r="O44" s="1" t="s">
        <v>27</v>
      </c>
      <c r="P44" s="2" t="s">
        <v>350</v>
      </c>
    </row>
    <row r="45" spans="1:17" ht="24" customHeight="1" x14ac:dyDescent="0.3">
      <c r="A45" s="1" t="s">
        <v>351</v>
      </c>
      <c r="B45" s="2" t="s">
        <v>352</v>
      </c>
      <c r="C45" s="2" t="s">
        <v>353</v>
      </c>
      <c r="D45" s="2" t="s">
        <v>246</v>
      </c>
      <c r="E45" s="2" t="s">
        <v>247</v>
      </c>
      <c r="F45" s="2" t="s">
        <v>341</v>
      </c>
      <c r="G45" s="2" t="s">
        <v>354</v>
      </c>
      <c r="H45" s="1" t="s">
        <v>63</v>
      </c>
      <c r="I45" s="1"/>
      <c r="J45" s="2" t="s">
        <v>265</v>
      </c>
      <c r="K45" s="2" t="s">
        <v>343</v>
      </c>
      <c r="L45" s="3">
        <v>2</v>
      </c>
      <c r="M45" s="3">
        <v>5</v>
      </c>
      <c r="N45" s="4">
        <f t="shared" si="0"/>
        <v>5</v>
      </c>
      <c r="O45" s="1" t="s">
        <v>27</v>
      </c>
      <c r="P45" s="2" t="s">
        <v>355</v>
      </c>
    </row>
    <row r="46" spans="1:17" ht="24" customHeight="1" x14ac:dyDescent="0.3">
      <c r="A46" s="1" t="s">
        <v>356</v>
      </c>
      <c r="B46" s="2" t="s">
        <v>357</v>
      </c>
      <c r="C46" s="2" t="s">
        <v>358</v>
      </c>
      <c r="D46" s="2" t="s">
        <v>19</v>
      </c>
      <c r="E46" s="2" t="s">
        <v>333</v>
      </c>
      <c r="F46" s="2" t="s">
        <v>238</v>
      </c>
      <c r="G46" s="2" t="s">
        <v>359</v>
      </c>
      <c r="H46" s="1" t="s">
        <v>23</v>
      </c>
      <c r="I46" s="1">
        <v>1900</v>
      </c>
      <c r="J46" s="2" t="s">
        <v>360</v>
      </c>
      <c r="K46" s="2" t="s">
        <v>361</v>
      </c>
      <c r="L46" s="3">
        <v>4</v>
      </c>
      <c r="M46" s="3">
        <v>8</v>
      </c>
      <c r="N46" s="4">
        <f t="shared" si="0"/>
        <v>8</v>
      </c>
      <c r="O46" s="1" t="s">
        <v>27</v>
      </c>
      <c r="P46" s="2" t="s">
        <v>362</v>
      </c>
    </row>
    <row r="47" spans="1:17" ht="24" customHeight="1" x14ac:dyDescent="0.3">
      <c r="A47" s="1" t="s">
        <v>363</v>
      </c>
      <c r="B47" s="2" t="s">
        <v>364</v>
      </c>
      <c r="C47" s="2" t="s">
        <v>365</v>
      </c>
      <c r="D47" s="2" t="s">
        <v>366</v>
      </c>
      <c r="E47" s="2" t="s">
        <v>333</v>
      </c>
      <c r="F47" s="2" t="s">
        <v>238</v>
      </c>
      <c r="G47" s="2" t="s">
        <v>367</v>
      </c>
      <c r="H47" s="1" t="s">
        <v>23</v>
      </c>
      <c r="I47" s="1">
        <v>1903</v>
      </c>
      <c r="J47" s="2" t="s">
        <v>368</v>
      </c>
      <c r="K47" s="2" t="s">
        <v>369</v>
      </c>
      <c r="L47" s="3">
        <v>4</v>
      </c>
      <c r="M47" s="3">
        <v>8</v>
      </c>
      <c r="N47" s="4">
        <f t="shared" si="0"/>
        <v>8</v>
      </c>
      <c r="O47" s="1" t="s">
        <v>27</v>
      </c>
      <c r="P47" s="2" t="s">
        <v>370</v>
      </c>
    </row>
    <row r="48" spans="1:17" ht="24" customHeight="1" x14ac:dyDescent="0.3">
      <c r="A48" s="1" t="s">
        <v>371</v>
      </c>
      <c r="B48" s="2" t="s">
        <v>372</v>
      </c>
      <c r="C48" s="2" t="s">
        <v>373</v>
      </c>
      <c r="D48" s="2" t="s">
        <v>103</v>
      </c>
      <c r="E48" s="2" t="s">
        <v>247</v>
      </c>
      <c r="F48" s="2" t="s">
        <v>238</v>
      </c>
      <c r="G48" s="2" t="s">
        <v>374</v>
      </c>
      <c r="H48" s="1" t="s">
        <v>23</v>
      </c>
      <c r="I48" s="1">
        <v>1939</v>
      </c>
      <c r="J48" s="2" t="s">
        <v>375</v>
      </c>
      <c r="K48" s="2" t="s">
        <v>376</v>
      </c>
      <c r="L48" s="3">
        <v>2.5</v>
      </c>
      <c r="M48" s="3">
        <v>5.5</v>
      </c>
      <c r="N48" s="4">
        <f t="shared" si="0"/>
        <v>5.5</v>
      </c>
      <c r="O48" s="1" t="s">
        <v>27</v>
      </c>
      <c r="P48" s="2" t="s">
        <v>377</v>
      </c>
    </row>
    <row r="49" spans="1:16" ht="24" customHeight="1" x14ac:dyDescent="0.3">
      <c r="A49" s="1" t="s">
        <v>378</v>
      </c>
      <c r="B49" s="2" t="s">
        <v>379</v>
      </c>
      <c r="C49" s="2" t="s">
        <v>139</v>
      </c>
      <c r="D49" s="2" t="s">
        <v>103</v>
      </c>
      <c r="E49" s="2" t="s">
        <v>380</v>
      </c>
      <c r="F49" s="2" t="s">
        <v>238</v>
      </c>
      <c r="G49" s="2" t="s">
        <v>381</v>
      </c>
      <c r="H49" s="1" t="s">
        <v>23</v>
      </c>
      <c r="I49" s="1">
        <v>1899</v>
      </c>
      <c r="J49" s="2" t="s">
        <v>382</v>
      </c>
      <c r="K49" s="2" t="s">
        <v>383</v>
      </c>
      <c r="L49" s="3">
        <v>3</v>
      </c>
      <c r="M49" s="3">
        <v>6.5</v>
      </c>
      <c r="N49" s="4">
        <f t="shared" si="0"/>
        <v>6.5</v>
      </c>
      <c r="O49" s="1" t="s">
        <v>27</v>
      </c>
      <c r="P49" s="2" t="s">
        <v>384</v>
      </c>
    </row>
    <row r="50" spans="1:16" ht="24" customHeight="1" x14ac:dyDescent="0.3">
      <c r="A50" s="1" t="s">
        <v>385</v>
      </c>
      <c r="B50" s="2" t="s">
        <v>386</v>
      </c>
      <c r="C50" s="2" t="s">
        <v>387</v>
      </c>
      <c r="D50" s="2" t="s">
        <v>19</v>
      </c>
      <c r="E50" s="2" t="s">
        <v>247</v>
      </c>
      <c r="F50" s="2" t="s">
        <v>238</v>
      </c>
      <c r="G50" s="2" t="s">
        <v>388</v>
      </c>
      <c r="H50" s="1" t="s">
        <v>23</v>
      </c>
      <c r="I50" s="1">
        <v>1934</v>
      </c>
      <c r="J50" s="2" t="s">
        <v>389</v>
      </c>
      <c r="K50" s="2" t="s">
        <v>390</v>
      </c>
      <c r="L50" s="3">
        <v>2.5</v>
      </c>
      <c r="M50" s="3">
        <v>5.5</v>
      </c>
      <c r="N50" s="4">
        <f t="shared" si="0"/>
        <v>5.5</v>
      </c>
      <c r="O50" s="1" t="s">
        <v>27</v>
      </c>
      <c r="P50" s="2" t="s">
        <v>391</v>
      </c>
    </row>
    <row r="51" spans="1:16" ht="24" customHeight="1" x14ac:dyDescent="0.3">
      <c r="A51" s="1" t="s">
        <v>392</v>
      </c>
      <c r="B51" s="2" t="s">
        <v>393</v>
      </c>
      <c r="C51" s="2" t="s">
        <v>394</v>
      </c>
      <c r="D51" s="2" t="s">
        <v>395</v>
      </c>
      <c r="E51" s="2" t="s">
        <v>396</v>
      </c>
      <c r="F51" s="2" t="s">
        <v>21</v>
      </c>
      <c r="G51" s="2" t="s">
        <v>397</v>
      </c>
      <c r="H51" s="1" t="s">
        <v>23</v>
      </c>
      <c r="I51" s="1">
        <v>1899</v>
      </c>
      <c r="J51" s="2" t="s">
        <v>398</v>
      </c>
      <c r="K51" s="2" t="s">
        <v>399</v>
      </c>
      <c r="L51" s="3">
        <v>3</v>
      </c>
      <c r="M51" s="3">
        <v>6.5</v>
      </c>
      <c r="N51" s="4">
        <f t="shared" si="0"/>
        <v>6.5</v>
      </c>
      <c r="O51" s="1" t="s">
        <v>27</v>
      </c>
      <c r="P51" s="2" t="s">
        <v>400</v>
      </c>
    </row>
    <row r="52" spans="1:16" ht="24" customHeight="1" x14ac:dyDescent="0.3">
      <c r="A52" s="1" t="s">
        <v>401</v>
      </c>
      <c r="B52" s="2" t="s">
        <v>402</v>
      </c>
      <c r="C52" s="2" t="s">
        <v>403</v>
      </c>
      <c r="D52" s="2" t="s">
        <v>404</v>
      </c>
      <c r="E52" s="2" t="s">
        <v>247</v>
      </c>
      <c r="F52" s="2" t="s">
        <v>405</v>
      </c>
      <c r="G52" s="2" t="s">
        <v>406</v>
      </c>
      <c r="H52" s="1" t="s">
        <v>63</v>
      </c>
      <c r="I52" s="1" t="s">
        <v>407</v>
      </c>
      <c r="J52" s="2" t="s">
        <v>408</v>
      </c>
      <c r="K52" s="2" t="s">
        <v>408</v>
      </c>
      <c r="L52" s="3">
        <v>3</v>
      </c>
      <c r="M52" s="3">
        <v>14</v>
      </c>
      <c r="N52" s="4">
        <f t="shared" si="0"/>
        <v>14</v>
      </c>
      <c r="O52" s="1" t="s">
        <v>27</v>
      </c>
      <c r="P52" s="2" t="s">
        <v>409</v>
      </c>
    </row>
    <row r="53" spans="1:16" ht="24" customHeight="1" x14ac:dyDescent="0.3">
      <c r="A53" s="1" t="s">
        <v>410</v>
      </c>
      <c r="B53" s="2" t="s">
        <v>411</v>
      </c>
      <c r="C53" s="2" t="s">
        <v>412</v>
      </c>
      <c r="D53" s="2" t="s">
        <v>40</v>
      </c>
      <c r="E53" s="2" t="s">
        <v>247</v>
      </c>
      <c r="F53" s="2" t="s">
        <v>21</v>
      </c>
      <c r="G53" s="2" t="s">
        <v>413</v>
      </c>
      <c r="H53" s="1" t="s">
        <v>23</v>
      </c>
      <c r="I53" s="1">
        <v>1900</v>
      </c>
      <c r="J53" s="2" t="s">
        <v>414</v>
      </c>
      <c r="K53" s="2" t="s">
        <v>415</v>
      </c>
      <c r="L53" s="3">
        <v>2.5</v>
      </c>
      <c r="M53" s="3">
        <v>5.5</v>
      </c>
      <c r="N53" s="4">
        <f t="shared" si="0"/>
        <v>5.5</v>
      </c>
      <c r="O53" s="1" t="s">
        <v>27</v>
      </c>
      <c r="P53" s="2" t="s">
        <v>416</v>
      </c>
    </row>
    <row r="54" spans="1:16" ht="24" customHeight="1" x14ac:dyDescent="0.3">
      <c r="A54" s="1" t="s">
        <v>417</v>
      </c>
      <c r="B54" s="2" t="s">
        <v>418</v>
      </c>
      <c r="C54" s="2" t="s">
        <v>419</v>
      </c>
      <c r="D54" s="2" t="s">
        <v>19</v>
      </c>
      <c r="E54" s="2" t="s">
        <v>247</v>
      </c>
      <c r="F54" s="2" t="s">
        <v>21</v>
      </c>
      <c r="G54" s="2" t="s">
        <v>420</v>
      </c>
      <c r="H54" s="1" t="s">
        <v>23</v>
      </c>
      <c r="I54" s="1">
        <v>1900</v>
      </c>
      <c r="J54" s="2" t="s">
        <v>421</v>
      </c>
      <c r="K54" s="2" t="s">
        <v>422</v>
      </c>
      <c r="L54" s="3">
        <v>3</v>
      </c>
      <c r="M54" s="3">
        <v>6.5</v>
      </c>
      <c r="N54" s="4">
        <f t="shared" si="0"/>
        <v>6.5</v>
      </c>
      <c r="O54" s="1" t="s">
        <v>27</v>
      </c>
      <c r="P54" s="2" t="s">
        <v>423</v>
      </c>
    </row>
    <row r="55" spans="1:16" ht="24" customHeight="1" x14ac:dyDescent="0.3">
      <c r="A55" s="1" t="s">
        <v>424</v>
      </c>
      <c r="B55" s="2" t="s">
        <v>425</v>
      </c>
      <c r="C55" s="2" t="s">
        <v>301</v>
      </c>
      <c r="D55" s="2" t="s">
        <v>426</v>
      </c>
      <c r="E55" s="2" t="s">
        <v>247</v>
      </c>
      <c r="F55" s="2" t="s">
        <v>238</v>
      </c>
      <c r="G55" s="2" t="s">
        <v>427</v>
      </c>
      <c r="H55" s="1" t="s">
        <v>23</v>
      </c>
      <c r="I55" s="1">
        <v>1907</v>
      </c>
      <c r="J55" s="2" t="s">
        <v>428</v>
      </c>
      <c r="K55" s="2" t="s">
        <v>429</v>
      </c>
      <c r="L55" s="3">
        <v>3</v>
      </c>
      <c r="M55" s="3">
        <v>6.5</v>
      </c>
      <c r="N55" s="4">
        <f t="shared" si="0"/>
        <v>6.5</v>
      </c>
      <c r="O55" s="1" t="s">
        <v>27</v>
      </c>
      <c r="P55" s="2" t="s">
        <v>430</v>
      </c>
    </row>
    <row r="56" spans="1:16" ht="24" customHeight="1" x14ac:dyDescent="0.3">
      <c r="A56" s="1" t="s">
        <v>431</v>
      </c>
      <c r="B56" s="2" t="s">
        <v>432</v>
      </c>
      <c r="C56" s="2" t="s">
        <v>433</v>
      </c>
      <c r="D56" s="2" t="s">
        <v>434</v>
      </c>
      <c r="E56" s="2" t="s">
        <v>247</v>
      </c>
      <c r="F56" s="2" t="s">
        <v>238</v>
      </c>
      <c r="G56" s="2" t="s">
        <v>435</v>
      </c>
      <c r="H56" s="1" t="s">
        <v>63</v>
      </c>
      <c r="I56" s="1"/>
      <c r="J56" s="2" t="s">
        <v>265</v>
      </c>
      <c r="K56" s="2" t="s">
        <v>343</v>
      </c>
      <c r="L56" s="3">
        <v>4</v>
      </c>
      <c r="M56" s="3">
        <v>9</v>
      </c>
      <c r="N56" s="4">
        <f t="shared" si="0"/>
        <v>9</v>
      </c>
      <c r="O56" s="1" t="s">
        <v>27</v>
      </c>
      <c r="P56" s="2" t="s">
        <v>436</v>
      </c>
    </row>
    <row r="57" spans="1:16" ht="24" customHeight="1" x14ac:dyDescent="0.3">
      <c r="A57" s="1" t="s">
        <v>437</v>
      </c>
      <c r="B57" s="2" t="s">
        <v>438</v>
      </c>
      <c r="C57" s="2" t="s">
        <v>439</v>
      </c>
      <c r="D57" s="2" t="s">
        <v>103</v>
      </c>
      <c r="E57" s="2" t="s">
        <v>440</v>
      </c>
      <c r="F57" s="2" t="s">
        <v>341</v>
      </c>
      <c r="G57" s="2" t="s">
        <v>441</v>
      </c>
      <c r="H57" s="1" t="s">
        <v>63</v>
      </c>
      <c r="I57" s="1"/>
      <c r="J57" s="2" t="s">
        <v>265</v>
      </c>
      <c r="K57" s="2" t="s">
        <v>343</v>
      </c>
      <c r="L57" s="3">
        <v>2.5</v>
      </c>
      <c r="M57" s="3">
        <v>5.5</v>
      </c>
      <c r="N57" s="4">
        <f t="shared" si="0"/>
        <v>5.5</v>
      </c>
      <c r="O57" s="1" t="s">
        <v>27</v>
      </c>
      <c r="P57" s="2" t="s">
        <v>442</v>
      </c>
    </row>
    <row r="58" spans="1:16" ht="20.399999999999999" customHeight="1" x14ac:dyDescent="0.3">
      <c r="A58" s="1" t="s">
        <v>443</v>
      </c>
      <c r="B58" s="2" t="s">
        <v>444</v>
      </c>
      <c r="C58" s="2" t="s">
        <v>445</v>
      </c>
      <c r="D58" s="2" t="s">
        <v>103</v>
      </c>
      <c r="E58" s="2" t="s">
        <v>446</v>
      </c>
      <c r="F58" s="2" t="s">
        <v>341</v>
      </c>
      <c r="G58" s="2" t="s">
        <v>447</v>
      </c>
      <c r="H58" s="1" t="s">
        <v>63</v>
      </c>
      <c r="I58" s="1"/>
      <c r="J58" s="2" t="s">
        <v>265</v>
      </c>
      <c r="K58" s="2" t="s">
        <v>343</v>
      </c>
      <c r="L58" s="3">
        <v>2.5</v>
      </c>
      <c r="M58" s="3">
        <v>5</v>
      </c>
      <c r="N58" s="4">
        <f t="shared" si="0"/>
        <v>5</v>
      </c>
      <c r="O58" s="1" t="s">
        <v>27</v>
      </c>
      <c r="P58" s="2" t="s">
        <v>448</v>
      </c>
    </row>
    <row r="59" spans="1:16" ht="24" customHeight="1" x14ac:dyDescent="0.3">
      <c r="A59" s="1" t="s">
        <v>449</v>
      </c>
      <c r="B59" s="2" t="s">
        <v>450</v>
      </c>
      <c r="C59" s="2" t="s">
        <v>451</v>
      </c>
      <c r="D59" s="2" t="s">
        <v>452</v>
      </c>
      <c r="E59" s="2" t="s">
        <v>247</v>
      </c>
      <c r="F59" s="2" t="s">
        <v>21</v>
      </c>
      <c r="G59" s="2" t="s">
        <v>453</v>
      </c>
      <c r="H59" s="1" t="s">
        <v>23</v>
      </c>
      <c r="I59" s="1">
        <v>1903</v>
      </c>
      <c r="J59" s="2" t="s">
        <v>454</v>
      </c>
      <c r="K59" s="2" t="s">
        <v>455</v>
      </c>
      <c r="L59" s="3">
        <v>3</v>
      </c>
      <c r="M59" s="3">
        <v>7</v>
      </c>
      <c r="N59" s="4">
        <f t="shared" si="0"/>
        <v>7</v>
      </c>
      <c r="O59" s="1" t="s">
        <v>27</v>
      </c>
      <c r="P59" s="2" t="s">
        <v>456</v>
      </c>
    </row>
    <row r="60" spans="1:16" ht="24" customHeight="1" x14ac:dyDescent="0.3">
      <c r="A60" s="1" t="s">
        <v>457</v>
      </c>
      <c r="B60" s="2" t="s">
        <v>458</v>
      </c>
      <c r="C60" s="2" t="s">
        <v>459</v>
      </c>
      <c r="D60" s="2" t="s">
        <v>460</v>
      </c>
      <c r="E60" s="2" t="s">
        <v>446</v>
      </c>
      <c r="F60" s="2" t="s">
        <v>21</v>
      </c>
      <c r="G60" s="2" t="s">
        <v>461</v>
      </c>
      <c r="H60" s="1" t="s">
        <v>23</v>
      </c>
      <c r="I60" s="1" t="s">
        <v>462</v>
      </c>
      <c r="J60" s="2" t="s">
        <v>463</v>
      </c>
      <c r="K60" s="2" t="s">
        <v>464</v>
      </c>
      <c r="L60" s="3">
        <v>3</v>
      </c>
      <c r="M60" s="3">
        <v>7</v>
      </c>
      <c r="N60" s="4">
        <f t="shared" si="0"/>
        <v>7</v>
      </c>
      <c r="O60" s="1" t="s">
        <v>27</v>
      </c>
      <c r="P60" s="2" t="s">
        <v>465</v>
      </c>
    </row>
    <row r="61" spans="1:16" ht="24" customHeight="1" x14ac:dyDescent="0.3">
      <c r="A61" s="1" t="s">
        <v>466</v>
      </c>
      <c r="B61" s="2" t="s">
        <v>244</v>
      </c>
      <c r="C61" s="2" t="s">
        <v>245</v>
      </c>
      <c r="D61" s="2" t="s">
        <v>467</v>
      </c>
      <c r="E61" s="2" t="s">
        <v>468</v>
      </c>
      <c r="F61" s="2" t="s">
        <v>238</v>
      </c>
      <c r="G61" s="2" t="s">
        <v>469</v>
      </c>
      <c r="H61" s="1" t="s">
        <v>23</v>
      </c>
      <c r="I61" s="1">
        <v>1909</v>
      </c>
      <c r="J61" s="2" t="s">
        <v>470</v>
      </c>
      <c r="K61" s="2" t="s">
        <v>471</v>
      </c>
      <c r="L61" s="3">
        <v>5</v>
      </c>
      <c r="M61" s="3">
        <v>13</v>
      </c>
      <c r="N61" s="4">
        <f t="shared" si="0"/>
        <v>13</v>
      </c>
      <c r="O61" s="1" t="s">
        <v>27</v>
      </c>
      <c r="P61" s="2" t="s">
        <v>472</v>
      </c>
    </row>
    <row r="62" spans="1:16" ht="24" customHeight="1" x14ac:dyDescent="0.3">
      <c r="A62" s="1" t="s">
        <v>473</v>
      </c>
      <c r="B62" s="2" t="s">
        <v>474</v>
      </c>
      <c r="C62" s="2" t="s">
        <v>475</v>
      </c>
      <c r="D62" s="2" t="s">
        <v>476</v>
      </c>
      <c r="E62" s="2" t="s">
        <v>247</v>
      </c>
      <c r="F62" s="2" t="s">
        <v>405</v>
      </c>
      <c r="G62" s="2" t="s">
        <v>477</v>
      </c>
      <c r="H62" s="1" t="s">
        <v>23</v>
      </c>
      <c r="I62" s="1" t="s">
        <v>478</v>
      </c>
      <c r="J62" s="2" t="s">
        <v>479</v>
      </c>
      <c r="K62" s="2" t="s">
        <v>480</v>
      </c>
      <c r="L62" s="3">
        <v>2.5</v>
      </c>
      <c r="M62" s="3">
        <v>5.5</v>
      </c>
      <c r="N62" s="4">
        <f t="shared" si="0"/>
        <v>5.5</v>
      </c>
      <c r="O62" s="1" t="s">
        <v>27</v>
      </c>
      <c r="P62" s="2" t="s">
        <v>481</v>
      </c>
    </row>
    <row r="63" spans="1:16" ht="24" customHeight="1" x14ac:dyDescent="0.3">
      <c r="A63" s="1" t="s">
        <v>482</v>
      </c>
      <c r="B63" s="2" t="s">
        <v>483</v>
      </c>
      <c r="C63" s="2" t="s">
        <v>301</v>
      </c>
      <c r="D63" s="2" t="s">
        <v>19</v>
      </c>
      <c r="E63" s="2" t="s">
        <v>247</v>
      </c>
      <c r="F63" s="2" t="s">
        <v>21</v>
      </c>
      <c r="G63" s="2" t="s">
        <v>484</v>
      </c>
      <c r="H63" s="1" t="s">
        <v>23</v>
      </c>
      <c r="I63" s="1">
        <v>1903</v>
      </c>
      <c r="J63" s="2" t="s">
        <v>485</v>
      </c>
      <c r="K63" s="2" t="s">
        <v>486</v>
      </c>
      <c r="L63" s="3">
        <v>3</v>
      </c>
      <c r="M63" s="3">
        <v>7</v>
      </c>
      <c r="N63" s="4">
        <f t="shared" si="0"/>
        <v>7</v>
      </c>
      <c r="O63" s="1" t="s">
        <v>27</v>
      </c>
      <c r="P63" s="2" t="s">
        <v>487</v>
      </c>
    </row>
    <row r="64" spans="1:16" ht="24" customHeight="1" x14ac:dyDescent="0.3">
      <c r="A64" s="1" t="s">
        <v>488</v>
      </c>
      <c r="B64" s="2" t="s">
        <v>489</v>
      </c>
      <c r="C64" s="2" t="s">
        <v>132</v>
      </c>
      <c r="D64" s="2" t="s">
        <v>19</v>
      </c>
      <c r="E64" s="2" t="s">
        <v>247</v>
      </c>
      <c r="F64" s="2" t="s">
        <v>21</v>
      </c>
      <c r="G64" s="2" t="s">
        <v>490</v>
      </c>
      <c r="H64" s="1" t="s">
        <v>23</v>
      </c>
      <c r="I64" s="1">
        <v>1904</v>
      </c>
      <c r="J64" s="2" t="s">
        <v>491</v>
      </c>
      <c r="K64" s="2" t="s">
        <v>492</v>
      </c>
      <c r="L64" s="3">
        <v>3</v>
      </c>
      <c r="M64" s="3">
        <v>7</v>
      </c>
      <c r="N64" s="4">
        <f t="shared" si="0"/>
        <v>7</v>
      </c>
      <c r="O64" s="1" t="s">
        <v>27</v>
      </c>
      <c r="P64" s="2" t="s">
        <v>493</v>
      </c>
    </row>
    <row r="65" spans="1:16" ht="24" customHeight="1" x14ac:dyDescent="0.3">
      <c r="A65" s="1" t="s">
        <v>494</v>
      </c>
      <c r="B65" s="2" t="s">
        <v>495</v>
      </c>
      <c r="C65" s="2" t="s">
        <v>496</v>
      </c>
      <c r="D65" s="2" t="s">
        <v>19</v>
      </c>
      <c r="E65" s="2" t="s">
        <v>247</v>
      </c>
      <c r="F65" s="2" t="s">
        <v>21</v>
      </c>
      <c r="G65" s="2" t="s">
        <v>497</v>
      </c>
      <c r="H65" s="1" t="s">
        <v>23</v>
      </c>
      <c r="I65" s="1">
        <v>1902</v>
      </c>
      <c r="J65" s="2" t="s">
        <v>498</v>
      </c>
      <c r="K65" s="2" t="s">
        <v>499</v>
      </c>
      <c r="L65" s="3">
        <v>3</v>
      </c>
      <c r="M65" s="3">
        <v>7</v>
      </c>
      <c r="N65" s="4">
        <f t="shared" si="0"/>
        <v>7</v>
      </c>
      <c r="O65" s="1" t="s">
        <v>27</v>
      </c>
      <c r="P65" s="2" t="s">
        <v>500</v>
      </c>
    </row>
    <row r="66" spans="1:16" ht="24" customHeight="1" x14ac:dyDescent="0.3">
      <c r="A66" s="1" t="s">
        <v>501</v>
      </c>
      <c r="B66" s="2" t="s">
        <v>502</v>
      </c>
      <c r="C66" s="2" t="s">
        <v>301</v>
      </c>
      <c r="D66" s="2" t="s">
        <v>19</v>
      </c>
      <c r="E66" s="2" t="s">
        <v>247</v>
      </c>
      <c r="F66" s="2" t="s">
        <v>21</v>
      </c>
      <c r="G66" s="2" t="s">
        <v>503</v>
      </c>
      <c r="H66" s="1" t="s">
        <v>23</v>
      </c>
      <c r="I66" s="1">
        <v>1903</v>
      </c>
      <c r="J66" s="2" t="s">
        <v>504</v>
      </c>
      <c r="K66" s="2" t="s">
        <v>505</v>
      </c>
      <c r="L66" s="3">
        <v>3</v>
      </c>
      <c r="M66" s="3">
        <v>7</v>
      </c>
      <c r="N66" s="4">
        <f t="shared" ref="N66:N129" si="1">MAX(L66,M66)</f>
        <v>7</v>
      </c>
      <c r="O66" s="1" t="s">
        <v>27</v>
      </c>
      <c r="P66" s="2" t="s">
        <v>506</v>
      </c>
    </row>
    <row r="67" spans="1:16" ht="24" customHeight="1" x14ac:dyDescent="0.3">
      <c r="A67" s="1" t="s">
        <v>507</v>
      </c>
      <c r="B67" s="2" t="s">
        <v>508</v>
      </c>
      <c r="C67" s="2" t="s">
        <v>509</v>
      </c>
      <c r="D67" s="2" t="s">
        <v>19</v>
      </c>
      <c r="E67" s="2" t="s">
        <v>247</v>
      </c>
      <c r="F67" s="2" t="s">
        <v>238</v>
      </c>
      <c r="G67" s="2" t="s">
        <v>510</v>
      </c>
      <c r="H67" s="1" t="s">
        <v>23</v>
      </c>
      <c r="I67" s="1">
        <v>1911</v>
      </c>
      <c r="J67" s="2" t="s">
        <v>511</v>
      </c>
      <c r="K67" s="2" t="s">
        <v>512</v>
      </c>
      <c r="L67" s="3">
        <v>4</v>
      </c>
      <c r="M67" s="3">
        <v>10</v>
      </c>
      <c r="N67" s="4">
        <f t="shared" si="1"/>
        <v>10</v>
      </c>
      <c r="O67" s="1" t="s">
        <v>27</v>
      </c>
      <c r="P67" s="2" t="s">
        <v>513</v>
      </c>
    </row>
    <row r="68" spans="1:16" ht="24" customHeight="1" x14ac:dyDescent="0.3">
      <c r="A68" s="1" t="s">
        <v>514</v>
      </c>
      <c r="B68" s="2" t="s">
        <v>515</v>
      </c>
      <c r="C68" s="2" t="s">
        <v>516</v>
      </c>
      <c r="D68" s="2" t="s">
        <v>517</v>
      </c>
      <c r="E68" s="2" t="s">
        <v>247</v>
      </c>
      <c r="F68" s="2" t="s">
        <v>61</v>
      </c>
      <c r="G68" s="2" t="s">
        <v>518</v>
      </c>
      <c r="H68" s="1" t="s">
        <v>63</v>
      </c>
      <c r="I68" s="1"/>
      <c r="J68" s="2" t="s">
        <v>265</v>
      </c>
      <c r="K68" s="2" t="s">
        <v>343</v>
      </c>
      <c r="L68" s="3">
        <v>2.5</v>
      </c>
      <c r="M68" s="3">
        <v>5.5</v>
      </c>
      <c r="N68" s="4">
        <f t="shared" si="1"/>
        <v>5.5</v>
      </c>
      <c r="O68" s="1" t="s">
        <v>27</v>
      </c>
      <c r="P68" s="2" t="s">
        <v>519</v>
      </c>
    </row>
    <row r="69" spans="1:16" ht="24" customHeight="1" x14ac:dyDescent="0.3">
      <c r="A69" s="1" t="s">
        <v>520</v>
      </c>
      <c r="B69" s="2" t="s">
        <v>521</v>
      </c>
      <c r="C69" s="2" t="s">
        <v>522</v>
      </c>
      <c r="D69" s="2" t="s">
        <v>517</v>
      </c>
      <c r="E69" s="2" t="s">
        <v>247</v>
      </c>
      <c r="F69" s="2" t="s">
        <v>21</v>
      </c>
      <c r="G69" s="2" t="s">
        <v>523</v>
      </c>
      <c r="H69" s="1" t="s">
        <v>23</v>
      </c>
      <c r="I69" s="1">
        <v>1915</v>
      </c>
      <c r="J69" s="2" t="s">
        <v>524</v>
      </c>
      <c r="K69" s="2" t="s">
        <v>525</v>
      </c>
      <c r="L69" s="3">
        <v>3</v>
      </c>
      <c r="M69" s="3">
        <v>7</v>
      </c>
      <c r="N69" s="4">
        <f t="shared" si="1"/>
        <v>7</v>
      </c>
      <c r="O69" s="1" t="s">
        <v>27</v>
      </c>
      <c r="P69" s="2" t="s">
        <v>526</v>
      </c>
    </row>
    <row r="70" spans="1:16" ht="24" customHeight="1" x14ac:dyDescent="0.3">
      <c r="A70" s="1" t="s">
        <v>527</v>
      </c>
      <c r="B70" s="2" t="s">
        <v>528</v>
      </c>
      <c r="C70" s="2" t="s">
        <v>529</v>
      </c>
      <c r="D70" s="2" t="s">
        <v>40</v>
      </c>
      <c r="E70" s="2" t="s">
        <v>247</v>
      </c>
      <c r="F70" s="2" t="s">
        <v>21</v>
      </c>
      <c r="G70" s="2" t="s">
        <v>530</v>
      </c>
      <c r="H70" s="1" t="s">
        <v>23</v>
      </c>
      <c r="I70" s="1">
        <v>1909</v>
      </c>
      <c r="J70" s="2" t="s">
        <v>531</v>
      </c>
      <c r="K70" s="2" t="s">
        <v>532</v>
      </c>
      <c r="L70" s="3">
        <v>3</v>
      </c>
      <c r="M70" s="3">
        <v>7</v>
      </c>
      <c r="N70" s="4">
        <f t="shared" si="1"/>
        <v>7</v>
      </c>
      <c r="O70" s="1" t="s">
        <v>27</v>
      </c>
      <c r="P70" s="2" t="s">
        <v>533</v>
      </c>
    </row>
    <row r="71" spans="1:16" ht="24" customHeight="1" x14ac:dyDescent="0.3">
      <c r="A71" s="1" t="s">
        <v>534</v>
      </c>
      <c r="B71" s="2" t="s">
        <v>535</v>
      </c>
      <c r="C71" s="2" t="s">
        <v>536</v>
      </c>
      <c r="D71" s="2" t="s">
        <v>537</v>
      </c>
      <c r="E71" s="2" t="s">
        <v>538</v>
      </c>
      <c r="F71" s="2" t="s">
        <v>238</v>
      </c>
      <c r="G71" s="2" t="s">
        <v>539</v>
      </c>
      <c r="H71" s="1" t="s">
        <v>23</v>
      </c>
      <c r="I71" s="1">
        <v>1903</v>
      </c>
      <c r="J71" s="2" t="s">
        <v>540</v>
      </c>
      <c r="K71" s="2" t="s">
        <v>541</v>
      </c>
      <c r="L71" s="3">
        <v>4</v>
      </c>
      <c r="M71" s="3">
        <v>10</v>
      </c>
      <c r="N71" s="4">
        <f t="shared" si="1"/>
        <v>10</v>
      </c>
      <c r="O71" s="1" t="s">
        <v>27</v>
      </c>
      <c r="P71" s="2" t="s">
        <v>542</v>
      </c>
    </row>
    <row r="72" spans="1:16" ht="24" customHeight="1" x14ac:dyDescent="0.3">
      <c r="A72" s="1" t="s">
        <v>543</v>
      </c>
      <c r="B72" s="2" t="s">
        <v>544</v>
      </c>
      <c r="C72" s="2" t="s">
        <v>545</v>
      </c>
      <c r="D72" s="2" t="s">
        <v>19</v>
      </c>
      <c r="E72" s="2" t="s">
        <v>247</v>
      </c>
      <c r="F72" s="2" t="s">
        <v>21</v>
      </c>
      <c r="G72" s="2" t="s">
        <v>546</v>
      </c>
      <c r="H72" s="1" t="s">
        <v>23</v>
      </c>
      <c r="I72" s="1">
        <v>1901</v>
      </c>
      <c r="J72" s="2" t="s">
        <v>547</v>
      </c>
      <c r="K72" s="2" t="s">
        <v>499</v>
      </c>
      <c r="L72" s="3">
        <v>3</v>
      </c>
      <c r="M72" s="3">
        <v>7</v>
      </c>
      <c r="N72" s="4">
        <f t="shared" si="1"/>
        <v>7</v>
      </c>
      <c r="O72" s="1" t="s">
        <v>27</v>
      </c>
      <c r="P72" s="2" t="s">
        <v>548</v>
      </c>
    </row>
    <row r="73" spans="1:16" ht="24" customHeight="1" x14ac:dyDescent="0.3">
      <c r="A73" s="1" t="s">
        <v>549</v>
      </c>
      <c r="B73" s="2" t="s">
        <v>550</v>
      </c>
      <c r="C73" s="2" t="s">
        <v>551</v>
      </c>
      <c r="D73" s="2" t="s">
        <v>19</v>
      </c>
      <c r="E73" s="2" t="s">
        <v>247</v>
      </c>
      <c r="F73" s="2" t="s">
        <v>21</v>
      </c>
      <c r="G73" s="2" t="s">
        <v>552</v>
      </c>
      <c r="H73" s="1" t="s">
        <v>23</v>
      </c>
      <c r="I73" s="1">
        <v>1911</v>
      </c>
      <c r="J73" s="2" t="s">
        <v>553</v>
      </c>
      <c r="K73" s="2" t="s">
        <v>554</v>
      </c>
      <c r="L73" s="3">
        <v>4</v>
      </c>
      <c r="M73" s="3">
        <v>10</v>
      </c>
      <c r="N73" s="4">
        <f t="shared" si="1"/>
        <v>10</v>
      </c>
      <c r="O73" s="1" t="s">
        <v>27</v>
      </c>
      <c r="P73" s="2" t="s">
        <v>555</v>
      </c>
    </row>
    <row r="74" spans="1:16" ht="24" customHeight="1" x14ac:dyDescent="0.3">
      <c r="A74" s="1" t="s">
        <v>556</v>
      </c>
      <c r="B74" s="2" t="s">
        <v>557</v>
      </c>
      <c r="C74" s="2" t="s">
        <v>558</v>
      </c>
      <c r="D74" s="2" t="s">
        <v>40</v>
      </c>
      <c r="E74" s="2" t="s">
        <v>247</v>
      </c>
      <c r="F74" s="2" t="s">
        <v>559</v>
      </c>
      <c r="G74" s="2" t="s">
        <v>560</v>
      </c>
      <c r="H74" s="1" t="s">
        <v>63</v>
      </c>
      <c r="I74" s="1" t="s">
        <v>561</v>
      </c>
      <c r="J74" s="2" t="s">
        <v>265</v>
      </c>
      <c r="K74" s="2" t="s">
        <v>265</v>
      </c>
      <c r="L74" s="3">
        <v>2.5</v>
      </c>
      <c r="M74" s="3">
        <v>6</v>
      </c>
      <c r="N74" s="4">
        <f t="shared" si="1"/>
        <v>6</v>
      </c>
      <c r="O74" s="1" t="s">
        <v>27</v>
      </c>
      <c r="P74" s="2" t="s">
        <v>562</v>
      </c>
    </row>
    <row r="75" spans="1:16" ht="24" customHeight="1" x14ac:dyDescent="0.3">
      <c r="A75" s="1" t="s">
        <v>563</v>
      </c>
      <c r="B75" s="2" t="s">
        <v>564</v>
      </c>
      <c r="C75" s="2" t="s">
        <v>565</v>
      </c>
      <c r="D75" s="2" t="s">
        <v>566</v>
      </c>
      <c r="E75" s="2" t="s">
        <v>567</v>
      </c>
      <c r="F75" s="2" t="s">
        <v>21</v>
      </c>
      <c r="G75" s="2" t="s">
        <v>568</v>
      </c>
      <c r="H75" s="1" t="s">
        <v>23</v>
      </c>
      <c r="I75" s="1">
        <v>1943</v>
      </c>
      <c r="J75" s="2" t="s">
        <v>569</v>
      </c>
      <c r="K75" s="2" t="s">
        <v>570</v>
      </c>
      <c r="L75" s="3">
        <v>4</v>
      </c>
      <c r="M75" s="3">
        <v>9</v>
      </c>
      <c r="N75" s="4">
        <f t="shared" si="1"/>
        <v>9</v>
      </c>
      <c r="O75" s="1" t="s">
        <v>27</v>
      </c>
      <c r="P75" s="2" t="s">
        <v>571</v>
      </c>
    </row>
    <row r="76" spans="1:16" ht="24" customHeight="1" x14ac:dyDescent="0.3">
      <c r="A76" s="1" t="s">
        <v>572</v>
      </c>
      <c r="B76" s="2" t="s">
        <v>573</v>
      </c>
      <c r="C76" s="2" t="s">
        <v>574</v>
      </c>
      <c r="D76" s="2" t="s">
        <v>575</v>
      </c>
      <c r="E76" s="2" t="s">
        <v>576</v>
      </c>
      <c r="F76" s="2" t="s">
        <v>559</v>
      </c>
      <c r="G76" s="2" t="s">
        <v>577</v>
      </c>
      <c r="H76" s="1" t="s">
        <v>63</v>
      </c>
      <c r="I76" s="1" t="s">
        <v>578</v>
      </c>
      <c r="J76" s="2" t="s">
        <v>265</v>
      </c>
      <c r="K76" s="2" t="s">
        <v>265</v>
      </c>
      <c r="L76" s="3">
        <v>2</v>
      </c>
      <c r="M76" s="3">
        <v>5</v>
      </c>
      <c r="N76" s="4">
        <f t="shared" si="1"/>
        <v>5</v>
      </c>
      <c r="O76" s="1" t="s">
        <v>27</v>
      </c>
      <c r="P76" s="2" t="s">
        <v>579</v>
      </c>
    </row>
    <row r="77" spans="1:16" ht="24" customHeight="1" x14ac:dyDescent="0.3">
      <c r="A77" s="1" t="s">
        <v>580</v>
      </c>
      <c r="B77" s="2" t="s">
        <v>581</v>
      </c>
      <c r="C77" s="2" t="s">
        <v>582</v>
      </c>
      <c r="D77" s="2" t="s">
        <v>112</v>
      </c>
      <c r="E77" s="2" t="s">
        <v>247</v>
      </c>
      <c r="F77" s="2" t="s">
        <v>21</v>
      </c>
      <c r="G77" s="2" t="s">
        <v>583</v>
      </c>
      <c r="H77" s="1" t="s">
        <v>23</v>
      </c>
      <c r="I77" s="1">
        <v>1911</v>
      </c>
      <c r="J77" s="2" t="s">
        <v>584</v>
      </c>
      <c r="K77" s="2" t="s">
        <v>585</v>
      </c>
      <c r="L77" s="3">
        <v>3</v>
      </c>
      <c r="M77" s="3">
        <v>7</v>
      </c>
      <c r="N77" s="4">
        <f t="shared" si="1"/>
        <v>7</v>
      </c>
      <c r="O77" s="1" t="s">
        <v>27</v>
      </c>
      <c r="P77" s="2" t="s">
        <v>586</v>
      </c>
    </row>
    <row r="78" spans="1:16" ht="24" customHeight="1" x14ac:dyDescent="0.3">
      <c r="A78" s="1" t="s">
        <v>587</v>
      </c>
      <c r="B78" s="2" t="s">
        <v>588</v>
      </c>
      <c r="C78" s="2" t="s">
        <v>589</v>
      </c>
      <c r="D78" s="2" t="s">
        <v>590</v>
      </c>
      <c r="E78" s="2" t="s">
        <v>247</v>
      </c>
      <c r="F78" s="2" t="s">
        <v>21</v>
      </c>
      <c r="G78" s="2" t="s">
        <v>591</v>
      </c>
      <c r="H78" s="1" t="s">
        <v>23</v>
      </c>
      <c r="I78" s="1">
        <v>1922</v>
      </c>
      <c r="J78" s="2" t="s">
        <v>592</v>
      </c>
      <c r="K78" s="2" t="s">
        <v>593</v>
      </c>
      <c r="L78" s="3">
        <v>3</v>
      </c>
      <c r="M78" s="3">
        <v>7</v>
      </c>
      <c r="N78" s="4">
        <f t="shared" si="1"/>
        <v>7</v>
      </c>
      <c r="O78" s="1" t="s">
        <v>27</v>
      </c>
      <c r="P78" s="2" t="s">
        <v>594</v>
      </c>
    </row>
    <row r="79" spans="1:16" ht="24" customHeight="1" x14ac:dyDescent="0.3">
      <c r="A79" s="1" t="s">
        <v>595</v>
      </c>
      <c r="B79" s="2" t="s">
        <v>596</v>
      </c>
      <c r="C79" s="2" t="s">
        <v>597</v>
      </c>
      <c r="D79" s="2" t="s">
        <v>19</v>
      </c>
      <c r="E79" s="2" t="s">
        <v>247</v>
      </c>
      <c r="F79" s="2" t="s">
        <v>21</v>
      </c>
      <c r="G79" s="2" t="s">
        <v>598</v>
      </c>
      <c r="H79" s="1" t="s">
        <v>23</v>
      </c>
      <c r="I79" s="1">
        <v>1899</v>
      </c>
      <c r="J79" s="2" t="s">
        <v>599</v>
      </c>
      <c r="K79" s="2" t="s">
        <v>600</v>
      </c>
      <c r="L79" s="3">
        <v>4</v>
      </c>
      <c r="M79" s="3">
        <v>8</v>
      </c>
      <c r="N79" s="4">
        <f t="shared" si="1"/>
        <v>8</v>
      </c>
      <c r="O79" s="1" t="s">
        <v>27</v>
      </c>
      <c r="P79" s="2" t="s">
        <v>601</v>
      </c>
    </row>
    <row r="80" spans="1:16" ht="24" customHeight="1" x14ac:dyDescent="0.3">
      <c r="A80" s="1" t="s">
        <v>602</v>
      </c>
      <c r="B80" s="2" t="s">
        <v>603</v>
      </c>
      <c r="C80" s="2" t="s">
        <v>604</v>
      </c>
      <c r="D80" s="2" t="s">
        <v>605</v>
      </c>
      <c r="E80" s="2" t="s">
        <v>333</v>
      </c>
      <c r="F80" s="2" t="s">
        <v>21</v>
      </c>
      <c r="G80" s="2" t="s">
        <v>606</v>
      </c>
      <c r="H80" s="1" t="s">
        <v>23</v>
      </c>
      <c r="I80" s="1">
        <v>1902</v>
      </c>
      <c r="J80" s="2" t="s">
        <v>607</v>
      </c>
      <c r="K80" s="2" t="s">
        <v>608</v>
      </c>
      <c r="L80" s="3">
        <v>4</v>
      </c>
      <c r="M80" s="3">
        <v>8</v>
      </c>
      <c r="N80" s="4">
        <f t="shared" si="1"/>
        <v>8</v>
      </c>
      <c r="O80" s="1" t="s">
        <v>27</v>
      </c>
      <c r="P80" s="2" t="s">
        <v>609</v>
      </c>
    </row>
    <row r="81" spans="1:16" ht="24" customHeight="1" x14ac:dyDescent="0.3">
      <c r="A81" s="1" t="s">
        <v>610</v>
      </c>
      <c r="B81" s="2" t="s">
        <v>611</v>
      </c>
      <c r="C81" s="2" t="s">
        <v>612</v>
      </c>
      <c r="D81" s="2" t="s">
        <v>613</v>
      </c>
      <c r="E81" s="2" t="s">
        <v>567</v>
      </c>
      <c r="F81" s="2" t="s">
        <v>21</v>
      </c>
      <c r="G81" s="2" t="s">
        <v>614</v>
      </c>
      <c r="H81" s="1" t="s">
        <v>23</v>
      </c>
      <c r="I81" s="1">
        <v>1939</v>
      </c>
      <c r="J81" s="2" t="s">
        <v>615</v>
      </c>
      <c r="K81" s="2" t="s">
        <v>616</v>
      </c>
      <c r="L81" s="3">
        <v>4</v>
      </c>
      <c r="M81" s="3">
        <v>9</v>
      </c>
      <c r="N81" s="4">
        <f t="shared" si="1"/>
        <v>9</v>
      </c>
      <c r="O81" s="1" t="s">
        <v>27</v>
      </c>
      <c r="P81" s="2" t="s">
        <v>617</v>
      </c>
    </row>
    <row r="82" spans="1:16" ht="24" customHeight="1" x14ac:dyDescent="0.3">
      <c r="A82" s="1" t="s">
        <v>618</v>
      </c>
      <c r="B82" s="2" t="s">
        <v>619</v>
      </c>
      <c r="C82" s="2" t="s">
        <v>225</v>
      </c>
      <c r="D82" s="2" t="s">
        <v>103</v>
      </c>
      <c r="E82" s="2" t="s">
        <v>567</v>
      </c>
      <c r="F82" s="2" t="s">
        <v>559</v>
      </c>
      <c r="G82" s="2" t="s">
        <v>620</v>
      </c>
      <c r="H82" s="1" t="s">
        <v>63</v>
      </c>
      <c r="I82" s="1" t="s">
        <v>621</v>
      </c>
      <c r="J82" s="2" t="s">
        <v>265</v>
      </c>
      <c r="K82" s="2" t="s">
        <v>265</v>
      </c>
      <c r="L82" s="3">
        <v>3</v>
      </c>
      <c r="M82" s="3">
        <v>7</v>
      </c>
      <c r="N82" s="4">
        <f t="shared" si="1"/>
        <v>7</v>
      </c>
      <c r="O82" s="1" t="s">
        <v>27</v>
      </c>
      <c r="P82" s="2" t="s">
        <v>622</v>
      </c>
    </row>
    <row r="83" spans="1:16" ht="24" customHeight="1" x14ac:dyDescent="0.3">
      <c r="A83" s="1" t="s">
        <v>623</v>
      </c>
      <c r="B83" s="2" t="s">
        <v>624</v>
      </c>
      <c r="C83" s="2" t="s">
        <v>625</v>
      </c>
      <c r="D83" s="2" t="s">
        <v>103</v>
      </c>
      <c r="E83" s="2" t="s">
        <v>247</v>
      </c>
      <c r="F83" s="2" t="s">
        <v>21</v>
      </c>
      <c r="G83" s="2" t="s">
        <v>626</v>
      </c>
      <c r="H83" s="1" t="s">
        <v>23</v>
      </c>
      <c r="I83" s="1">
        <v>1939</v>
      </c>
      <c r="J83" s="2" t="s">
        <v>627</v>
      </c>
      <c r="K83" s="2" t="s">
        <v>628</v>
      </c>
      <c r="L83" s="3">
        <v>3</v>
      </c>
      <c r="M83" s="3">
        <v>7</v>
      </c>
      <c r="N83" s="4">
        <f t="shared" si="1"/>
        <v>7</v>
      </c>
      <c r="O83" s="1" t="s">
        <v>27</v>
      </c>
      <c r="P83" s="2" t="s">
        <v>629</v>
      </c>
    </row>
    <row r="84" spans="1:16" ht="24" customHeight="1" x14ac:dyDescent="0.3">
      <c r="A84" s="1" t="s">
        <v>630</v>
      </c>
      <c r="B84" s="2" t="s">
        <v>631</v>
      </c>
      <c r="C84" s="2" t="s">
        <v>225</v>
      </c>
      <c r="D84" s="2" t="s">
        <v>19</v>
      </c>
      <c r="E84" s="2" t="s">
        <v>567</v>
      </c>
      <c r="F84" s="2" t="s">
        <v>21</v>
      </c>
      <c r="G84" s="2" t="s">
        <v>632</v>
      </c>
      <c r="H84" s="1" t="s">
        <v>23</v>
      </c>
      <c r="I84" s="1">
        <v>1942</v>
      </c>
      <c r="J84" s="2" t="s">
        <v>633</v>
      </c>
      <c r="K84" s="2" t="s">
        <v>634</v>
      </c>
      <c r="L84" s="3">
        <v>4</v>
      </c>
      <c r="M84" s="3">
        <v>8</v>
      </c>
      <c r="N84" s="4">
        <f t="shared" si="1"/>
        <v>8</v>
      </c>
      <c r="O84" s="1" t="s">
        <v>27</v>
      </c>
      <c r="P84" s="2" t="s">
        <v>635</v>
      </c>
    </row>
    <row r="85" spans="1:16" ht="24" customHeight="1" x14ac:dyDescent="0.3">
      <c r="A85" s="1" t="s">
        <v>636</v>
      </c>
      <c r="B85" s="2" t="s">
        <v>637</v>
      </c>
      <c r="C85" s="2" t="s">
        <v>638</v>
      </c>
      <c r="D85" s="2" t="s">
        <v>639</v>
      </c>
      <c r="E85" s="2" t="s">
        <v>640</v>
      </c>
      <c r="F85" s="2" t="s">
        <v>559</v>
      </c>
      <c r="G85" s="2" t="s">
        <v>641</v>
      </c>
      <c r="H85" s="1" t="s">
        <v>63</v>
      </c>
      <c r="I85" s="1">
        <v>1911</v>
      </c>
      <c r="J85" s="2" t="s">
        <v>265</v>
      </c>
      <c r="K85" s="2" t="s">
        <v>265</v>
      </c>
      <c r="L85" s="3">
        <v>8</v>
      </c>
      <c r="M85" s="3">
        <v>18</v>
      </c>
      <c r="N85" s="4">
        <f t="shared" si="1"/>
        <v>18</v>
      </c>
      <c r="O85" s="1" t="s">
        <v>27</v>
      </c>
      <c r="P85" s="2" t="s">
        <v>642</v>
      </c>
    </row>
    <row r="86" spans="1:16" ht="24" customHeight="1" x14ac:dyDescent="0.3">
      <c r="A86" s="1" t="s">
        <v>643</v>
      </c>
      <c r="B86" s="2" t="s">
        <v>644</v>
      </c>
      <c r="C86" s="2" t="s">
        <v>645</v>
      </c>
      <c r="D86" s="2" t="s">
        <v>639</v>
      </c>
      <c r="E86" s="2" t="s">
        <v>640</v>
      </c>
      <c r="F86" s="2" t="s">
        <v>559</v>
      </c>
      <c r="G86" s="2" t="s">
        <v>641</v>
      </c>
      <c r="H86" s="1" t="s">
        <v>63</v>
      </c>
      <c r="I86" s="1">
        <v>1911</v>
      </c>
      <c r="J86" s="2" t="s">
        <v>265</v>
      </c>
      <c r="K86" s="2" t="s">
        <v>265</v>
      </c>
      <c r="L86" s="3">
        <v>8</v>
      </c>
      <c r="M86" s="3">
        <v>18</v>
      </c>
      <c r="N86" s="4">
        <f t="shared" si="1"/>
        <v>18</v>
      </c>
      <c r="O86" s="1" t="s">
        <v>27</v>
      </c>
      <c r="P86" s="2" t="s">
        <v>646</v>
      </c>
    </row>
    <row r="87" spans="1:16" ht="24" customHeight="1" x14ac:dyDescent="0.3">
      <c r="A87" s="1" t="s">
        <v>647</v>
      </c>
      <c r="B87" s="2" t="s">
        <v>648</v>
      </c>
      <c r="C87" s="2" t="s">
        <v>649</v>
      </c>
      <c r="D87" s="2" t="s">
        <v>19</v>
      </c>
      <c r="E87" s="2" t="s">
        <v>247</v>
      </c>
      <c r="F87" s="2" t="s">
        <v>21</v>
      </c>
      <c r="G87" s="2" t="s">
        <v>650</v>
      </c>
      <c r="H87" s="1" t="s">
        <v>23</v>
      </c>
      <c r="I87" s="1">
        <v>1918</v>
      </c>
      <c r="J87" s="2" t="s">
        <v>651</v>
      </c>
      <c r="K87" s="2" t="s">
        <v>652</v>
      </c>
      <c r="L87" s="3">
        <v>4</v>
      </c>
      <c r="M87" s="3">
        <v>8</v>
      </c>
      <c r="N87" s="4">
        <f t="shared" si="1"/>
        <v>8</v>
      </c>
      <c r="O87" s="1" t="s">
        <v>27</v>
      </c>
      <c r="P87" s="2" t="s">
        <v>653</v>
      </c>
    </row>
    <row r="88" spans="1:16" ht="24" customHeight="1" x14ac:dyDescent="0.3">
      <c r="A88" s="1" t="s">
        <v>654</v>
      </c>
      <c r="B88" s="2" t="s">
        <v>655</v>
      </c>
      <c r="C88" s="2" t="s">
        <v>656</v>
      </c>
      <c r="D88" s="2" t="s">
        <v>467</v>
      </c>
      <c r="E88" s="2" t="s">
        <v>247</v>
      </c>
      <c r="F88" s="2" t="s">
        <v>21</v>
      </c>
      <c r="G88" s="2" t="s">
        <v>657</v>
      </c>
      <c r="H88" s="1" t="s">
        <v>23</v>
      </c>
      <c r="I88" s="1">
        <v>1939</v>
      </c>
      <c r="J88" s="2" t="s">
        <v>658</v>
      </c>
      <c r="K88" s="2" t="s">
        <v>659</v>
      </c>
      <c r="L88" s="3">
        <v>4</v>
      </c>
      <c r="M88" s="3">
        <v>10</v>
      </c>
      <c r="N88" s="4">
        <f t="shared" si="1"/>
        <v>10</v>
      </c>
      <c r="O88" s="1" t="s">
        <v>27</v>
      </c>
      <c r="P88" s="2" t="s">
        <v>660</v>
      </c>
    </row>
    <row r="89" spans="1:16" ht="24" customHeight="1" x14ac:dyDescent="0.3">
      <c r="A89" s="1" t="s">
        <v>661</v>
      </c>
      <c r="B89" s="2" t="s">
        <v>662</v>
      </c>
      <c r="C89" s="2" t="s">
        <v>663</v>
      </c>
      <c r="D89" s="2" t="s">
        <v>664</v>
      </c>
      <c r="E89" s="2" t="s">
        <v>247</v>
      </c>
      <c r="F89" s="2" t="s">
        <v>21</v>
      </c>
      <c r="G89" s="2" t="s">
        <v>665</v>
      </c>
      <c r="H89" s="1" t="s">
        <v>23</v>
      </c>
      <c r="I89" s="1">
        <v>1918</v>
      </c>
      <c r="J89" s="2" t="s">
        <v>666</v>
      </c>
      <c r="K89" s="2" t="s">
        <v>667</v>
      </c>
      <c r="L89" s="3">
        <v>4</v>
      </c>
      <c r="M89" s="3">
        <v>8</v>
      </c>
      <c r="N89" s="4">
        <f t="shared" si="1"/>
        <v>8</v>
      </c>
      <c r="O89" s="1" t="s">
        <v>27</v>
      </c>
      <c r="P89" s="2" t="s">
        <v>668</v>
      </c>
    </row>
    <row r="90" spans="1:16" ht="24" customHeight="1" x14ac:dyDescent="0.3">
      <c r="A90" s="1" t="s">
        <v>669</v>
      </c>
      <c r="B90" s="2" t="s">
        <v>670</v>
      </c>
      <c r="C90" s="2" t="s">
        <v>671</v>
      </c>
      <c r="D90" s="2" t="s">
        <v>672</v>
      </c>
      <c r="E90" s="2" t="s">
        <v>247</v>
      </c>
      <c r="F90" s="2" t="s">
        <v>559</v>
      </c>
      <c r="G90" s="2" t="s">
        <v>673</v>
      </c>
      <c r="H90" s="1" t="s">
        <v>63</v>
      </c>
      <c r="I90" s="1" t="s">
        <v>674</v>
      </c>
      <c r="J90" s="2" t="s">
        <v>265</v>
      </c>
      <c r="K90" s="2" t="s">
        <v>265</v>
      </c>
      <c r="L90" s="3">
        <v>5</v>
      </c>
      <c r="M90" s="3">
        <v>10</v>
      </c>
      <c r="N90" s="4">
        <f t="shared" si="1"/>
        <v>10</v>
      </c>
      <c r="O90" s="1" t="s">
        <v>27</v>
      </c>
      <c r="P90" s="2" t="s">
        <v>675</v>
      </c>
    </row>
    <row r="91" spans="1:16" ht="24" customHeight="1" x14ac:dyDescent="0.3">
      <c r="A91" s="1" t="s">
        <v>676</v>
      </c>
      <c r="B91" s="2" t="s">
        <v>677</v>
      </c>
      <c r="C91" s="2" t="s">
        <v>678</v>
      </c>
      <c r="D91" s="2" t="s">
        <v>679</v>
      </c>
      <c r="E91" s="2" t="s">
        <v>247</v>
      </c>
      <c r="F91" s="2" t="s">
        <v>21</v>
      </c>
      <c r="G91" s="2" t="s">
        <v>680</v>
      </c>
      <c r="H91" s="1" t="s">
        <v>23</v>
      </c>
      <c r="I91" s="1">
        <v>1918</v>
      </c>
      <c r="J91" s="2" t="s">
        <v>681</v>
      </c>
      <c r="K91" s="2" t="s">
        <v>682</v>
      </c>
      <c r="L91" s="3">
        <v>4</v>
      </c>
      <c r="M91" s="3">
        <v>8</v>
      </c>
      <c r="N91" s="4">
        <f t="shared" si="1"/>
        <v>8</v>
      </c>
      <c r="O91" s="1" t="s">
        <v>27</v>
      </c>
      <c r="P91" s="2" t="s">
        <v>683</v>
      </c>
    </row>
    <row r="92" spans="1:16" ht="24" customHeight="1" x14ac:dyDescent="0.3">
      <c r="A92" s="1" t="s">
        <v>684</v>
      </c>
      <c r="B92" s="2" t="s">
        <v>685</v>
      </c>
      <c r="C92" s="2" t="s">
        <v>686</v>
      </c>
      <c r="D92" s="2" t="s">
        <v>687</v>
      </c>
      <c r="E92" s="2" t="s">
        <v>688</v>
      </c>
      <c r="F92" s="2" t="s">
        <v>559</v>
      </c>
      <c r="G92" s="2" t="s">
        <v>689</v>
      </c>
      <c r="H92" s="1" t="s">
        <v>63</v>
      </c>
      <c r="I92" s="1" t="s">
        <v>690</v>
      </c>
      <c r="J92" s="2" t="s">
        <v>265</v>
      </c>
      <c r="K92" s="2" t="s">
        <v>265</v>
      </c>
      <c r="L92" s="3">
        <v>5</v>
      </c>
      <c r="M92" s="3">
        <v>10</v>
      </c>
      <c r="N92" s="4">
        <f t="shared" si="1"/>
        <v>10</v>
      </c>
      <c r="O92" s="1" t="s">
        <v>27</v>
      </c>
      <c r="P92" s="2" t="s">
        <v>691</v>
      </c>
    </row>
    <row r="93" spans="1:16" ht="24" customHeight="1" x14ac:dyDescent="0.3">
      <c r="A93" s="1" t="s">
        <v>692</v>
      </c>
      <c r="B93" s="2" t="s">
        <v>693</v>
      </c>
      <c r="C93" s="2" t="s">
        <v>694</v>
      </c>
      <c r="D93" s="2" t="s">
        <v>695</v>
      </c>
      <c r="E93" s="2" t="s">
        <v>696</v>
      </c>
      <c r="F93" s="2" t="s">
        <v>697</v>
      </c>
      <c r="G93" s="2" t="s">
        <v>698</v>
      </c>
      <c r="H93" s="1" t="s">
        <v>23</v>
      </c>
      <c r="I93" s="1">
        <v>1902</v>
      </c>
      <c r="J93" s="2" t="s">
        <v>699</v>
      </c>
      <c r="K93" s="2" t="s">
        <v>700</v>
      </c>
      <c r="L93" s="3">
        <v>6</v>
      </c>
      <c r="M93" s="3">
        <v>12</v>
      </c>
      <c r="N93" s="4">
        <f t="shared" si="1"/>
        <v>12</v>
      </c>
      <c r="O93" s="1" t="s">
        <v>27</v>
      </c>
      <c r="P93" s="2" t="s">
        <v>701</v>
      </c>
    </row>
    <row r="94" spans="1:16" ht="24" customHeight="1" x14ac:dyDescent="0.3">
      <c r="A94" s="1" t="s">
        <v>702</v>
      </c>
      <c r="B94" s="2" t="s">
        <v>703</v>
      </c>
      <c r="C94" s="2" t="s">
        <v>704</v>
      </c>
      <c r="D94" s="2" t="s">
        <v>103</v>
      </c>
      <c r="E94" s="2" t="s">
        <v>705</v>
      </c>
      <c r="F94" s="2" t="s">
        <v>697</v>
      </c>
      <c r="G94" s="2" t="s">
        <v>706</v>
      </c>
      <c r="H94" s="1" t="s">
        <v>23</v>
      </c>
      <c r="I94" s="1">
        <v>1917</v>
      </c>
      <c r="J94" s="2" t="s">
        <v>707</v>
      </c>
      <c r="K94" s="2" t="s">
        <v>708</v>
      </c>
      <c r="L94" s="3">
        <v>6</v>
      </c>
      <c r="M94" s="3">
        <v>12</v>
      </c>
      <c r="N94" s="4">
        <f t="shared" si="1"/>
        <v>12</v>
      </c>
      <c r="O94" s="1" t="s">
        <v>27</v>
      </c>
      <c r="P94" s="2" t="s">
        <v>709</v>
      </c>
    </row>
    <row r="95" spans="1:16" ht="24" customHeight="1" x14ac:dyDescent="0.3">
      <c r="A95" s="1" t="s">
        <v>710</v>
      </c>
      <c r="B95" s="2" t="s">
        <v>711</v>
      </c>
      <c r="C95" s="2" t="s">
        <v>712</v>
      </c>
      <c r="D95" s="2" t="s">
        <v>19</v>
      </c>
      <c r="E95" s="2" t="s">
        <v>713</v>
      </c>
      <c r="F95" s="2" t="s">
        <v>697</v>
      </c>
      <c r="G95" s="2" t="s">
        <v>714</v>
      </c>
      <c r="H95" s="1" t="s">
        <v>23</v>
      </c>
      <c r="I95" s="1">
        <v>1903</v>
      </c>
      <c r="J95" s="2" t="s">
        <v>715</v>
      </c>
      <c r="K95" s="2" t="s">
        <v>716</v>
      </c>
      <c r="L95" s="3">
        <v>5</v>
      </c>
      <c r="M95" s="3">
        <v>10</v>
      </c>
      <c r="N95" s="4">
        <f t="shared" si="1"/>
        <v>10</v>
      </c>
      <c r="O95" s="1" t="s">
        <v>27</v>
      </c>
      <c r="P95" s="2" t="s">
        <v>717</v>
      </c>
    </row>
    <row r="96" spans="1:16" ht="24" customHeight="1" x14ac:dyDescent="0.3">
      <c r="A96" s="1" t="s">
        <v>718</v>
      </c>
      <c r="B96" s="2" t="s">
        <v>719</v>
      </c>
      <c r="C96" s="2" t="s">
        <v>720</v>
      </c>
      <c r="D96" s="2" t="s">
        <v>103</v>
      </c>
      <c r="E96" s="2" t="s">
        <v>721</v>
      </c>
      <c r="F96" s="2" t="s">
        <v>697</v>
      </c>
      <c r="G96" s="2" t="s">
        <v>722</v>
      </c>
      <c r="H96" s="1" t="s">
        <v>23</v>
      </c>
      <c r="I96" s="1">
        <v>1913</v>
      </c>
      <c r="J96" s="2" t="s">
        <v>723</v>
      </c>
      <c r="K96" s="2" t="s">
        <v>724</v>
      </c>
      <c r="L96" s="3">
        <v>5</v>
      </c>
      <c r="M96" s="3">
        <v>10</v>
      </c>
      <c r="N96" s="4">
        <f t="shared" si="1"/>
        <v>10</v>
      </c>
      <c r="O96" s="1" t="s">
        <v>27</v>
      </c>
      <c r="P96" s="2" t="s">
        <v>725</v>
      </c>
    </row>
    <row r="97" spans="1:16" ht="24" customHeight="1" x14ac:dyDescent="0.3">
      <c r="A97" s="1" t="s">
        <v>726</v>
      </c>
      <c r="B97" s="2" t="s">
        <v>727</v>
      </c>
      <c r="C97" s="2" t="s">
        <v>728</v>
      </c>
      <c r="D97" s="2" t="s">
        <v>687</v>
      </c>
      <c r="E97" s="2" t="s">
        <v>729</v>
      </c>
      <c r="F97" s="2" t="s">
        <v>697</v>
      </c>
      <c r="G97" s="2" t="s">
        <v>730</v>
      </c>
      <c r="H97" s="1" t="s">
        <v>23</v>
      </c>
      <c r="I97" s="1">
        <v>1913</v>
      </c>
      <c r="J97" s="2" t="s">
        <v>723</v>
      </c>
      <c r="K97" s="2" t="s">
        <v>724</v>
      </c>
      <c r="L97" s="3">
        <v>5</v>
      </c>
      <c r="M97" s="3">
        <v>10</v>
      </c>
      <c r="N97" s="4">
        <f t="shared" si="1"/>
        <v>10</v>
      </c>
      <c r="O97" s="1" t="s">
        <v>27</v>
      </c>
      <c r="P97" s="2" t="s">
        <v>731</v>
      </c>
    </row>
    <row r="98" spans="1:16" ht="24" customHeight="1" x14ac:dyDescent="0.3">
      <c r="A98" s="1" t="s">
        <v>732</v>
      </c>
      <c r="B98" s="2" t="s">
        <v>733</v>
      </c>
      <c r="C98" s="2" t="s">
        <v>734</v>
      </c>
      <c r="D98" s="2" t="s">
        <v>103</v>
      </c>
      <c r="E98" s="2" t="s">
        <v>735</v>
      </c>
      <c r="F98" s="2" t="s">
        <v>697</v>
      </c>
      <c r="G98" s="2" t="s">
        <v>736</v>
      </c>
      <c r="H98" s="1" t="s">
        <v>23</v>
      </c>
      <c r="I98" s="1" t="s">
        <v>737</v>
      </c>
      <c r="J98" s="2" t="s">
        <v>738</v>
      </c>
      <c r="K98" s="2" t="s">
        <v>739</v>
      </c>
      <c r="L98" s="3">
        <v>5</v>
      </c>
      <c r="M98" s="3">
        <v>10</v>
      </c>
      <c r="N98" s="4">
        <f t="shared" si="1"/>
        <v>10</v>
      </c>
      <c r="O98" s="1" t="s">
        <v>27</v>
      </c>
      <c r="P98" s="2" t="s">
        <v>740</v>
      </c>
    </row>
    <row r="99" spans="1:16" ht="24" customHeight="1" x14ac:dyDescent="0.3">
      <c r="A99" s="1" t="s">
        <v>741</v>
      </c>
      <c r="B99" s="2" t="s">
        <v>727</v>
      </c>
      <c r="C99" s="2" t="s">
        <v>728</v>
      </c>
      <c r="D99" s="2" t="s">
        <v>687</v>
      </c>
      <c r="E99" s="2" t="s">
        <v>729</v>
      </c>
      <c r="F99" s="2" t="s">
        <v>559</v>
      </c>
      <c r="G99" s="2" t="s">
        <v>742</v>
      </c>
      <c r="H99" s="1" t="s">
        <v>63</v>
      </c>
      <c r="I99" s="1" t="s">
        <v>743</v>
      </c>
      <c r="J99" s="2" t="s">
        <v>265</v>
      </c>
      <c r="K99" s="2" t="s">
        <v>265</v>
      </c>
      <c r="L99" s="3">
        <v>4</v>
      </c>
      <c r="M99" s="3">
        <v>10</v>
      </c>
      <c r="N99" s="4">
        <f t="shared" si="1"/>
        <v>10</v>
      </c>
      <c r="O99" s="1" t="s">
        <v>27</v>
      </c>
      <c r="P99" s="2" t="s">
        <v>744</v>
      </c>
    </row>
    <row r="100" spans="1:16" ht="24" customHeight="1" x14ac:dyDescent="0.3">
      <c r="A100" s="1" t="s">
        <v>745</v>
      </c>
      <c r="B100" s="2" t="s">
        <v>746</v>
      </c>
      <c r="C100" s="2" t="s">
        <v>747</v>
      </c>
      <c r="D100" s="2" t="s">
        <v>748</v>
      </c>
      <c r="E100" s="2" t="s">
        <v>749</v>
      </c>
      <c r="F100" s="2" t="s">
        <v>559</v>
      </c>
      <c r="G100" s="2" t="s">
        <v>750</v>
      </c>
      <c r="H100" s="1" t="s">
        <v>23</v>
      </c>
      <c r="I100" s="1">
        <v>1959</v>
      </c>
      <c r="J100" s="2" t="s">
        <v>751</v>
      </c>
      <c r="K100" s="2" t="s">
        <v>752</v>
      </c>
      <c r="L100" s="3">
        <v>4</v>
      </c>
      <c r="M100" s="3">
        <v>8</v>
      </c>
      <c r="N100" s="4">
        <f t="shared" si="1"/>
        <v>8</v>
      </c>
      <c r="O100" s="1" t="s">
        <v>27</v>
      </c>
      <c r="P100" s="2" t="s">
        <v>753</v>
      </c>
    </row>
    <row r="101" spans="1:16" ht="24" customHeight="1" x14ac:dyDescent="0.3">
      <c r="A101" s="1" t="s">
        <v>754</v>
      </c>
      <c r="B101" s="2" t="s">
        <v>755</v>
      </c>
      <c r="C101" s="2" t="s">
        <v>756</v>
      </c>
      <c r="D101" s="2" t="s">
        <v>103</v>
      </c>
      <c r="E101" s="2" t="s">
        <v>757</v>
      </c>
      <c r="F101" s="2" t="s">
        <v>697</v>
      </c>
      <c r="G101" s="2" t="s">
        <v>758</v>
      </c>
      <c r="H101" s="1" t="s">
        <v>23</v>
      </c>
      <c r="I101" s="1">
        <v>1902</v>
      </c>
      <c r="J101" s="2" t="s">
        <v>759</v>
      </c>
      <c r="K101" s="2" t="s">
        <v>760</v>
      </c>
      <c r="L101" s="3">
        <v>5</v>
      </c>
      <c r="M101" s="3">
        <v>10</v>
      </c>
      <c r="N101" s="4">
        <f t="shared" si="1"/>
        <v>10</v>
      </c>
      <c r="O101" s="1" t="s">
        <v>27</v>
      </c>
      <c r="P101" s="2" t="s">
        <v>761</v>
      </c>
    </row>
    <row r="102" spans="1:16" ht="24" customHeight="1" x14ac:dyDescent="0.3">
      <c r="A102" s="1" t="s">
        <v>770</v>
      </c>
      <c r="B102" s="2" t="s">
        <v>771</v>
      </c>
      <c r="C102" s="2" t="s">
        <v>772</v>
      </c>
      <c r="D102" s="2" t="s">
        <v>773</v>
      </c>
      <c r="E102" s="2" t="s">
        <v>774</v>
      </c>
      <c r="F102" s="2" t="s">
        <v>559</v>
      </c>
      <c r="G102" s="2" t="s">
        <v>775</v>
      </c>
      <c r="H102" s="1" t="s">
        <v>23</v>
      </c>
      <c r="I102" s="1">
        <v>1914</v>
      </c>
      <c r="J102" s="2" t="s">
        <v>776</v>
      </c>
      <c r="K102" s="2" t="s">
        <v>777</v>
      </c>
      <c r="L102" s="3">
        <v>4</v>
      </c>
      <c r="M102" s="3">
        <v>8</v>
      </c>
      <c r="N102" s="4">
        <f t="shared" si="1"/>
        <v>8</v>
      </c>
      <c r="O102" s="1" t="s">
        <v>27</v>
      </c>
      <c r="P102" s="2" t="s">
        <v>778</v>
      </c>
    </row>
    <row r="103" spans="1:16" ht="24" customHeight="1" x14ac:dyDescent="0.3">
      <c r="A103" s="1" t="s">
        <v>762</v>
      </c>
      <c r="B103" s="2" t="s">
        <v>763</v>
      </c>
      <c r="C103" s="2" t="s">
        <v>764</v>
      </c>
      <c r="D103" s="2" t="s">
        <v>765</v>
      </c>
      <c r="E103" s="2" t="s">
        <v>766</v>
      </c>
      <c r="F103" s="2" t="s">
        <v>559</v>
      </c>
      <c r="G103" s="2" t="s">
        <v>767</v>
      </c>
      <c r="H103" s="1" t="s">
        <v>63</v>
      </c>
      <c r="I103" s="1" t="s">
        <v>768</v>
      </c>
      <c r="J103" s="2" t="s">
        <v>265</v>
      </c>
      <c r="K103" s="2" t="s">
        <v>265</v>
      </c>
      <c r="L103" s="3">
        <v>4</v>
      </c>
      <c r="M103" s="3">
        <v>8</v>
      </c>
      <c r="N103" s="4">
        <f t="shared" si="1"/>
        <v>8</v>
      </c>
      <c r="O103" s="1" t="s">
        <v>27</v>
      </c>
      <c r="P103" s="2" t="s">
        <v>769</v>
      </c>
    </row>
    <row r="104" spans="1:16" ht="24" customHeight="1" x14ac:dyDescent="0.3">
      <c r="A104" s="1" t="s">
        <v>779</v>
      </c>
      <c r="B104" s="2" t="s">
        <v>780</v>
      </c>
      <c r="C104" s="2" t="s">
        <v>781</v>
      </c>
      <c r="D104" s="2" t="s">
        <v>782</v>
      </c>
      <c r="E104" s="2" t="s">
        <v>783</v>
      </c>
      <c r="F104" s="2" t="s">
        <v>559</v>
      </c>
      <c r="G104" s="2" t="s">
        <v>784</v>
      </c>
      <c r="H104" s="1" t="s">
        <v>23</v>
      </c>
      <c r="I104" s="1">
        <v>1944</v>
      </c>
      <c r="J104" s="2" t="s">
        <v>785</v>
      </c>
      <c r="K104" s="2" t="s">
        <v>786</v>
      </c>
      <c r="L104" s="3">
        <v>4</v>
      </c>
      <c r="M104" s="3">
        <v>8</v>
      </c>
      <c r="N104" s="4">
        <f t="shared" si="1"/>
        <v>8</v>
      </c>
      <c r="O104" s="1" t="s">
        <v>27</v>
      </c>
      <c r="P104" s="2" t="s">
        <v>787</v>
      </c>
    </row>
    <row r="105" spans="1:16" ht="24" customHeight="1" x14ac:dyDescent="0.3">
      <c r="A105" s="1" t="s">
        <v>788</v>
      </c>
      <c r="B105" s="2" t="s">
        <v>789</v>
      </c>
      <c r="C105" s="2" t="s">
        <v>790</v>
      </c>
      <c r="D105" s="2" t="s">
        <v>791</v>
      </c>
      <c r="E105" s="2" t="s">
        <v>792</v>
      </c>
      <c r="F105" s="2" t="s">
        <v>559</v>
      </c>
      <c r="G105" s="2" t="s">
        <v>793</v>
      </c>
      <c r="H105" s="1" t="s">
        <v>23</v>
      </c>
      <c r="I105" s="1">
        <v>1957</v>
      </c>
      <c r="J105" s="2" t="s">
        <v>794</v>
      </c>
      <c r="K105" s="2" t="s">
        <v>795</v>
      </c>
      <c r="L105" s="3">
        <v>4</v>
      </c>
      <c r="M105" s="3">
        <v>8</v>
      </c>
      <c r="N105" s="4">
        <f t="shared" si="1"/>
        <v>8</v>
      </c>
      <c r="O105" s="1" t="s">
        <v>27</v>
      </c>
      <c r="P105" s="2" t="s">
        <v>796</v>
      </c>
    </row>
    <row r="106" spans="1:16" ht="24" customHeight="1" x14ac:dyDescent="0.3">
      <c r="A106" s="1" t="s">
        <v>797</v>
      </c>
      <c r="B106" s="2" t="s">
        <v>798</v>
      </c>
      <c r="C106" s="2" t="s">
        <v>799</v>
      </c>
      <c r="D106" s="2" t="s">
        <v>467</v>
      </c>
      <c r="E106" s="2" t="s">
        <v>800</v>
      </c>
      <c r="F106" s="2" t="s">
        <v>697</v>
      </c>
      <c r="G106" s="2" t="s">
        <v>801</v>
      </c>
      <c r="H106" s="1" t="s">
        <v>23</v>
      </c>
      <c r="I106" s="1">
        <v>1908</v>
      </c>
      <c r="J106" s="2" t="s">
        <v>802</v>
      </c>
      <c r="K106" s="2" t="s">
        <v>803</v>
      </c>
      <c r="L106" s="3">
        <v>5</v>
      </c>
      <c r="M106" s="3">
        <v>13</v>
      </c>
      <c r="N106" s="4">
        <f t="shared" si="1"/>
        <v>13</v>
      </c>
      <c r="O106" s="1" t="s">
        <v>27</v>
      </c>
      <c r="P106" s="2" t="s">
        <v>804</v>
      </c>
    </row>
    <row r="107" spans="1:16" ht="24" customHeight="1" x14ac:dyDescent="0.3">
      <c r="A107" s="1" t="s">
        <v>805</v>
      </c>
      <c r="B107" s="2" t="s">
        <v>806</v>
      </c>
      <c r="C107" s="2" t="s">
        <v>807</v>
      </c>
      <c r="D107" s="2" t="s">
        <v>808</v>
      </c>
      <c r="E107" s="2" t="s">
        <v>809</v>
      </c>
      <c r="F107" s="2" t="s">
        <v>559</v>
      </c>
      <c r="G107" s="2" t="s">
        <v>810</v>
      </c>
      <c r="H107" s="1" t="s">
        <v>63</v>
      </c>
      <c r="I107" s="1">
        <v>1953</v>
      </c>
      <c r="J107" s="2" t="s">
        <v>811</v>
      </c>
      <c r="K107" s="2" t="s">
        <v>812</v>
      </c>
      <c r="L107" s="3">
        <v>4</v>
      </c>
      <c r="M107" s="3">
        <v>13</v>
      </c>
      <c r="N107" s="4">
        <f t="shared" si="1"/>
        <v>13</v>
      </c>
      <c r="O107" s="1" t="s">
        <v>27</v>
      </c>
      <c r="P107" s="2" t="s">
        <v>813</v>
      </c>
    </row>
    <row r="108" spans="1:16" ht="24" customHeight="1" x14ac:dyDescent="0.3">
      <c r="A108" s="1" t="s">
        <v>814</v>
      </c>
      <c r="B108" s="2" t="s">
        <v>815</v>
      </c>
      <c r="C108" s="2" t="s">
        <v>816</v>
      </c>
      <c r="D108" s="2" t="s">
        <v>817</v>
      </c>
      <c r="E108" s="2" t="s">
        <v>818</v>
      </c>
      <c r="F108" s="2" t="s">
        <v>559</v>
      </c>
      <c r="G108" s="2" t="s">
        <v>819</v>
      </c>
      <c r="H108" s="1" t="s">
        <v>63</v>
      </c>
      <c r="I108" s="1" t="s">
        <v>820</v>
      </c>
      <c r="J108" s="2" t="s">
        <v>265</v>
      </c>
      <c r="K108" s="2" t="s">
        <v>265</v>
      </c>
      <c r="L108" s="3">
        <v>4</v>
      </c>
      <c r="M108" s="3">
        <v>8</v>
      </c>
      <c r="N108" s="4">
        <f t="shared" si="1"/>
        <v>8</v>
      </c>
      <c r="O108" s="1" t="s">
        <v>27</v>
      </c>
      <c r="P108" s="2" t="s">
        <v>821</v>
      </c>
    </row>
    <row r="109" spans="1:16" ht="24" customHeight="1" x14ac:dyDescent="0.3">
      <c r="A109" s="1" t="s">
        <v>822</v>
      </c>
      <c r="B109" s="2" t="s">
        <v>823</v>
      </c>
      <c r="C109" s="2" t="s">
        <v>824</v>
      </c>
      <c r="D109" s="2" t="s">
        <v>19</v>
      </c>
      <c r="E109" s="2" t="s">
        <v>825</v>
      </c>
      <c r="F109" s="2" t="s">
        <v>697</v>
      </c>
      <c r="G109" s="2" t="s">
        <v>826</v>
      </c>
      <c r="H109" s="1" t="s">
        <v>23</v>
      </c>
      <c r="I109" s="1">
        <v>1902</v>
      </c>
      <c r="J109" s="2" t="s">
        <v>827</v>
      </c>
      <c r="K109" s="2" t="s">
        <v>828</v>
      </c>
      <c r="L109" s="3">
        <v>5</v>
      </c>
      <c r="M109" s="3">
        <v>10</v>
      </c>
      <c r="N109" s="4">
        <f t="shared" si="1"/>
        <v>10</v>
      </c>
      <c r="O109" s="1" t="s">
        <v>27</v>
      </c>
      <c r="P109" s="2" t="s">
        <v>829</v>
      </c>
    </row>
    <row r="110" spans="1:16" ht="24" customHeight="1" x14ac:dyDescent="0.3">
      <c r="A110" s="1" t="s">
        <v>830</v>
      </c>
      <c r="B110" s="2" t="s">
        <v>831</v>
      </c>
      <c r="C110" s="2" t="s">
        <v>832</v>
      </c>
      <c r="D110" s="2" t="s">
        <v>40</v>
      </c>
      <c r="E110" s="2" t="s">
        <v>833</v>
      </c>
      <c r="F110" s="2" t="s">
        <v>697</v>
      </c>
      <c r="G110" s="2" t="s">
        <v>834</v>
      </c>
      <c r="H110" s="1" t="s">
        <v>23</v>
      </c>
      <c r="I110" s="1" t="s">
        <v>835</v>
      </c>
      <c r="J110" s="2" t="s">
        <v>836</v>
      </c>
      <c r="K110" s="2" t="s">
        <v>837</v>
      </c>
      <c r="L110" s="3">
        <v>5</v>
      </c>
      <c r="M110" s="3">
        <v>10</v>
      </c>
      <c r="N110" s="4">
        <f t="shared" si="1"/>
        <v>10</v>
      </c>
      <c r="O110" s="1" t="s">
        <v>27</v>
      </c>
      <c r="P110" s="2" t="s">
        <v>838</v>
      </c>
    </row>
    <row r="111" spans="1:16" ht="24" customHeight="1" x14ac:dyDescent="0.3">
      <c r="A111" s="1" t="s">
        <v>839</v>
      </c>
      <c r="B111" s="2" t="s">
        <v>840</v>
      </c>
      <c r="C111" s="2" t="s">
        <v>841</v>
      </c>
      <c r="D111" s="2" t="s">
        <v>842</v>
      </c>
      <c r="E111" s="2" t="s">
        <v>843</v>
      </c>
      <c r="F111" s="2" t="s">
        <v>559</v>
      </c>
      <c r="G111" s="2" t="s">
        <v>844</v>
      </c>
      <c r="H111" s="1" t="s">
        <v>23</v>
      </c>
      <c r="I111" s="1">
        <v>1936</v>
      </c>
      <c r="J111" s="2" t="s">
        <v>845</v>
      </c>
      <c r="K111" s="2" t="s">
        <v>846</v>
      </c>
      <c r="L111" s="3">
        <v>4</v>
      </c>
      <c r="M111" s="3">
        <v>8</v>
      </c>
      <c r="N111" s="4">
        <f t="shared" si="1"/>
        <v>8</v>
      </c>
      <c r="O111" s="1" t="s">
        <v>27</v>
      </c>
      <c r="P111" s="2" t="s">
        <v>847</v>
      </c>
    </row>
    <row r="112" spans="1:16" ht="24" customHeight="1" x14ac:dyDescent="0.3">
      <c r="A112" s="1" t="s">
        <v>848</v>
      </c>
      <c r="B112" s="2" t="s">
        <v>849</v>
      </c>
      <c r="C112" s="2" t="s">
        <v>850</v>
      </c>
      <c r="D112" s="2" t="s">
        <v>19</v>
      </c>
      <c r="E112" s="2" t="s">
        <v>851</v>
      </c>
      <c r="F112" s="2" t="s">
        <v>21</v>
      </c>
      <c r="G112" s="2" t="s">
        <v>852</v>
      </c>
      <c r="H112" s="1" t="s">
        <v>23</v>
      </c>
      <c r="I112" s="1">
        <v>1914</v>
      </c>
      <c r="J112" s="2" t="s">
        <v>853</v>
      </c>
      <c r="K112" s="2" t="s">
        <v>854</v>
      </c>
      <c r="L112" s="3">
        <v>8</v>
      </c>
      <c r="M112" s="3">
        <v>15</v>
      </c>
      <c r="N112" s="4">
        <f t="shared" si="1"/>
        <v>15</v>
      </c>
      <c r="O112" s="1" t="s">
        <v>27</v>
      </c>
      <c r="P112" s="2" t="s">
        <v>855</v>
      </c>
    </row>
    <row r="113" spans="1:16" ht="24" customHeight="1" x14ac:dyDescent="0.3">
      <c r="A113" s="1" t="s">
        <v>856</v>
      </c>
      <c r="B113" s="2" t="s">
        <v>857</v>
      </c>
      <c r="C113" s="2" t="s">
        <v>858</v>
      </c>
      <c r="D113" s="2" t="s">
        <v>773</v>
      </c>
      <c r="E113" s="2" t="s">
        <v>859</v>
      </c>
      <c r="F113" s="2" t="s">
        <v>697</v>
      </c>
      <c r="G113" s="2" t="s">
        <v>860</v>
      </c>
      <c r="H113" s="1" t="s">
        <v>23</v>
      </c>
      <c r="I113" s="1">
        <v>1919</v>
      </c>
      <c r="J113" s="2" t="s">
        <v>861</v>
      </c>
      <c r="K113" s="2" t="s">
        <v>862</v>
      </c>
      <c r="L113" s="3">
        <v>5</v>
      </c>
      <c r="M113" s="3">
        <v>10</v>
      </c>
      <c r="N113" s="4">
        <f t="shared" si="1"/>
        <v>10</v>
      </c>
      <c r="O113" s="1" t="s">
        <v>27</v>
      </c>
      <c r="P113" s="2" t="s">
        <v>863</v>
      </c>
    </row>
    <row r="114" spans="1:16" ht="24" customHeight="1" x14ac:dyDescent="0.3">
      <c r="A114" s="1" t="s">
        <v>864</v>
      </c>
      <c r="B114" s="2" t="s">
        <v>865</v>
      </c>
      <c r="C114" s="2" t="s">
        <v>866</v>
      </c>
      <c r="D114" s="2" t="s">
        <v>867</v>
      </c>
      <c r="E114" s="2" t="s">
        <v>868</v>
      </c>
      <c r="F114" s="2" t="s">
        <v>697</v>
      </c>
      <c r="G114" s="2" t="s">
        <v>869</v>
      </c>
      <c r="H114" s="1" t="s">
        <v>63</v>
      </c>
      <c r="I114" s="1" t="s">
        <v>870</v>
      </c>
      <c r="J114" s="2" t="s">
        <v>265</v>
      </c>
      <c r="K114" s="2" t="s">
        <v>265</v>
      </c>
      <c r="L114" s="3">
        <v>4</v>
      </c>
      <c r="M114" s="3">
        <v>8</v>
      </c>
      <c r="N114" s="4">
        <f t="shared" si="1"/>
        <v>8</v>
      </c>
      <c r="O114" s="1" t="s">
        <v>27</v>
      </c>
      <c r="P114" s="2" t="s">
        <v>871</v>
      </c>
    </row>
    <row r="115" spans="1:16" ht="24" customHeight="1" x14ac:dyDescent="0.3">
      <c r="A115" s="1" t="s">
        <v>879</v>
      </c>
      <c r="B115" s="2" t="s">
        <v>880</v>
      </c>
      <c r="C115" s="2" t="s">
        <v>881</v>
      </c>
      <c r="D115" s="2" t="s">
        <v>867</v>
      </c>
      <c r="E115" s="2" t="s">
        <v>882</v>
      </c>
      <c r="F115" s="2" t="s">
        <v>697</v>
      </c>
      <c r="G115" s="2" t="s">
        <v>883</v>
      </c>
      <c r="H115" s="1" t="s">
        <v>23</v>
      </c>
      <c r="I115" s="1">
        <v>1931</v>
      </c>
      <c r="J115" s="2" t="s">
        <v>884</v>
      </c>
      <c r="K115" s="2" t="s">
        <v>885</v>
      </c>
      <c r="L115" s="3">
        <v>5</v>
      </c>
      <c r="M115" s="3">
        <v>10</v>
      </c>
      <c r="N115" s="4">
        <f t="shared" si="1"/>
        <v>10</v>
      </c>
      <c r="O115" s="1" t="s">
        <v>27</v>
      </c>
      <c r="P115" s="2" t="s">
        <v>886</v>
      </c>
    </row>
    <row r="116" spans="1:16" ht="24" customHeight="1" x14ac:dyDescent="0.3">
      <c r="A116" s="1" t="s">
        <v>872</v>
      </c>
      <c r="B116" s="2" t="s">
        <v>873</v>
      </c>
      <c r="C116" s="2" t="s">
        <v>874</v>
      </c>
      <c r="D116" s="2" t="s">
        <v>467</v>
      </c>
      <c r="E116" s="2" t="s">
        <v>875</v>
      </c>
      <c r="F116" s="2" t="s">
        <v>559</v>
      </c>
      <c r="G116" s="2" t="s">
        <v>876</v>
      </c>
      <c r="H116" s="1" t="s">
        <v>63</v>
      </c>
      <c r="I116" s="1" t="s">
        <v>877</v>
      </c>
      <c r="J116" s="2" t="s">
        <v>265</v>
      </c>
      <c r="K116" s="2" t="s">
        <v>265</v>
      </c>
      <c r="L116" s="3">
        <v>4</v>
      </c>
      <c r="M116" s="3">
        <v>10</v>
      </c>
      <c r="N116" s="4">
        <f t="shared" si="1"/>
        <v>10</v>
      </c>
      <c r="O116" s="1" t="s">
        <v>27</v>
      </c>
      <c r="P116" s="2" t="s">
        <v>878</v>
      </c>
    </row>
    <row r="117" spans="1:16" ht="24" customHeight="1" x14ac:dyDescent="0.3">
      <c r="A117" s="1" t="s">
        <v>887</v>
      </c>
      <c r="B117" s="2" t="s">
        <v>888</v>
      </c>
      <c r="C117" s="2" t="s">
        <v>889</v>
      </c>
      <c r="D117" s="2" t="s">
        <v>890</v>
      </c>
      <c r="E117" s="2" t="s">
        <v>891</v>
      </c>
      <c r="F117" s="2" t="s">
        <v>559</v>
      </c>
      <c r="G117" s="2" t="s">
        <v>892</v>
      </c>
      <c r="H117" s="1" t="s">
        <v>63</v>
      </c>
      <c r="I117" s="1" t="s">
        <v>893</v>
      </c>
      <c r="J117" s="2" t="s">
        <v>265</v>
      </c>
      <c r="K117" s="2" t="s">
        <v>265</v>
      </c>
      <c r="L117" s="3">
        <v>3</v>
      </c>
      <c r="M117" s="3">
        <v>6</v>
      </c>
      <c r="N117" s="4">
        <f t="shared" si="1"/>
        <v>6</v>
      </c>
      <c r="O117" s="1" t="s">
        <v>27</v>
      </c>
      <c r="P117" s="2" t="s">
        <v>894</v>
      </c>
    </row>
    <row r="118" spans="1:16" ht="30" x14ac:dyDescent="0.3">
      <c r="A118" s="1" t="s">
        <v>895</v>
      </c>
      <c r="B118" s="2" t="s">
        <v>896</v>
      </c>
      <c r="C118" s="2" t="s">
        <v>897</v>
      </c>
      <c r="D118" s="2" t="s">
        <v>537</v>
      </c>
      <c r="E118" s="2" t="s">
        <v>898</v>
      </c>
      <c r="F118" s="2" t="s">
        <v>559</v>
      </c>
      <c r="G118" s="2" t="s">
        <v>899</v>
      </c>
      <c r="H118" s="1" t="s">
        <v>63</v>
      </c>
      <c r="I118" s="1" t="s">
        <v>877</v>
      </c>
      <c r="J118" s="2" t="s">
        <v>265</v>
      </c>
      <c r="K118" s="2" t="s">
        <v>265</v>
      </c>
      <c r="L118" s="3">
        <v>4</v>
      </c>
      <c r="M118" s="3">
        <v>8</v>
      </c>
      <c r="N118" s="4">
        <f t="shared" si="1"/>
        <v>8</v>
      </c>
      <c r="O118" s="1" t="s">
        <v>27</v>
      </c>
      <c r="P118" s="2" t="s">
        <v>900</v>
      </c>
    </row>
    <row r="119" spans="1:16" ht="30" x14ac:dyDescent="0.3">
      <c r="A119" s="1" t="s">
        <v>901</v>
      </c>
      <c r="B119" s="2" t="s">
        <v>902</v>
      </c>
      <c r="C119" s="2" t="s">
        <v>903</v>
      </c>
      <c r="D119" s="2" t="s">
        <v>904</v>
      </c>
      <c r="E119" s="2" t="s">
        <v>905</v>
      </c>
      <c r="F119" s="2" t="s">
        <v>697</v>
      </c>
      <c r="G119" s="2" t="s">
        <v>906</v>
      </c>
      <c r="H119" s="1" t="s">
        <v>63</v>
      </c>
      <c r="I119" s="1" t="s">
        <v>907</v>
      </c>
      <c r="J119" s="2" t="s">
        <v>265</v>
      </c>
      <c r="K119" s="2" t="s">
        <v>265</v>
      </c>
      <c r="L119" s="3">
        <v>4</v>
      </c>
      <c r="M119" s="3">
        <v>8</v>
      </c>
      <c r="N119" s="4">
        <f t="shared" si="1"/>
        <v>8</v>
      </c>
      <c r="O119" s="1" t="s">
        <v>27</v>
      </c>
      <c r="P119" s="2" t="s">
        <v>908</v>
      </c>
    </row>
    <row r="120" spans="1:16" ht="24" customHeight="1" x14ac:dyDescent="0.3">
      <c r="A120" s="1" t="s">
        <v>909</v>
      </c>
      <c r="B120" s="2" t="s">
        <v>910</v>
      </c>
      <c r="C120" s="2" t="s">
        <v>911</v>
      </c>
      <c r="D120" s="2" t="s">
        <v>912</v>
      </c>
      <c r="E120" s="2" t="s">
        <v>913</v>
      </c>
      <c r="F120" s="2" t="s">
        <v>697</v>
      </c>
      <c r="G120" s="2" t="s">
        <v>914</v>
      </c>
      <c r="H120" s="1" t="s">
        <v>23</v>
      </c>
      <c r="I120" s="1">
        <v>1959</v>
      </c>
      <c r="J120" s="2" t="s">
        <v>915</v>
      </c>
      <c r="K120" s="2" t="s">
        <v>916</v>
      </c>
      <c r="L120" s="3">
        <v>5</v>
      </c>
      <c r="M120" s="3">
        <v>10</v>
      </c>
      <c r="N120" s="4">
        <f t="shared" si="1"/>
        <v>10</v>
      </c>
      <c r="O120" s="1" t="s">
        <v>27</v>
      </c>
      <c r="P120" s="2" t="s">
        <v>917</v>
      </c>
    </row>
    <row r="121" spans="1:16" ht="24" customHeight="1" x14ac:dyDescent="0.3">
      <c r="A121" s="1" t="s">
        <v>918</v>
      </c>
      <c r="B121" s="2" t="s">
        <v>919</v>
      </c>
      <c r="C121" s="2" t="s">
        <v>920</v>
      </c>
      <c r="D121" s="2" t="s">
        <v>537</v>
      </c>
      <c r="E121" s="2" t="s">
        <v>921</v>
      </c>
      <c r="F121" s="2" t="s">
        <v>697</v>
      </c>
      <c r="G121" s="2" t="s">
        <v>922</v>
      </c>
      <c r="H121" s="1" t="s">
        <v>23</v>
      </c>
      <c r="I121" s="1">
        <v>1903</v>
      </c>
      <c r="J121" s="2" t="s">
        <v>923</v>
      </c>
      <c r="K121" s="2" t="s">
        <v>924</v>
      </c>
      <c r="L121" s="3">
        <v>5</v>
      </c>
      <c r="M121" s="3">
        <v>10</v>
      </c>
      <c r="N121" s="4">
        <f t="shared" si="1"/>
        <v>10</v>
      </c>
      <c r="O121" s="1" t="s">
        <v>27</v>
      </c>
      <c r="P121" s="2" t="s">
        <v>925</v>
      </c>
    </row>
    <row r="122" spans="1:16" ht="24" customHeight="1" x14ac:dyDescent="0.3">
      <c r="A122" s="1" t="s">
        <v>926</v>
      </c>
      <c r="B122" s="2" t="s">
        <v>927</v>
      </c>
      <c r="C122" s="2" t="s">
        <v>928</v>
      </c>
      <c r="D122" s="2" t="s">
        <v>929</v>
      </c>
      <c r="E122" s="2" t="s">
        <v>930</v>
      </c>
      <c r="F122" s="2" t="s">
        <v>697</v>
      </c>
      <c r="G122" s="2" t="s">
        <v>931</v>
      </c>
      <c r="H122" s="1" t="s">
        <v>23</v>
      </c>
      <c r="I122" s="1" t="s">
        <v>265</v>
      </c>
      <c r="J122" s="2" t="s">
        <v>265</v>
      </c>
      <c r="K122" s="2" t="s">
        <v>932</v>
      </c>
      <c r="L122" s="3">
        <v>4</v>
      </c>
      <c r="M122" s="3">
        <v>8</v>
      </c>
      <c r="N122" s="4">
        <f t="shared" si="1"/>
        <v>8</v>
      </c>
      <c r="O122" s="1" t="s">
        <v>27</v>
      </c>
      <c r="P122" s="2" t="s">
        <v>933</v>
      </c>
    </row>
    <row r="123" spans="1:16" ht="45" x14ac:dyDescent="0.3">
      <c r="A123" s="1" t="s">
        <v>934</v>
      </c>
      <c r="B123" s="2" t="s">
        <v>935</v>
      </c>
      <c r="C123" s="2" t="s">
        <v>936</v>
      </c>
      <c r="D123" s="2" t="s">
        <v>40</v>
      </c>
      <c r="E123" s="2" t="s">
        <v>937</v>
      </c>
      <c r="F123" s="2" t="s">
        <v>697</v>
      </c>
      <c r="G123" s="2" t="s">
        <v>938</v>
      </c>
      <c r="H123" s="1" t="s">
        <v>23</v>
      </c>
      <c r="I123" s="1">
        <v>1910</v>
      </c>
      <c r="J123" s="2" t="s">
        <v>939</v>
      </c>
      <c r="K123" s="2" t="s">
        <v>940</v>
      </c>
      <c r="L123" s="3">
        <v>4</v>
      </c>
      <c r="M123" s="3">
        <v>8</v>
      </c>
      <c r="N123" s="4">
        <f t="shared" si="1"/>
        <v>8</v>
      </c>
      <c r="O123" s="1" t="s">
        <v>27</v>
      </c>
      <c r="P123" s="2" t="s">
        <v>941</v>
      </c>
    </row>
    <row r="124" spans="1:16" ht="24" customHeight="1" x14ac:dyDescent="0.3">
      <c r="A124" s="1" t="s">
        <v>942</v>
      </c>
      <c r="B124" s="2" t="s">
        <v>943</v>
      </c>
      <c r="C124" s="2" t="s">
        <v>944</v>
      </c>
      <c r="D124" s="2" t="s">
        <v>945</v>
      </c>
      <c r="E124" s="2" t="s">
        <v>946</v>
      </c>
      <c r="F124" s="2" t="s">
        <v>697</v>
      </c>
      <c r="G124" s="2" t="s">
        <v>947</v>
      </c>
      <c r="H124" s="1" t="s">
        <v>23</v>
      </c>
      <c r="I124" s="1" t="s">
        <v>265</v>
      </c>
      <c r="J124" s="2" t="s">
        <v>265</v>
      </c>
      <c r="K124" s="2" t="s">
        <v>948</v>
      </c>
      <c r="L124" s="3">
        <v>4</v>
      </c>
      <c r="M124" s="3">
        <v>8</v>
      </c>
      <c r="N124" s="4">
        <f t="shared" si="1"/>
        <v>8</v>
      </c>
      <c r="O124" s="1" t="s">
        <v>27</v>
      </c>
      <c r="P124" s="2" t="s">
        <v>949</v>
      </c>
    </row>
    <row r="125" spans="1:16" ht="24" customHeight="1" x14ac:dyDescent="0.3">
      <c r="A125" s="1" t="s">
        <v>950</v>
      </c>
      <c r="B125" s="2" t="s">
        <v>951</v>
      </c>
      <c r="C125" s="2" t="s">
        <v>952</v>
      </c>
      <c r="D125" s="2" t="s">
        <v>953</v>
      </c>
      <c r="E125" s="2" t="s">
        <v>954</v>
      </c>
      <c r="F125" s="2" t="s">
        <v>697</v>
      </c>
      <c r="G125" s="2" t="s">
        <v>955</v>
      </c>
      <c r="H125" s="1" t="s">
        <v>23</v>
      </c>
      <c r="I125" s="1">
        <v>1910</v>
      </c>
      <c r="J125" s="2" t="s">
        <v>956</v>
      </c>
      <c r="K125" s="2" t="s">
        <v>957</v>
      </c>
      <c r="L125" s="3">
        <v>4</v>
      </c>
      <c r="M125" s="3">
        <v>8</v>
      </c>
      <c r="N125" s="4">
        <f t="shared" si="1"/>
        <v>8</v>
      </c>
      <c r="O125" s="1" t="s">
        <v>27</v>
      </c>
      <c r="P125" s="2" t="s">
        <v>958</v>
      </c>
    </row>
    <row r="126" spans="1:16" ht="24" customHeight="1" x14ac:dyDescent="0.3">
      <c r="A126" s="1" t="s">
        <v>959</v>
      </c>
      <c r="B126" s="2" t="s">
        <v>960</v>
      </c>
      <c r="C126" s="2" t="s">
        <v>961</v>
      </c>
      <c r="D126" s="2" t="s">
        <v>962</v>
      </c>
      <c r="E126" s="2" t="s">
        <v>963</v>
      </c>
      <c r="F126" s="2" t="s">
        <v>697</v>
      </c>
      <c r="G126" s="2" t="s">
        <v>964</v>
      </c>
      <c r="H126" s="1" t="s">
        <v>23</v>
      </c>
      <c r="I126" s="1">
        <v>1927</v>
      </c>
      <c r="J126" s="2" t="s">
        <v>965</v>
      </c>
      <c r="K126" s="2" t="s">
        <v>966</v>
      </c>
      <c r="L126" s="3">
        <v>4</v>
      </c>
      <c r="M126" s="3">
        <v>8</v>
      </c>
      <c r="N126" s="4">
        <f t="shared" si="1"/>
        <v>8</v>
      </c>
      <c r="O126" s="1" t="s">
        <v>27</v>
      </c>
      <c r="P126" s="2" t="s">
        <v>967</v>
      </c>
    </row>
    <row r="127" spans="1:16" ht="30" x14ac:dyDescent="0.3">
      <c r="A127" s="1" t="s">
        <v>968</v>
      </c>
      <c r="B127" s="2" t="s">
        <v>969</v>
      </c>
      <c r="C127" s="2" t="s">
        <v>970</v>
      </c>
      <c r="D127" s="2" t="s">
        <v>971</v>
      </c>
      <c r="E127" s="2" t="s">
        <v>972</v>
      </c>
      <c r="F127" s="2" t="s">
        <v>697</v>
      </c>
      <c r="G127" s="2" t="s">
        <v>973</v>
      </c>
      <c r="H127" s="1" t="s">
        <v>23</v>
      </c>
      <c r="I127" s="1">
        <v>1920</v>
      </c>
      <c r="J127" s="2" t="s">
        <v>974</v>
      </c>
      <c r="K127" s="2" t="s">
        <v>975</v>
      </c>
      <c r="L127" s="3">
        <v>4</v>
      </c>
      <c r="M127" s="3">
        <v>8</v>
      </c>
      <c r="N127" s="4">
        <f t="shared" si="1"/>
        <v>8</v>
      </c>
      <c r="O127" s="1" t="s">
        <v>27</v>
      </c>
      <c r="P127" s="2" t="s">
        <v>976</v>
      </c>
    </row>
    <row r="128" spans="1:16" ht="30" x14ac:dyDescent="0.3">
      <c r="A128" s="1" t="s">
        <v>977</v>
      </c>
      <c r="B128" s="2" t="s">
        <v>978</v>
      </c>
      <c r="C128" s="2" t="s">
        <v>979</v>
      </c>
      <c r="D128" s="2" t="s">
        <v>980</v>
      </c>
      <c r="E128" s="2" t="s">
        <v>981</v>
      </c>
      <c r="F128" s="2" t="s">
        <v>697</v>
      </c>
      <c r="G128" s="2" t="s">
        <v>982</v>
      </c>
      <c r="H128" s="1" t="s">
        <v>23</v>
      </c>
      <c r="I128" s="1">
        <v>1942</v>
      </c>
      <c r="J128" s="2" t="s">
        <v>983</v>
      </c>
      <c r="K128" s="2" t="s">
        <v>984</v>
      </c>
      <c r="L128" s="3">
        <v>3</v>
      </c>
      <c r="M128" s="3">
        <v>6</v>
      </c>
      <c r="N128" s="4">
        <f t="shared" si="1"/>
        <v>6</v>
      </c>
      <c r="O128" s="1" t="s">
        <v>27</v>
      </c>
      <c r="P128" s="2" t="s">
        <v>985</v>
      </c>
    </row>
    <row r="129" spans="1:16" ht="24" customHeight="1" x14ac:dyDescent="0.3">
      <c r="A129" s="1" t="s">
        <v>986</v>
      </c>
      <c r="B129" s="2" t="s">
        <v>987</v>
      </c>
      <c r="C129" s="2" t="s">
        <v>988</v>
      </c>
      <c r="D129" s="2" t="s">
        <v>517</v>
      </c>
      <c r="E129" s="2" t="s">
        <v>989</v>
      </c>
      <c r="F129" s="2" t="s">
        <v>697</v>
      </c>
      <c r="G129" s="2" t="s">
        <v>990</v>
      </c>
      <c r="H129" s="1" t="s">
        <v>23</v>
      </c>
      <c r="I129" s="1">
        <v>1915</v>
      </c>
      <c r="J129" s="2" t="s">
        <v>991</v>
      </c>
      <c r="K129" s="2" t="s">
        <v>992</v>
      </c>
      <c r="L129" s="3">
        <v>4</v>
      </c>
      <c r="M129" s="3">
        <v>8</v>
      </c>
      <c r="N129" s="4">
        <f t="shared" si="1"/>
        <v>8</v>
      </c>
      <c r="O129" s="1" t="s">
        <v>27</v>
      </c>
      <c r="P129" s="2" t="s">
        <v>993</v>
      </c>
    </row>
    <row r="130" spans="1:16" ht="30" x14ac:dyDescent="0.3">
      <c r="A130" s="1" t="s">
        <v>994</v>
      </c>
      <c r="B130" s="2" t="s">
        <v>995</v>
      </c>
      <c r="C130" s="2" t="s">
        <v>996</v>
      </c>
      <c r="D130" s="2" t="s">
        <v>537</v>
      </c>
      <c r="E130" s="2" t="s">
        <v>997</v>
      </c>
      <c r="F130" s="2" t="s">
        <v>697</v>
      </c>
      <c r="G130" s="2" t="s">
        <v>998</v>
      </c>
      <c r="H130" s="1" t="s">
        <v>23</v>
      </c>
      <c r="I130" s="1">
        <v>1953</v>
      </c>
      <c r="J130" s="2" t="s">
        <v>999</v>
      </c>
      <c r="K130" s="2" t="s">
        <v>1000</v>
      </c>
      <c r="L130" s="3">
        <v>3</v>
      </c>
      <c r="M130" s="3">
        <v>6</v>
      </c>
      <c r="N130" s="4">
        <f t="shared" ref="N130:N193" si="2">MAX(L130,M130)</f>
        <v>6</v>
      </c>
      <c r="O130" s="1" t="s">
        <v>27</v>
      </c>
      <c r="P130" s="2" t="s">
        <v>1001</v>
      </c>
    </row>
    <row r="131" spans="1:16" ht="24" customHeight="1" x14ac:dyDescent="0.3">
      <c r="A131" s="1" t="s">
        <v>1002</v>
      </c>
      <c r="B131" s="2" t="s">
        <v>1020</v>
      </c>
      <c r="C131" s="2" t="s">
        <v>1021</v>
      </c>
      <c r="D131" s="2" t="s">
        <v>19</v>
      </c>
      <c r="E131" s="2" t="s">
        <v>1022</v>
      </c>
      <c r="F131" s="2" t="s">
        <v>697</v>
      </c>
      <c r="G131" s="2" t="s">
        <v>1023</v>
      </c>
      <c r="H131" s="1" t="s">
        <v>23</v>
      </c>
      <c r="I131" s="1">
        <v>1909</v>
      </c>
      <c r="J131" s="2" t="s">
        <v>1024</v>
      </c>
      <c r="K131" s="2" t="s">
        <v>1025</v>
      </c>
      <c r="L131" s="3">
        <v>5</v>
      </c>
      <c r="M131" s="3">
        <v>10</v>
      </c>
      <c r="N131" s="4">
        <f t="shared" si="2"/>
        <v>10</v>
      </c>
      <c r="O131" s="1" t="s">
        <v>27</v>
      </c>
      <c r="P131" s="2" t="s">
        <v>1026</v>
      </c>
    </row>
    <row r="132" spans="1:16" ht="24" customHeight="1" x14ac:dyDescent="0.3">
      <c r="A132" s="1" t="s">
        <v>1003</v>
      </c>
      <c r="B132" s="2" t="s">
        <v>1027</v>
      </c>
      <c r="C132" s="2" t="s">
        <v>1028</v>
      </c>
      <c r="D132" s="2" t="s">
        <v>1029</v>
      </c>
      <c r="E132" s="2" t="s">
        <v>1030</v>
      </c>
      <c r="F132" s="2" t="s">
        <v>697</v>
      </c>
      <c r="G132" s="2" t="s">
        <v>1031</v>
      </c>
      <c r="H132" s="1" t="s">
        <v>23</v>
      </c>
      <c r="I132" s="1">
        <v>1902</v>
      </c>
      <c r="J132" s="2" t="s">
        <v>1032</v>
      </c>
      <c r="K132" s="2" t="s">
        <v>1033</v>
      </c>
      <c r="L132" s="3">
        <v>4</v>
      </c>
      <c r="M132" s="3">
        <v>8</v>
      </c>
      <c r="N132" s="4">
        <f t="shared" si="2"/>
        <v>8</v>
      </c>
      <c r="O132" s="1" t="s">
        <v>27</v>
      </c>
      <c r="P132" s="2" t="s">
        <v>1034</v>
      </c>
    </row>
    <row r="133" spans="1:16" ht="30" x14ac:dyDescent="0.3">
      <c r="A133" s="1" t="s">
        <v>1004</v>
      </c>
      <c r="B133" s="2" t="s">
        <v>1035</v>
      </c>
      <c r="C133" s="2" t="s">
        <v>1036</v>
      </c>
      <c r="D133" s="2" t="s">
        <v>19</v>
      </c>
      <c r="E133" s="2" t="s">
        <v>1037</v>
      </c>
      <c r="F133" s="2" t="s">
        <v>697</v>
      </c>
      <c r="G133" s="2" t="s">
        <v>1038</v>
      </c>
      <c r="H133" s="1" t="s">
        <v>23</v>
      </c>
      <c r="I133" s="1">
        <v>1903</v>
      </c>
      <c r="J133" s="2" t="s">
        <v>1039</v>
      </c>
      <c r="K133" s="2" t="s">
        <v>1040</v>
      </c>
      <c r="L133" s="3">
        <v>5</v>
      </c>
      <c r="M133" s="3">
        <v>10</v>
      </c>
      <c r="N133" s="4">
        <f t="shared" si="2"/>
        <v>10</v>
      </c>
      <c r="O133" s="1" t="s">
        <v>27</v>
      </c>
      <c r="P133" s="2" t="s">
        <v>1041</v>
      </c>
    </row>
    <row r="134" spans="1:16" ht="24" customHeight="1" x14ac:dyDescent="0.3">
      <c r="A134" s="1" t="s">
        <v>1005</v>
      </c>
      <c r="B134" s="2" t="s">
        <v>1042</v>
      </c>
      <c r="C134" s="2" t="s">
        <v>1043</v>
      </c>
      <c r="D134" s="2" t="s">
        <v>40</v>
      </c>
      <c r="E134" s="2" t="s">
        <v>1044</v>
      </c>
      <c r="F134" s="2" t="s">
        <v>61</v>
      </c>
      <c r="G134" s="2" t="s">
        <v>1045</v>
      </c>
      <c r="H134" s="1" t="s">
        <v>63</v>
      </c>
      <c r="I134" s="1">
        <v>1906</v>
      </c>
      <c r="J134" s="2" t="s">
        <v>1047</v>
      </c>
      <c r="K134" s="2" t="s">
        <v>1047</v>
      </c>
      <c r="L134" s="3">
        <v>8</v>
      </c>
      <c r="M134" s="3">
        <v>19</v>
      </c>
      <c r="N134" s="4">
        <f t="shared" si="2"/>
        <v>19</v>
      </c>
      <c r="O134" s="1" t="s">
        <v>27</v>
      </c>
      <c r="P134" s="2" t="s">
        <v>1046</v>
      </c>
    </row>
    <row r="135" spans="1:16" ht="24" customHeight="1" x14ac:dyDescent="0.3">
      <c r="A135" s="1" t="s">
        <v>1006</v>
      </c>
      <c r="B135" s="2" t="s">
        <v>1048</v>
      </c>
      <c r="C135" s="2" t="s">
        <v>1028</v>
      </c>
      <c r="D135" s="2" t="s">
        <v>19</v>
      </c>
      <c r="E135" s="2" t="s">
        <v>1049</v>
      </c>
      <c r="F135" s="2" t="s">
        <v>697</v>
      </c>
      <c r="G135" s="2" t="s">
        <v>1050</v>
      </c>
      <c r="H135" s="1" t="s">
        <v>23</v>
      </c>
      <c r="I135" s="1">
        <v>1900</v>
      </c>
      <c r="J135" s="2" t="s">
        <v>1051</v>
      </c>
      <c r="K135" s="2" t="s">
        <v>1052</v>
      </c>
      <c r="L135" s="3">
        <v>4</v>
      </c>
      <c r="M135" s="3">
        <v>8</v>
      </c>
      <c r="N135" s="4">
        <f t="shared" si="2"/>
        <v>8</v>
      </c>
      <c r="O135" s="1" t="s">
        <v>27</v>
      </c>
      <c r="P135" s="2" t="s">
        <v>1053</v>
      </c>
    </row>
    <row r="136" spans="1:16" ht="24" customHeight="1" x14ac:dyDescent="0.3">
      <c r="A136" s="1" t="s">
        <v>1007</v>
      </c>
      <c r="B136" s="2" t="s">
        <v>1054</v>
      </c>
      <c r="C136" s="2" t="s">
        <v>132</v>
      </c>
      <c r="D136" s="2" t="s">
        <v>19</v>
      </c>
      <c r="E136" s="2" t="s">
        <v>1022</v>
      </c>
      <c r="F136" s="2" t="s">
        <v>697</v>
      </c>
      <c r="G136" s="2" t="s">
        <v>1055</v>
      </c>
      <c r="H136" s="1" t="s">
        <v>23</v>
      </c>
      <c r="I136" s="1">
        <v>1902</v>
      </c>
      <c r="J136" s="2" t="s">
        <v>1056</v>
      </c>
      <c r="K136" s="2" t="s">
        <v>1040</v>
      </c>
      <c r="L136" s="3">
        <v>5</v>
      </c>
      <c r="M136" s="3">
        <v>10</v>
      </c>
      <c r="N136" s="4">
        <f t="shared" si="2"/>
        <v>10</v>
      </c>
      <c r="O136" s="1" t="s">
        <v>27</v>
      </c>
      <c r="P136" s="2" t="s">
        <v>1057</v>
      </c>
    </row>
    <row r="137" spans="1:16" ht="24" customHeight="1" x14ac:dyDescent="0.3">
      <c r="A137" s="1" t="s">
        <v>1008</v>
      </c>
      <c r="B137" s="2" t="s">
        <v>831</v>
      </c>
      <c r="C137" s="2" t="s">
        <v>1058</v>
      </c>
      <c r="D137" s="2" t="s">
        <v>40</v>
      </c>
      <c r="E137" s="2" t="s">
        <v>1059</v>
      </c>
      <c r="F137" s="2" t="s">
        <v>697</v>
      </c>
      <c r="G137" s="2" t="s">
        <v>1060</v>
      </c>
      <c r="H137" s="1" t="s">
        <v>23</v>
      </c>
      <c r="I137" s="1">
        <v>1905</v>
      </c>
      <c r="J137" s="2" t="s">
        <v>1061</v>
      </c>
      <c r="K137" s="2" t="s">
        <v>1062</v>
      </c>
      <c r="L137" s="3">
        <v>4</v>
      </c>
      <c r="M137" s="3">
        <v>8</v>
      </c>
      <c r="N137" s="4">
        <f t="shared" si="2"/>
        <v>8</v>
      </c>
      <c r="O137" s="1" t="s">
        <v>27</v>
      </c>
      <c r="P137" s="2" t="s">
        <v>1063</v>
      </c>
    </row>
    <row r="138" spans="1:16" ht="24" customHeight="1" x14ac:dyDescent="0.3">
      <c r="A138" s="1" t="s">
        <v>1009</v>
      </c>
      <c r="B138" s="2" t="s">
        <v>1064</v>
      </c>
      <c r="C138" s="2" t="s">
        <v>1065</v>
      </c>
      <c r="D138" s="2" t="s">
        <v>40</v>
      </c>
      <c r="E138" s="2" t="s">
        <v>1066</v>
      </c>
      <c r="F138" s="2" t="s">
        <v>61</v>
      </c>
      <c r="G138" s="2" t="s">
        <v>1067</v>
      </c>
      <c r="H138" s="1" t="s">
        <v>63</v>
      </c>
      <c r="I138" s="1">
        <v>1905</v>
      </c>
      <c r="J138" s="2"/>
      <c r="K138" s="2"/>
      <c r="L138" s="3">
        <v>4</v>
      </c>
      <c r="M138" s="3">
        <v>8</v>
      </c>
      <c r="N138" s="4">
        <f t="shared" si="2"/>
        <v>8</v>
      </c>
      <c r="O138" s="1" t="s">
        <v>27</v>
      </c>
      <c r="P138" s="2" t="s">
        <v>1068</v>
      </c>
    </row>
    <row r="139" spans="1:16" ht="24" customHeight="1" x14ac:dyDescent="0.3">
      <c r="A139" s="1" t="s">
        <v>1010</v>
      </c>
      <c r="B139" s="2" t="s">
        <v>1069</v>
      </c>
      <c r="C139" s="2" t="s">
        <v>1070</v>
      </c>
      <c r="D139" s="2" t="s">
        <v>40</v>
      </c>
      <c r="E139" s="2" t="s">
        <v>1071</v>
      </c>
      <c r="F139" s="2" t="s">
        <v>697</v>
      </c>
      <c r="G139" s="2" t="s">
        <v>1072</v>
      </c>
      <c r="H139" s="1" t="s">
        <v>23</v>
      </c>
      <c r="I139" s="1">
        <v>1913</v>
      </c>
      <c r="J139" s="2" t="s">
        <v>1073</v>
      </c>
      <c r="K139" s="2" t="s">
        <v>1074</v>
      </c>
      <c r="L139" s="3">
        <v>4</v>
      </c>
      <c r="M139" s="3">
        <v>8</v>
      </c>
      <c r="N139" s="4">
        <f t="shared" si="2"/>
        <v>8</v>
      </c>
      <c r="O139" s="1" t="s">
        <v>27</v>
      </c>
      <c r="P139" s="2" t="s">
        <v>1075</v>
      </c>
    </row>
    <row r="140" spans="1:16" ht="24" customHeight="1" x14ac:dyDescent="0.3">
      <c r="A140" s="1" t="s">
        <v>1011</v>
      </c>
      <c r="B140" s="2" t="s">
        <v>1076</v>
      </c>
      <c r="C140" s="2" t="s">
        <v>1077</v>
      </c>
      <c r="D140" s="2" t="s">
        <v>19</v>
      </c>
      <c r="E140" s="2" t="s">
        <v>1078</v>
      </c>
      <c r="F140" s="2" t="s">
        <v>697</v>
      </c>
      <c r="G140" s="2" t="s">
        <v>1079</v>
      </c>
      <c r="H140" s="1" t="s">
        <v>23</v>
      </c>
      <c r="I140" s="1">
        <v>1922</v>
      </c>
      <c r="J140" s="2" t="s">
        <v>1080</v>
      </c>
      <c r="K140" s="2" t="s">
        <v>1081</v>
      </c>
      <c r="L140" s="3">
        <v>4</v>
      </c>
      <c r="M140" s="3">
        <v>8</v>
      </c>
      <c r="N140" s="4">
        <f t="shared" si="2"/>
        <v>8</v>
      </c>
      <c r="O140" s="1" t="s">
        <v>27</v>
      </c>
      <c r="P140" s="2" t="s">
        <v>1082</v>
      </c>
    </row>
    <row r="141" spans="1:16" ht="24" customHeight="1" x14ac:dyDescent="0.3">
      <c r="A141" s="1" t="s">
        <v>1012</v>
      </c>
      <c r="B141" s="2" t="s">
        <v>1083</v>
      </c>
      <c r="C141" s="2" t="s">
        <v>1084</v>
      </c>
      <c r="D141" s="2" t="s">
        <v>19</v>
      </c>
      <c r="E141" s="2" t="s">
        <v>1085</v>
      </c>
      <c r="F141" s="2" t="s">
        <v>697</v>
      </c>
      <c r="G141" s="2" t="s">
        <v>1086</v>
      </c>
      <c r="H141" s="1" t="s">
        <v>23</v>
      </c>
      <c r="I141" s="1">
        <v>1931</v>
      </c>
      <c r="J141" s="2" t="s">
        <v>1087</v>
      </c>
      <c r="K141" s="2" t="s">
        <v>1088</v>
      </c>
      <c r="L141" s="3">
        <v>4</v>
      </c>
      <c r="M141" s="3">
        <v>8</v>
      </c>
      <c r="N141" s="4">
        <f t="shared" si="2"/>
        <v>8</v>
      </c>
      <c r="O141" s="1" t="s">
        <v>27</v>
      </c>
      <c r="P141" s="2" t="s">
        <v>1089</v>
      </c>
    </row>
    <row r="142" spans="1:16" ht="24" customHeight="1" x14ac:dyDescent="0.3">
      <c r="A142" s="1" t="s">
        <v>1013</v>
      </c>
      <c r="B142" s="2" t="s">
        <v>1090</v>
      </c>
      <c r="C142" s="2" t="s">
        <v>1091</v>
      </c>
      <c r="D142" s="2" t="s">
        <v>1092</v>
      </c>
      <c r="E142" s="2" t="s">
        <v>1093</v>
      </c>
      <c r="F142" s="2" t="s">
        <v>697</v>
      </c>
      <c r="G142" s="2" t="s">
        <v>1094</v>
      </c>
      <c r="H142" s="1" t="s">
        <v>23</v>
      </c>
      <c r="I142" s="1">
        <v>1904</v>
      </c>
      <c r="J142" s="2" t="s">
        <v>1095</v>
      </c>
      <c r="K142" s="2" t="s">
        <v>1096</v>
      </c>
      <c r="L142" s="3">
        <v>4</v>
      </c>
      <c r="M142" s="3">
        <v>8</v>
      </c>
      <c r="N142" s="4">
        <f t="shared" si="2"/>
        <v>8</v>
      </c>
      <c r="O142" s="1" t="s">
        <v>27</v>
      </c>
      <c r="P142" s="2" t="s">
        <v>1097</v>
      </c>
    </row>
    <row r="143" spans="1:16" ht="24" customHeight="1" x14ac:dyDescent="0.3">
      <c r="A143" s="1" t="s">
        <v>1014</v>
      </c>
      <c r="B143" s="2" t="s">
        <v>1098</v>
      </c>
      <c r="C143" s="2" t="s">
        <v>1099</v>
      </c>
      <c r="D143" s="2" t="s">
        <v>255</v>
      </c>
      <c r="E143" s="2" t="s">
        <v>1100</v>
      </c>
      <c r="F143" s="2" t="s">
        <v>697</v>
      </c>
      <c r="G143" s="2" t="s">
        <v>1101</v>
      </c>
      <c r="H143" s="1" t="s">
        <v>23</v>
      </c>
      <c r="I143" s="1">
        <v>1908</v>
      </c>
      <c r="J143" s="2" t="s">
        <v>1102</v>
      </c>
      <c r="K143" s="2" t="s">
        <v>1103</v>
      </c>
      <c r="L143" s="3">
        <v>4</v>
      </c>
      <c r="M143" s="3">
        <v>8</v>
      </c>
      <c r="N143" s="4">
        <f t="shared" si="2"/>
        <v>8</v>
      </c>
      <c r="O143" s="1" t="s">
        <v>27</v>
      </c>
      <c r="P143" s="2" t="s">
        <v>1104</v>
      </c>
    </row>
    <row r="144" spans="1:16" ht="24" customHeight="1" x14ac:dyDescent="0.3">
      <c r="A144" s="1" t="s">
        <v>1015</v>
      </c>
      <c r="B144" s="2" t="s">
        <v>1105</v>
      </c>
      <c r="C144" s="2" t="s">
        <v>1106</v>
      </c>
      <c r="D144" s="2" t="s">
        <v>1107</v>
      </c>
      <c r="E144" s="2" t="s">
        <v>1108</v>
      </c>
      <c r="F144" s="2" t="s">
        <v>61</v>
      </c>
      <c r="G144" s="2" t="s">
        <v>1109</v>
      </c>
      <c r="H144" s="1" t="s">
        <v>63</v>
      </c>
      <c r="I144" s="1">
        <v>1910</v>
      </c>
      <c r="J144" s="2"/>
      <c r="K144" s="2" t="s">
        <v>1047</v>
      </c>
      <c r="L144" s="3">
        <v>8</v>
      </c>
      <c r="M144" s="3">
        <v>14</v>
      </c>
      <c r="N144" s="4">
        <f t="shared" si="2"/>
        <v>14</v>
      </c>
      <c r="O144" s="1" t="s">
        <v>27</v>
      </c>
      <c r="P144" s="2" t="s">
        <v>1110</v>
      </c>
    </row>
    <row r="145" spans="1:17" ht="24" customHeight="1" x14ac:dyDescent="0.3">
      <c r="A145" s="1" t="s">
        <v>1016</v>
      </c>
      <c r="B145" s="2" t="s">
        <v>1111</v>
      </c>
      <c r="C145" s="2" t="s">
        <v>1112</v>
      </c>
      <c r="D145" s="2" t="s">
        <v>103</v>
      </c>
      <c r="E145" s="2" t="s">
        <v>1113</v>
      </c>
      <c r="F145" s="2" t="s">
        <v>61</v>
      </c>
      <c r="G145" s="2" t="s">
        <v>1114</v>
      </c>
      <c r="H145" s="1" t="s">
        <v>63</v>
      </c>
      <c r="I145" s="1">
        <v>1935</v>
      </c>
      <c r="J145" s="2"/>
      <c r="K145" s="2"/>
      <c r="L145" s="3">
        <v>3</v>
      </c>
      <c r="M145" s="3">
        <v>6</v>
      </c>
      <c r="N145" s="4">
        <f t="shared" si="2"/>
        <v>6</v>
      </c>
      <c r="O145" s="1" t="s">
        <v>27</v>
      </c>
      <c r="P145" s="2" t="s">
        <v>1115</v>
      </c>
      <c r="Q145" s="2"/>
    </row>
    <row r="146" spans="1:17" ht="30" x14ac:dyDescent="0.3">
      <c r="A146" s="1" t="s">
        <v>1017</v>
      </c>
      <c r="B146" s="2" t="s">
        <v>1116</v>
      </c>
      <c r="C146" s="2" t="s">
        <v>1117</v>
      </c>
      <c r="D146" s="2" t="s">
        <v>1107</v>
      </c>
      <c r="E146" s="2" t="s">
        <v>1118</v>
      </c>
      <c r="F146" s="2" t="s">
        <v>61</v>
      </c>
      <c r="G146" s="2" t="s">
        <v>1119</v>
      </c>
      <c r="H146" s="1" t="s">
        <v>63</v>
      </c>
      <c r="I146" s="1">
        <v>1931</v>
      </c>
      <c r="J146" s="2"/>
      <c r="K146" s="2"/>
      <c r="L146" s="3">
        <v>2.5</v>
      </c>
      <c r="M146" s="3">
        <v>5</v>
      </c>
      <c r="N146" s="4">
        <f t="shared" si="2"/>
        <v>5</v>
      </c>
      <c r="O146" s="1" t="s">
        <v>27</v>
      </c>
      <c r="P146" s="2" t="s">
        <v>1120</v>
      </c>
    </row>
    <row r="147" spans="1:17" ht="30" x14ac:dyDescent="0.3">
      <c r="A147" s="1" t="s">
        <v>1018</v>
      </c>
      <c r="B147" s="2" t="s">
        <v>1121</v>
      </c>
      <c r="C147" s="2" t="s">
        <v>1122</v>
      </c>
      <c r="D147" s="2" t="s">
        <v>1123</v>
      </c>
      <c r="E147" s="2" t="s">
        <v>1124</v>
      </c>
      <c r="F147" s="2" t="s">
        <v>1125</v>
      </c>
      <c r="G147" s="2" t="s">
        <v>1126</v>
      </c>
      <c r="H147" s="1" t="s">
        <v>23</v>
      </c>
      <c r="I147" s="1">
        <v>1965</v>
      </c>
      <c r="J147" s="2" t="s">
        <v>1127</v>
      </c>
      <c r="K147" s="2" t="s">
        <v>1128</v>
      </c>
      <c r="L147" s="3">
        <v>3</v>
      </c>
      <c r="M147" s="3">
        <v>6</v>
      </c>
      <c r="N147" s="4">
        <f t="shared" si="2"/>
        <v>6</v>
      </c>
      <c r="O147" s="1" t="s">
        <v>27</v>
      </c>
      <c r="P147" s="2" t="s">
        <v>1129</v>
      </c>
    </row>
    <row r="148" spans="1:17" ht="30" x14ac:dyDescent="0.3">
      <c r="A148" s="1" t="s">
        <v>1019</v>
      </c>
      <c r="B148" s="2" t="s">
        <v>1130</v>
      </c>
      <c r="C148" s="2" t="s">
        <v>1131</v>
      </c>
      <c r="D148" s="2" t="s">
        <v>639</v>
      </c>
      <c r="E148" s="2" t="s">
        <v>1132</v>
      </c>
      <c r="F148" s="2" t="s">
        <v>1125</v>
      </c>
      <c r="G148" s="2" t="s">
        <v>1133</v>
      </c>
      <c r="H148" s="1" t="s">
        <v>23</v>
      </c>
      <c r="I148" s="1">
        <v>1901</v>
      </c>
      <c r="J148" s="2" t="s">
        <v>1134</v>
      </c>
      <c r="K148" s="2" t="s">
        <v>1135</v>
      </c>
      <c r="L148" s="3">
        <v>4</v>
      </c>
      <c r="M148" s="3">
        <v>8</v>
      </c>
      <c r="N148" s="4">
        <f t="shared" si="2"/>
        <v>8</v>
      </c>
      <c r="O148" s="1" t="s">
        <v>27</v>
      </c>
      <c r="P148" s="2" t="s">
        <v>1136</v>
      </c>
    </row>
    <row r="149" spans="1:17" ht="24" customHeight="1" x14ac:dyDescent="0.3">
      <c r="A149" s="1" t="s">
        <v>1137</v>
      </c>
      <c r="B149" s="2" t="s">
        <v>1138</v>
      </c>
      <c r="C149" s="2" t="s">
        <v>1139</v>
      </c>
      <c r="D149" s="2" t="s">
        <v>40</v>
      </c>
      <c r="E149" s="2" t="s">
        <v>1140</v>
      </c>
      <c r="F149" s="2" t="s">
        <v>61</v>
      </c>
      <c r="G149" s="2" t="s">
        <v>1141</v>
      </c>
      <c r="H149" s="1" t="s">
        <v>23</v>
      </c>
      <c r="I149" s="1">
        <v>1971</v>
      </c>
      <c r="J149" s="2" t="s">
        <v>1142</v>
      </c>
      <c r="K149" s="2"/>
      <c r="L149" s="3">
        <v>2.5</v>
      </c>
      <c r="M149" s="3">
        <v>5</v>
      </c>
      <c r="N149" s="4">
        <f t="shared" si="2"/>
        <v>5</v>
      </c>
      <c r="O149" s="1" t="s">
        <v>27</v>
      </c>
      <c r="P149" s="2" t="s">
        <v>1143</v>
      </c>
    </row>
    <row r="150" spans="1:17" ht="30" x14ac:dyDescent="0.3">
      <c r="A150" s="1" t="s">
        <v>1144</v>
      </c>
      <c r="B150" s="2" t="s">
        <v>1111</v>
      </c>
      <c r="C150" s="2" t="s">
        <v>1145</v>
      </c>
      <c r="D150" s="2" t="s">
        <v>1146</v>
      </c>
      <c r="E150" s="2" t="s">
        <v>1151</v>
      </c>
      <c r="F150" s="2" t="s">
        <v>1147</v>
      </c>
      <c r="G150" s="2" t="s">
        <v>1148</v>
      </c>
      <c r="H150" s="1" t="s">
        <v>63</v>
      </c>
      <c r="I150" s="1" t="s">
        <v>1149</v>
      </c>
      <c r="J150" s="2"/>
      <c r="K150" s="2"/>
      <c r="L150" s="3">
        <v>2</v>
      </c>
      <c r="M150" s="3">
        <v>9</v>
      </c>
      <c r="N150" s="4">
        <f t="shared" si="2"/>
        <v>9</v>
      </c>
      <c r="O150" s="1" t="s">
        <v>27</v>
      </c>
      <c r="P150" s="2" t="s">
        <v>1150</v>
      </c>
    </row>
    <row r="151" spans="1:17" ht="30" x14ac:dyDescent="0.3">
      <c r="A151" s="1" t="s">
        <v>1152</v>
      </c>
      <c r="B151" s="2" t="s">
        <v>1153</v>
      </c>
      <c r="C151" s="2" t="s">
        <v>1154</v>
      </c>
      <c r="D151" s="2" t="s">
        <v>1155</v>
      </c>
      <c r="E151" s="2" t="s">
        <v>1156</v>
      </c>
      <c r="F151" s="2" t="s">
        <v>61</v>
      </c>
      <c r="G151" s="2" t="s">
        <v>1157</v>
      </c>
      <c r="H151" s="1" t="s">
        <v>63</v>
      </c>
      <c r="I151" s="1">
        <v>1955</v>
      </c>
      <c r="J151" s="2"/>
      <c r="K151" s="2"/>
      <c r="L151" s="3">
        <v>3</v>
      </c>
      <c r="M151" s="3">
        <v>10</v>
      </c>
      <c r="N151" s="4">
        <f t="shared" si="2"/>
        <v>10</v>
      </c>
      <c r="O151" s="1" t="s">
        <v>27</v>
      </c>
      <c r="P151" s="2" t="s">
        <v>1158</v>
      </c>
    </row>
    <row r="152" spans="1:17" ht="30" x14ac:dyDescent="0.3">
      <c r="A152" s="1" t="s">
        <v>1159</v>
      </c>
      <c r="B152" s="2" t="s">
        <v>1160</v>
      </c>
      <c r="C152" s="2" t="s">
        <v>1161</v>
      </c>
      <c r="D152" s="2" t="s">
        <v>1162</v>
      </c>
      <c r="E152" s="2" t="s">
        <v>1163</v>
      </c>
      <c r="F152" s="2" t="s">
        <v>1125</v>
      </c>
      <c r="G152" s="2" t="s">
        <v>1164</v>
      </c>
      <c r="H152" s="1" t="s">
        <v>23</v>
      </c>
      <c r="I152" s="1" t="s">
        <v>1165</v>
      </c>
      <c r="J152" s="2" t="s">
        <v>1166</v>
      </c>
      <c r="K152" s="2" t="s">
        <v>1167</v>
      </c>
      <c r="L152" s="3">
        <v>4</v>
      </c>
      <c r="M152" s="3">
        <v>10</v>
      </c>
      <c r="N152" s="4">
        <f t="shared" si="2"/>
        <v>10</v>
      </c>
      <c r="O152" s="1" t="s">
        <v>27</v>
      </c>
      <c r="P152" s="2" t="s">
        <v>1168</v>
      </c>
    </row>
    <row r="153" spans="1:17" ht="30" x14ac:dyDescent="0.3">
      <c r="A153" s="1" t="s">
        <v>1169</v>
      </c>
      <c r="B153" s="2" t="s">
        <v>1170</v>
      </c>
      <c r="C153" s="2" t="s">
        <v>1171</v>
      </c>
      <c r="D153" s="2" t="s">
        <v>1172</v>
      </c>
      <c r="E153" s="2" t="s">
        <v>1173</v>
      </c>
      <c r="F153" s="2" t="s">
        <v>1125</v>
      </c>
      <c r="G153" s="2" t="s">
        <v>1174</v>
      </c>
      <c r="H153" s="1" t="s">
        <v>23</v>
      </c>
      <c r="I153" s="1">
        <v>1959</v>
      </c>
      <c r="J153" s="2" t="s">
        <v>1175</v>
      </c>
      <c r="K153" s="2" t="s">
        <v>1176</v>
      </c>
      <c r="L153" s="3">
        <v>3</v>
      </c>
      <c r="M153" s="3">
        <v>10</v>
      </c>
      <c r="N153" s="4">
        <f t="shared" si="2"/>
        <v>10</v>
      </c>
      <c r="O153" s="1" t="s">
        <v>27</v>
      </c>
      <c r="P153" s="2" t="s">
        <v>1177</v>
      </c>
    </row>
    <row r="154" spans="1:17" ht="30" x14ac:dyDescent="0.3">
      <c r="A154" s="1" t="s">
        <v>1178</v>
      </c>
      <c r="B154" s="2" t="s">
        <v>1181</v>
      </c>
      <c r="C154" s="2" t="s">
        <v>1182</v>
      </c>
      <c r="D154" s="2" t="s">
        <v>1183</v>
      </c>
      <c r="E154" s="2" t="s">
        <v>1184</v>
      </c>
      <c r="F154" s="2" t="s">
        <v>1185</v>
      </c>
      <c r="G154" s="2" t="s">
        <v>1186</v>
      </c>
      <c r="H154" s="1" t="s">
        <v>63</v>
      </c>
      <c r="I154" s="1" t="s">
        <v>1187</v>
      </c>
      <c r="J154" s="2" t="s">
        <v>1188</v>
      </c>
      <c r="K154" s="2" t="s">
        <v>1189</v>
      </c>
      <c r="L154" s="3">
        <v>3</v>
      </c>
      <c r="M154" s="3">
        <v>9</v>
      </c>
      <c r="N154" s="4">
        <f t="shared" si="2"/>
        <v>9</v>
      </c>
      <c r="O154" s="1" t="s">
        <v>27</v>
      </c>
      <c r="P154" s="2" t="s">
        <v>1190</v>
      </c>
    </row>
    <row r="155" spans="1:17" ht="30" x14ac:dyDescent="0.3">
      <c r="A155" s="1" t="s">
        <v>1179</v>
      </c>
      <c r="B155" s="2" t="s">
        <v>1191</v>
      </c>
      <c r="C155" s="2" t="s">
        <v>1192</v>
      </c>
      <c r="D155" s="2" t="s">
        <v>1193</v>
      </c>
      <c r="E155" s="2" t="s">
        <v>1194</v>
      </c>
      <c r="F155" s="2" t="s">
        <v>1185</v>
      </c>
      <c r="G155" s="2" t="s">
        <v>1195</v>
      </c>
      <c r="H155" s="1" t="s">
        <v>63</v>
      </c>
      <c r="I155" s="1" t="s">
        <v>1187</v>
      </c>
      <c r="J155" s="2" t="s">
        <v>1188</v>
      </c>
      <c r="K155" s="2" t="s">
        <v>1189</v>
      </c>
      <c r="L155" s="3">
        <v>4</v>
      </c>
      <c r="M155" s="3">
        <v>10</v>
      </c>
      <c r="N155" s="4">
        <f t="shared" si="2"/>
        <v>10</v>
      </c>
      <c r="O155" s="1" t="s">
        <v>27</v>
      </c>
      <c r="P155" s="2" t="s">
        <v>1196</v>
      </c>
    </row>
    <row r="156" spans="1:17" ht="30" x14ac:dyDescent="0.3">
      <c r="A156" s="1" t="s">
        <v>1180</v>
      </c>
      <c r="B156" s="2" t="s">
        <v>1197</v>
      </c>
      <c r="C156" s="2" t="s">
        <v>1198</v>
      </c>
      <c r="D156" s="2" t="s">
        <v>1199</v>
      </c>
      <c r="E156" s="2" t="s">
        <v>1200</v>
      </c>
      <c r="F156" s="2" t="s">
        <v>1125</v>
      </c>
      <c r="G156" s="2" t="s">
        <v>1201</v>
      </c>
      <c r="H156" s="1" t="s">
        <v>23</v>
      </c>
      <c r="I156" s="1">
        <v>1900</v>
      </c>
      <c r="J156" s="2" t="s">
        <v>1202</v>
      </c>
      <c r="K156" s="2" t="s">
        <v>1203</v>
      </c>
      <c r="L156" s="3">
        <v>6</v>
      </c>
      <c r="M156" s="3">
        <v>12</v>
      </c>
      <c r="N156" s="4">
        <f t="shared" si="2"/>
        <v>12</v>
      </c>
      <c r="O156" s="1" t="s">
        <v>27</v>
      </c>
      <c r="P156" s="2" t="s">
        <v>1204</v>
      </c>
    </row>
    <row r="157" spans="1:17" ht="24" customHeight="1" x14ac:dyDescent="0.3">
      <c r="A157" s="1" t="s">
        <v>1205</v>
      </c>
      <c r="B157" s="2" t="s">
        <v>1206</v>
      </c>
      <c r="C157" s="2" t="s">
        <v>1028</v>
      </c>
      <c r="D157" s="2" t="s">
        <v>1199</v>
      </c>
      <c r="E157" s="2" t="s">
        <v>1207</v>
      </c>
      <c r="F157" s="2" t="s">
        <v>1125</v>
      </c>
      <c r="G157" s="2" t="s">
        <v>1208</v>
      </c>
      <c r="H157" s="1" t="s">
        <v>23</v>
      </c>
      <c r="I157" s="1">
        <v>3866</v>
      </c>
      <c r="J157" s="2" t="s">
        <v>1209</v>
      </c>
      <c r="K157" s="2" t="s">
        <v>1210</v>
      </c>
      <c r="L157" s="3">
        <v>6</v>
      </c>
      <c r="M157" s="3">
        <v>12</v>
      </c>
      <c r="N157" s="4">
        <f t="shared" si="2"/>
        <v>12</v>
      </c>
      <c r="O157" s="1" t="s">
        <v>27</v>
      </c>
      <c r="P157" s="2" t="s">
        <v>1211</v>
      </c>
    </row>
    <row r="158" spans="1:17" ht="24" customHeight="1" x14ac:dyDescent="0.3">
      <c r="A158" s="1" t="s">
        <v>1212</v>
      </c>
      <c r="B158" s="2" t="s">
        <v>1213</v>
      </c>
      <c r="C158" s="2" t="s">
        <v>1065</v>
      </c>
      <c r="D158" s="2" t="s">
        <v>1214</v>
      </c>
      <c r="E158" s="2" t="s">
        <v>1215</v>
      </c>
      <c r="F158" s="2" t="s">
        <v>1125</v>
      </c>
      <c r="G158" s="2" t="s">
        <v>1216</v>
      </c>
      <c r="H158" s="1" t="s">
        <v>23</v>
      </c>
      <c r="I158" s="1" t="s">
        <v>1217</v>
      </c>
      <c r="J158" s="2" t="s">
        <v>1218</v>
      </c>
      <c r="K158" s="2" t="s">
        <v>1219</v>
      </c>
      <c r="L158" s="3">
        <v>4</v>
      </c>
      <c r="M158" s="3">
        <v>9</v>
      </c>
      <c r="N158" s="4">
        <f t="shared" si="2"/>
        <v>9</v>
      </c>
      <c r="O158" s="1" t="s">
        <v>27</v>
      </c>
      <c r="P158" s="2" t="s">
        <v>1220</v>
      </c>
    </row>
    <row r="159" spans="1:17" ht="24" customHeight="1" x14ac:dyDescent="0.3">
      <c r="A159" s="1" t="s">
        <v>1221</v>
      </c>
      <c r="B159" s="2" t="s">
        <v>1222</v>
      </c>
      <c r="C159" s="2" t="s">
        <v>1223</v>
      </c>
      <c r="D159" s="2" t="s">
        <v>1224</v>
      </c>
      <c r="E159" s="2" t="s">
        <v>1225</v>
      </c>
      <c r="F159" s="2" t="s">
        <v>1125</v>
      </c>
      <c r="G159" s="2" t="s">
        <v>1226</v>
      </c>
      <c r="H159" s="1" t="s">
        <v>23</v>
      </c>
      <c r="I159" s="1">
        <v>5226</v>
      </c>
      <c r="J159" s="2" t="s">
        <v>1227</v>
      </c>
      <c r="K159" s="2" t="s">
        <v>1228</v>
      </c>
      <c r="L159" s="3">
        <v>5</v>
      </c>
      <c r="M159" s="3">
        <v>18</v>
      </c>
      <c r="N159" s="4">
        <f t="shared" si="2"/>
        <v>18</v>
      </c>
      <c r="O159" s="1" t="s">
        <v>27</v>
      </c>
      <c r="P159" s="2" t="s">
        <v>1229</v>
      </c>
    </row>
    <row r="160" spans="1:17" ht="24" customHeight="1" x14ac:dyDescent="0.3">
      <c r="A160" s="1" t="s">
        <v>1230</v>
      </c>
      <c r="B160" s="2" t="s">
        <v>1231</v>
      </c>
      <c r="C160" s="2" t="s">
        <v>1232</v>
      </c>
      <c r="D160" s="2" t="s">
        <v>1233</v>
      </c>
      <c r="E160" s="2" t="s">
        <v>1234</v>
      </c>
      <c r="F160" s="2" t="s">
        <v>1125</v>
      </c>
      <c r="G160" s="2" t="s">
        <v>1235</v>
      </c>
      <c r="H160" s="1" t="s">
        <v>23</v>
      </c>
      <c r="I160" s="1">
        <v>1290</v>
      </c>
      <c r="J160" s="2" t="s">
        <v>1236</v>
      </c>
      <c r="K160" s="2" t="s">
        <v>1237</v>
      </c>
      <c r="L160" s="3">
        <v>4</v>
      </c>
      <c r="M160" s="3">
        <v>8</v>
      </c>
      <c r="N160" s="4">
        <f t="shared" si="2"/>
        <v>8</v>
      </c>
      <c r="O160" s="1" t="s">
        <v>27</v>
      </c>
      <c r="P160" s="2" t="s">
        <v>1238</v>
      </c>
    </row>
    <row r="161" spans="1:16" ht="24" customHeight="1" x14ac:dyDescent="0.3">
      <c r="A161" s="1" t="s">
        <v>1239</v>
      </c>
      <c r="B161" s="2" t="s">
        <v>1240</v>
      </c>
      <c r="C161" s="2" t="s">
        <v>1241</v>
      </c>
      <c r="D161" s="2" t="s">
        <v>1242</v>
      </c>
      <c r="E161" s="2" t="s">
        <v>1243</v>
      </c>
      <c r="F161" s="2" t="s">
        <v>1244</v>
      </c>
      <c r="G161" s="2" t="s">
        <v>1245</v>
      </c>
      <c r="H161" s="1" t="s">
        <v>23</v>
      </c>
      <c r="I161" s="1">
        <v>11205</v>
      </c>
      <c r="J161" s="2" t="s">
        <v>1246</v>
      </c>
      <c r="K161" s="2" t="s">
        <v>265</v>
      </c>
      <c r="L161" s="3">
        <v>4</v>
      </c>
      <c r="M161" s="3">
        <v>8</v>
      </c>
      <c r="N161" s="4">
        <f t="shared" si="2"/>
        <v>8</v>
      </c>
      <c r="O161" s="1" t="s">
        <v>27</v>
      </c>
      <c r="P161" s="2" t="s">
        <v>1247</v>
      </c>
    </row>
    <row r="162" spans="1:16" ht="24" customHeight="1" x14ac:dyDescent="0.3">
      <c r="A162" s="1" t="s">
        <v>1248</v>
      </c>
      <c r="B162" s="2" t="s">
        <v>1249</v>
      </c>
      <c r="C162" s="2" t="s">
        <v>1250</v>
      </c>
      <c r="D162" s="2" t="s">
        <v>1251</v>
      </c>
      <c r="E162" s="2" t="s">
        <v>1252</v>
      </c>
      <c r="F162" s="2" t="s">
        <v>1253</v>
      </c>
      <c r="G162" s="2" t="s">
        <v>1254</v>
      </c>
      <c r="H162" s="1" t="s">
        <v>63</v>
      </c>
      <c r="I162" s="1" t="s">
        <v>1187</v>
      </c>
      <c r="J162" s="2" t="s">
        <v>1188</v>
      </c>
      <c r="K162" s="2" t="s">
        <v>1189</v>
      </c>
      <c r="L162" s="3">
        <v>3</v>
      </c>
      <c r="M162" s="3">
        <v>6</v>
      </c>
      <c r="N162" s="4">
        <f t="shared" si="2"/>
        <v>6</v>
      </c>
      <c r="O162" s="1" t="s">
        <v>27</v>
      </c>
      <c r="P162" s="2" t="s">
        <v>1255</v>
      </c>
    </row>
    <row r="163" spans="1:16" s="5" customFormat="1" ht="24" customHeight="1" x14ac:dyDescent="0.3">
      <c r="A163" s="1" t="s">
        <v>1262</v>
      </c>
      <c r="B163" s="2" t="s">
        <v>1263</v>
      </c>
      <c r="C163" s="2" t="s">
        <v>1264</v>
      </c>
      <c r="D163" s="2" t="s">
        <v>1242</v>
      </c>
      <c r="E163" s="2" t="s">
        <v>1243</v>
      </c>
      <c r="F163" s="2" t="s">
        <v>1185</v>
      </c>
      <c r="G163" s="2" t="s">
        <v>1265</v>
      </c>
      <c r="H163" s="1" t="s">
        <v>63</v>
      </c>
      <c r="I163" s="1" t="s">
        <v>1187</v>
      </c>
      <c r="J163" s="2" t="s">
        <v>1188</v>
      </c>
      <c r="K163" s="2" t="s">
        <v>1189</v>
      </c>
      <c r="L163" s="3">
        <v>4</v>
      </c>
      <c r="M163" s="3">
        <v>8</v>
      </c>
      <c r="N163" s="4">
        <f t="shared" si="2"/>
        <v>8</v>
      </c>
      <c r="O163" s="1" t="s">
        <v>27</v>
      </c>
      <c r="P163" s="2" t="s">
        <v>1266</v>
      </c>
    </row>
    <row r="164" spans="1:16" ht="24" customHeight="1" x14ac:dyDescent="0.3">
      <c r="A164" s="1" t="s">
        <v>1256</v>
      </c>
      <c r="B164" s="2" t="s">
        <v>1257</v>
      </c>
      <c r="C164" s="2" t="s">
        <v>1258</v>
      </c>
      <c r="D164" s="2" t="s">
        <v>1193</v>
      </c>
      <c r="E164" s="2" t="s">
        <v>1194</v>
      </c>
      <c r="F164" s="2" t="s">
        <v>1259</v>
      </c>
      <c r="G164" s="2" t="s">
        <v>1260</v>
      </c>
      <c r="H164" s="1" t="s">
        <v>63</v>
      </c>
      <c r="I164" s="1" t="s">
        <v>1187</v>
      </c>
      <c r="J164" s="2" t="s">
        <v>1188</v>
      </c>
      <c r="K164" s="2" t="s">
        <v>1189</v>
      </c>
      <c r="L164" s="3">
        <v>4</v>
      </c>
      <c r="M164" s="3">
        <v>9</v>
      </c>
      <c r="N164" s="4">
        <f t="shared" si="2"/>
        <v>9</v>
      </c>
      <c r="O164" s="1" t="s">
        <v>27</v>
      </c>
      <c r="P164" s="2" t="s">
        <v>1261</v>
      </c>
    </row>
    <row r="165" spans="1:16" ht="24" customHeight="1" x14ac:dyDescent="0.3">
      <c r="A165" s="1" t="s">
        <v>1267</v>
      </c>
      <c r="B165" s="2" t="s">
        <v>1268</v>
      </c>
      <c r="C165" s="2" t="s">
        <v>1269</v>
      </c>
      <c r="D165" s="2" t="s">
        <v>1270</v>
      </c>
      <c r="E165" s="2" t="s">
        <v>1271</v>
      </c>
      <c r="F165" s="2" t="s">
        <v>1259</v>
      </c>
      <c r="G165" s="2" t="s">
        <v>1272</v>
      </c>
      <c r="H165" s="1" t="s">
        <v>63</v>
      </c>
      <c r="I165" s="1" t="s">
        <v>1187</v>
      </c>
      <c r="J165" s="2" t="s">
        <v>1188</v>
      </c>
      <c r="K165" s="2" t="s">
        <v>1189</v>
      </c>
      <c r="L165" s="3">
        <v>5</v>
      </c>
      <c r="M165" s="3">
        <v>10</v>
      </c>
      <c r="N165" s="4">
        <f t="shared" si="2"/>
        <v>10</v>
      </c>
      <c r="O165" s="1" t="s">
        <v>27</v>
      </c>
      <c r="P165" s="2" t="s">
        <v>1273</v>
      </c>
    </row>
    <row r="166" spans="1:16" ht="24" customHeight="1" x14ac:dyDescent="0.3">
      <c r="A166" s="1" t="s">
        <v>1274</v>
      </c>
      <c r="B166" s="2" t="s">
        <v>1275</v>
      </c>
      <c r="C166" s="2" t="s">
        <v>1276</v>
      </c>
      <c r="D166" s="2" t="s">
        <v>1277</v>
      </c>
      <c r="E166" s="2" t="s">
        <v>1278</v>
      </c>
      <c r="F166" s="2" t="s">
        <v>1244</v>
      </c>
      <c r="G166" s="2" t="s">
        <v>1279</v>
      </c>
      <c r="H166" s="1" t="s">
        <v>23</v>
      </c>
      <c r="I166" s="1">
        <v>12559</v>
      </c>
      <c r="J166" s="2" t="s">
        <v>1280</v>
      </c>
      <c r="K166" s="2" t="s">
        <v>1281</v>
      </c>
      <c r="L166" s="3">
        <v>4</v>
      </c>
      <c r="M166" s="3">
        <v>8</v>
      </c>
      <c r="N166" s="4">
        <f t="shared" si="2"/>
        <v>8</v>
      </c>
      <c r="O166" s="1" t="s">
        <v>27</v>
      </c>
      <c r="P166" s="2" t="s">
        <v>1282</v>
      </c>
    </row>
    <row r="167" spans="1:16" ht="24" customHeight="1" x14ac:dyDescent="0.3">
      <c r="A167" s="1" t="s">
        <v>1283</v>
      </c>
      <c r="B167" s="2" t="s">
        <v>1284</v>
      </c>
      <c r="C167" s="2" t="s">
        <v>1285</v>
      </c>
      <c r="D167" s="2" t="s">
        <v>1277</v>
      </c>
      <c r="E167" s="2" t="s">
        <v>1278</v>
      </c>
      <c r="F167" s="2" t="s">
        <v>1244</v>
      </c>
      <c r="G167" s="2" t="s">
        <v>1286</v>
      </c>
      <c r="H167" s="1" t="s">
        <v>23</v>
      </c>
      <c r="I167" s="1" t="s">
        <v>265</v>
      </c>
      <c r="J167" s="2" t="s">
        <v>1287</v>
      </c>
      <c r="K167" s="2" t="s">
        <v>1288</v>
      </c>
      <c r="L167" s="3">
        <v>4</v>
      </c>
      <c r="M167" s="3">
        <v>8</v>
      </c>
      <c r="N167" s="4">
        <f t="shared" si="2"/>
        <v>8</v>
      </c>
      <c r="O167" s="1" t="s">
        <v>27</v>
      </c>
      <c r="P167" s="2" t="s">
        <v>1289</v>
      </c>
    </row>
    <row r="168" spans="1:16" ht="24" customHeight="1" x14ac:dyDescent="0.3">
      <c r="A168" s="1" t="s">
        <v>1293</v>
      </c>
      <c r="B168" s="2" t="s">
        <v>1294</v>
      </c>
      <c r="C168" s="2" t="s">
        <v>1295</v>
      </c>
      <c r="D168" s="2" t="s">
        <v>1291</v>
      </c>
      <c r="E168" s="2" t="s">
        <v>1292</v>
      </c>
      <c r="F168" s="2" t="s">
        <v>1259</v>
      </c>
      <c r="G168" s="2" t="s">
        <v>1296</v>
      </c>
      <c r="H168" s="1" t="s">
        <v>63</v>
      </c>
      <c r="I168" s="1" t="s">
        <v>1187</v>
      </c>
      <c r="J168" s="2" t="s">
        <v>1188</v>
      </c>
      <c r="K168" s="2" t="s">
        <v>1189</v>
      </c>
      <c r="L168" s="3">
        <v>3</v>
      </c>
      <c r="M168" s="3">
        <v>9</v>
      </c>
      <c r="N168" s="4">
        <f t="shared" si="2"/>
        <v>9</v>
      </c>
      <c r="O168" s="1" t="s">
        <v>27</v>
      </c>
      <c r="P168" s="2" t="s">
        <v>1297</v>
      </c>
    </row>
    <row r="169" spans="1:16" ht="24" customHeight="1" x14ac:dyDescent="0.3">
      <c r="A169" s="1" t="s">
        <v>1298</v>
      </c>
      <c r="B169" s="2" t="s">
        <v>1299</v>
      </c>
      <c r="C169" s="2" t="s">
        <v>1300</v>
      </c>
      <c r="D169" s="2" t="s">
        <v>1291</v>
      </c>
      <c r="E169" s="2" t="s">
        <v>1292</v>
      </c>
      <c r="F169" s="2" t="s">
        <v>1259</v>
      </c>
      <c r="G169" s="2" t="s">
        <v>1301</v>
      </c>
      <c r="H169" s="1" t="s">
        <v>63</v>
      </c>
      <c r="I169" s="1" t="s">
        <v>1187</v>
      </c>
      <c r="J169" s="2" t="s">
        <v>1188</v>
      </c>
      <c r="K169" s="2" t="s">
        <v>1189</v>
      </c>
      <c r="L169" s="3">
        <v>4</v>
      </c>
      <c r="M169" s="3">
        <v>9</v>
      </c>
      <c r="N169" s="4">
        <f t="shared" si="2"/>
        <v>9</v>
      </c>
      <c r="O169" s="1" t="s">
        <v>27</v>
      </c>
      <c r="P169" s="2" t="s">
        <v>1302</v>
      </c>
    </row>
    <row r="170" spans="1:16" ht="24" customHeight="1" x14ac:dyDescent="0.3">
      <c r="A170" s="1" t="s">
        <v>1290</v>
      </c>
      <c r="B170" s="2" t="s">
        <v>1303</v>
      </c>
      <c r="C170" s="2" t="s">
        <v>1304</v>
      </c>
      <c r="D170" s="2" t="s">
        <v>1214</v>
      </c>
      <c r="E170" s="2" t="s">
        <v>1215</v>
      </c>
      <c r="F170" s="2" t="s">
        <v>1125</v>
      </c>
      <c r="G170" s="2" t="s">
        <v>1305</v>
      </c>
      <c r="H170" s="1" t="s">
        <v>23</v>
      </c>
      <c r="I170" s="1" t="s">
        <v>1306</v>
      </c>
      <c r="J170" s="2" t="s">
        <v>1307</v>
      </c>
      <c r="K170" s="2" t="s">
        <v>1308</v>
      </c>
      <c r="L170" s="3">
        <v>6</v>
      </c>
      <c r="M170" s="3">
        <v>10</v>
      </c>
      <c r="N170" s="4">
        <f t="shared" si="2"/>
        <v>10</v>
      </c>
      <c r="O170" s="1" t="s">
        <v>27</v>
      </c>
      <c r="P170" s="2" t="s">
        <v>1309</v>
      </c>
    </row>
    <row r="171" spans="1:16" ht="24" customHeight="1" x14ac:dyDescent="0.3">
      <c r="A171" s="1" t="s">
        <v>1310</v>
      </c>
      <c r="B171" s="2" t="s">
        <v>1311</v>
      </c>
      <c r="C171" s="2" t="s">
        <v>1312</v>
      </c>
      <c r="D171" s="2" t="s">
        <v>1313</v>
      </c>
      <c r="E171" s="2" t="s">
        <v>1314</v>
      </c>
      <c r="F171" s="2" t="s">
        <v>1125</v>
      </c>
      <c r="G171" s="2" t="s">
        <v>1315</v>
      </c>
      <c r="H171" s="1" t="s">
        <v>23</v>
      </c>
      <c r="I171" s="1">
        <v>10473</v>
      </c>
      <c r="J171" s="2" t="s">
        <v>1316</v>
      </c>
      <c r="K171" s="2" t="s">
        <v>1317</v>
      </c>
      <c r="L171" s="3">
        <v>5</v>
      </c>
      <c r="M171" s="3">
        <v>10</v>
      </c>
      <c r="N171" s="4">
        <f t="shared" si="2"/>
        <v>10</v>
      </c>
      <c r="O171" s="1" t="s">
        <v>27</v>
      </c>
      <c r="P171" s="2" t="s">
        <v>1318</v>
      </c>
    </row>
    <row r="172" spans="1:16" ht="24" customHeight="1" x14ac:dyDescent="0.3">
      <c r="A172" s="1" t="s">
        <v>1319</v>
      </c>
      <c r="B172" s="2" t="s">
        <v>1320</v>
      </c>
      <c r="C172" s="2" t="s">
        <v>1321</v>
      </c>
      <c r="D172" s="2" t="s">
        <v>1322</v>
      </c>
      <c r="E172" s="2" t="s">
        <v>1323</v>
      </c>
      <c r="F172" s="2" t="s">
        <v>1244</v>
      </c>
      <c r="G172" s="2" t="s">
        <v>1324</v>
      </c>
      <c r="H172" s="1" t="s">
        <v>23</v>
      </c>
      <c r="I172" s="1">
        <v>12521</v>
      </c>
      <c r="J172" s="2" t="s">
        <v>1325</v>
      </c>
      <c r="K172" s="2" t="s">
        <v>1281</v>
      </c>
      <c r="L172" s="3">
        <v>4</v>
      </c>
      <c r="M172" s="3">
        <v>8</v>
      </c>
      <c r="N172" s="4">
        <f t="shared" si="2"/>
        <v>8</v>
      </c>
      <c r="O172" s="1" t="s">
        <v>27</v>
      </c>
      <c r="P172" s="2" t="s">
        <v>1326</v>
      </c>
    </row>
    <row r="173" spans="1:16" ht="24" customHeight="1" x14ac:dyDescent="0.3">
      <c r="A173" s="1" t="s">
        <v>1327</v>
      </c>
      <c r="B173" s="2" t="s">
        <v>1328</v>
      </c>
      <c r="C173" s="2" t="s">
        <v>1329</v>
      </c>
      <c r="D173" s="2" t="s">
        <v>1330</v>
      </c>
      <c r="E173" s="2" t="s">
        <v>1331</v>
      </c>
      <c r="F173" s="2" t="s">
        <v>1244</v>
      </c>
      <c r="G173" s="2" t="s">
        <v>1332</v>
      </c>
      <c r="H173" s="1" t="s">
        <v>23</v>
      </c>
      <c r="I173" s="1" t="s">
        <v>265</v>
      </c>
      <c r="J173" s="2" t="s">
        <v>1333</v>
      </c>
      <c r="K173" s="2" t="s">
        <v>1281</v>
      </c>
      <c r="L173" s="3">
        <v>3</v>
      </c>
      <c r="M173" s="3">
        <v>6</v>
      </c>
      <c r="N173" s="4">
        <f t="shared" si="2"/>
        <v>6</v>
      </c>
      <c r="O173" s="1" t="s">
        <v>27</v>
      </c>
      <c r="P173" s="2" t="s">
        <v>1334</v>
      </c>
    </row>
    <row r="174" spans="1:16" ht="24" customHeight="1" x14ac:dyDescent="0.3">
      <c r="A174" s="1" t="s">
        <v>1335</v>
      </c>
      <c r="B174" s="2" t="s">
        <v>1336</v>
      </c>
      <c r="C174" s="2" t="s">
        <v>1337</v>
      </c>
      <c r="D174" s="2" t="s">
        <v>1338</v>
      </c>
      <c r="E174" s="2" t="s">
        <v>1339</v>
      </c>
      <c r="F174" s="2" t="s">
        <v>1244</v>
      </c>
      <c r="G174" s="2" t="s">
        <v>1340</v>
      </c>
      <c r="H174" s="1" t="s">
        <v>23</v>
      </c>
      <c r="I174" s="1">
        <v>1334</v>
      </c>
      <c r="J174" s="2" t="s">
        <v>1341</v>
      </c>
      <c r="K174" s="2" t="s">
        <v>1281</v>
      </c>
      <c r="L174" s="3">
        <v>4</v>
      </c>
      <c r="M174" s="3">
        <v>8</v>
      </c>
      <c r="N174" s="4">
        <f t="shared" si="2"/>
        <v>8</v>
      </c>
      <c r="O174" s="1" t="s">
        <v>27</v>
      </c>
      <c r="P174" s="2" t="s">
        <v>1342</v>
      </c>
    </row>
    <row r="175" spans="1:16" ht="24" customHeight="1" x14ac:dyDescent="0.3">
      <c r="A175" s="1" t="s">
        <v>1343</v>
      </c>
      <c r="B175" s="2" t="s">
        <v>1344</v>
      </c>
      <c r="C175" s="2" t="s">
        <v>1345</v>
      </c>
      <c r="D175" s="2" t="s">
        <v>1346</v>
      </c>
      <c r="E175" s="2" t="s">
        <v>1347</v>
      </c>
      <c r="F175" s="2" t="s">
        <v>1244</v>
      </c>
      <c r="G175" s="2" t="s">
        <v>1348</v>
      </c>
      <c r="H175" s="1" t="s">
        <v>23</v>
      </c>
      <c r="I175" s="1" t="s">
        <v>265</v>
      </c>
      <c r="J175" s="2" t="s">
        <v>1349</v>
      </c>
      <c r="K175" s="2" t="s">
        <v>1281</v>
      </c>
      <c r="L175" s="3">
        <v>4</v>
      </c>
      <c r="M175" s="3">
        <v>8</v>
      </c>
      <c r="N175" s="4">
        <f t="shared" si="2"/>
        <v>8</v>
      </c>
      <c r="O175" s="1" t="s">
        <v>27</v>
      </c>
      <c r="P175" s="2" t="s">
        <v>1350</v>
      </c>
    </row>
    <row r="176" spans="1:16" ht="24" customHeight="1" x14ac:dyDescent="0.3">
      <c r="A176" s="1" t="s">
        <v>1351</v>
      </c>
      <c r="B176" s="2" t="s">
        <v>1352</v>
      </c>
      <c r="C176" s="2" t="s">
        <v>225</v>
      </c>
      <c r="D176" s="2" t="s">
        <v>1346</v>
      </c>
      <c r="E176" s="2" t="s">
        <v>1347</v>
      </c>
      <c r="F176" s="2" t="s">
        <v>1244</v>
      </c>
      <c r="G176" s="2" t="s">
        <v>1353</v>
      </c>
      <c r="H176" s="1" t="s">
        <v>23</v>
      </c>
      <c r="I176" s="1" t="s">
        <v>1354</v>
      </c>
      <c r="J176" s="2" t="s">
        <v>1355</v>
      </c>
      <c r="K176" s="2" t="s">
        <v>1281</v>
      </c>
      <c r="L176" s="3">
        <v>3</v>
      </c>
      <c r="M176" s="3">
        <v>6</v>
      </c>
      <c r="N176" s="4">
        <f t="shared" si="2"/>
        <v>6</v>
      </c>
      <c r="O176" s="1" t="s">
        <v>27</v>
      </c>
      <c r="P176" s="2" t="s">
        <v>1356</v>
      </c>
    </row>
    <row r="177" spans="1:16" ht="24" customHeight="1" x14ac:dyDescent="0.3">
      <c r="A177" s="1" t="s">
        <v>1357</v>
      </c>
      <c r="B177" s="2" t="s">
        <v>1358</v>
      </c>
      <c r="C177" s="2" t="s">
        <v>1359</v>
      </c>
      <c r="D177" s="2" t="s">
        <v>1346</v>
      </c>
      <c r="E177" s="2" t="s">
        <v>1347</v>
      </c>
      <c r="F177" s="2" t="s">
        <v>1244</v>
      </c>
      <c r="G177" s="2" t="s">
        <v>1360</v>
      </c>
      <c r="H177" s="1" t="s">
        <v>23</v>
      </c>
      <c r="I177" s="1" t="s">
        <v>265</v>
      </c>
      <c r="J177" s="2" t="s">
        <v>1361</v>
      </c>
      <c r="K177" s="2" t="s">
        <v>1362</v>
      </c>
      <c r="L177" s="3">
        <v>4</v>
      </c>
      <c r="M177" s="3">
        <v>8</v>
      </c>
      <c r="N177" s="4">
        <f t="shared" si="2"/>
        <v>8</v>
      </c>
      <c r="O177" s="1" t="s">
        <v>27</v>
      </c>
      <c r="P177" s="2" t="s">
        <v>1363</v>
      </c>
    </row>
    <row r="178" spans="1:16" ht="24" customHeight="1" x14ac:dyDescent="0.3">
      <c r="A178" s="1" t="s">
        <v>1364</v>
      </c>
      <c r="B178" s="2" t="s">
        <v>1365</v>
      </c>
      <c r="C178" s="2" t="s">
        <v>1366</v>
      </c>
      <c r="D178" s="2" t="s">
        <v>1367</v>
      </c>
      <c r="E178" s="2" t="s">
        <v>1368</v>
      </c>
      <c r="F178" s="2" t="s">
        <v>1244</v>
      </c>
      <c r="G178" s="2" t="s">
        <v>1369</v>
      </c>
      <c r="H178" s="1" t="s">
        <v>23</v>
      </c>
      <c r="I178" s="1">
        <v>580</v>
      </c>
      <c r="J178" s="2" t="s">
        <v>1370</v>
      </c>
      <c r="K178" s="2" t="s">
        <v>1371</v>
      </c>
      <c r="L178" s="3">
        <v>4</v>
      </c>
      <c r="M178" s="3">
        <v>8</v>
      </c>
      <c r="N178" s="4">
        <f t="shared" si="2"/>
        <v>8</v>
      </c>
      <c r="O178" s="1" t="s">
        <v>27</v>
      </c>
      <c r="P178" s="2" t="s">
        <v>1372</v>
      </c>
    </row>
    <row r="179" spans="1:16" ht="24" customHeight="1" x14ac:dyDescent="0.3">
      <c r="A179" s="1" t="s">
        <v>1373</v>
      </c>
      <c r="B179" s="2" t="s">
        <v>1374</v>
      </c>
      <c r="C179" s="2" t="s">
        <v>1375</v>
      </c>
      <c r="D179" s="2" t="s">
        <v>1376</v>
      </c>
      <c r="E179" s="2" t="s">
        <v>1377</v>
      </c>
      <c r="F179" s="2" t="s">
        <v>1185</v>
      </c>
      <c r="G179" s="2" t="s">
        <v>1378</v>
      </c>
      <c r="H179" s="1" t="s">
        <v>63</v>
      </c>
      <c r="I179" s="1"/>
      <c r="J179" s="2" t="s">
        <v>265</v>
      </c>
      <c r="K179" s="2" t="s">
        <v>265</v>
      </c>
      <c r="L179" s="3">
        <v>3</v>
      </c>
      <c r="M179" s="3">
        <v>6</v>
      </c>
      <c r="N179" s="4">
        <f t="shared" si="2"/>
        <v>6</v>
      </c>
      <c r="O179" s="1" t="s">
        <v>27</v>
      </c>
      <c r="P179" s="2" t="s">
        <v>1379</v>
      </c>
    </row>
    <row r="180" spans="1:16" ht="24" customHeight="1" x14ac:dyDescent="0.3">
      <c r="A180" s="1" t="s">
        <v>1380</v>
      </c>
      <c r="B180" s="2" t="s">
        <v>1381</v>
      </c>
      <c r="C180" s="2" t="s">
        <v>1382</v>
      </c>
      <c r="D180" s="2" t="s">
        <v>1313</v>
      </c>
      <c r="E180" s="2" t="s">
        <v>1383</v>
      </c>
      <c r="F180" s="2" t="s">
        <v>1125</v>
      </c>
      <c r="G180" s="2" t="s">
        <v>1384</v>
      </c>
      <c r="H180" s="1" t="s">
        <v>63</v>
      </c>
      <c r="I180" s="1"/>
      <c r="J180" s="2" t="s">
        <v>1385</v>
      </c>
      <c r="K180" s="2" t="s">
        <v>1386</v>
      </c>
      <c r="L180" s="3">
        <v>3</v>
      </c>
      <c r="M180" s="3">
        <v>6</v>
      </c>
      <c r="N180" s="4">
        <f t="shared" si="2"/>
        <v>6</v>
      </c>
      <c r="O180" s="1" t="s">
        <v>27</v>
      </c>
      <c r="P180" s="2" t="s">
        <v>1387</v>
      </c>
    </row>
    <row r="181" spans="1:16" ht="24" customHeight="1" x14ac:dyDescent="0.3">
      <c r="A181" s="1" t="s">
        <v>1388</v>
      </c>
      <c r="B181" s="2" t="s">
        <v>1389</v>
      </c>
      <c r="C181" s="2" t="s">
        <v>225</v>
      </c>
      <c r="D181" s="2" t="s">
        <v>1390</v>
      </c>
      <c r="E181" s="2" t="s">
        <v>1391</v>
      </c>
      <c r="F181" s="2" t="s">
        <v>1244</v>
      </c>
      <c r="G181" s="2" t="s">
        <v>1392</v>
      </c>
      <c r="H181" s="1" t="s">
        <v>23</v>
      </c>
      <c r="I181" s="1">
        <v>1902</v>
      </c>
      <c r="J181" s="2" t="s">
        <v>1355</v>
      </c>
      <c r="K181" s="2" t="s">
        <v>1281</v>
      </c>
      <c r="L181" s="3">
        <v>4</v>
      </c>
      <c r="M181" s="3">
        <v>8</v>
      </c>
      <c r="N181" s="4">
        <f t="shared" si="2"/>
        <v>8</v>
      </c>
      <c r="O181" s="1" t="s">
        <v>27</v>
      </c>
      <c r="P181" s="2" t="s">
        <v>1393</v>
      </c>
    </row>
    <row r="182" spans="1:16" ht="24" customHeight="1" x14ac:dyDescent="0.3">
      <c r="A182" s="1" t="s">
        <v>1394</v>
      </c>
      <c r="B182" s="2" t="s">
        <v>1395</v>
      </c>
      <c r="C182" s="2" t="s">
        <v>1396</v>
      </c>
      <c r="D182" s="2" t="s">
        <v>1397</v>
      </c>
      <c r="E182" s="2" t="s">
        <v>1398</v>
      </c>
      <c r="F182" s="2" t="s">
        <v>1244</v>
      </c>
      <c r="G182" s="2" t="s">
        <v>1399</v>
      </c>
      <c r="H182" s="1" t="s">
        <v>23</v>
      </c>
      <c r="I182" s="1">
        <v>559</v>
      </c>
      <c r="J182" s="2" t="s">
        <v>1400</v>
      </c>
      <c r="K182" s="2" t="s">
        <v>1281</v>
      </c>
      <c r="L182" s="3">
        <v>4</v>
      </c>
      <c r="M182" s="3">
        <v>10</v>
      </c>
      <c r="N182" s="4">
        <f t="shared" si="2"/>
        <v>10</v>
      </c>
      <c r="O182" s="1" t="s">
        <v>27</v>
      </c>
      <c r="P182" s="2" t="s">
        <v>1401</v>
      </c>
    </row>
    <row r="183" spans="1:16" ht="24" customHeight="1" x14ac:dyDescent="0.3">
      <c r="A183" s="1" t="s">
        <v>1402</v>
      </c>
      <c r="B183" s="2" t="s">
        <v>1403</v>
      </c>
      <c r="C183" s="2" t="s">
        <v>1404</v>
      </c>
      <c r="D183" s="2" t="s">
        <v>1405</v>
      </c>
      <c r="E183" s="2" t="s">
        <v>1406</v>
      </c>
      <c r="F183" s="2" t="s">
        <v>1244</v>
      </c>
      <c r="G183" s="2" t="s">
        <v>1407</v>
      </c>
      <c r="H183" s="1" t="s">
        <v>23</v>
      </c>
      <c r="I183" s="1">
        <v>653</v>
      </c>
      <c r="J183" s="2" t="s">
        <v>1408</v>
      </c>
      <c r="K183" s="2" t="s">
        <v>1281</v>
      </c>
      <c r="L183" s="3">
        <v>4</v>
      </c>
      <c r="M183" s="3">
        <v>8</v>
      </c>
      <c r="N183" s="4">
        <f t="shared" si="2"/>
        <v>8</v>
      </c>
      <c r="O183" s="1" t="s">
        <v>27</v>
      </c>
      <c r="P183" s="2" t="s">
        <v>1409</v>
      </c>
    </row>
    <row r="184" spans="1:16" ht="24" customHeight="1" x14ac:dyDescent="0.3">
      <c r="A184" s="1" t="s">
        <v>1410</v>
      </c>
      <c r="B184" s="2" t="s">
        <v>1411</v>
      </c>
      <c r="C184" s="2" t="s">
        <v>225</v>
      </c>
      <c r="D184" s="2" t="s">
        <v>1412</v>
      </c>
      <c r="E184" s="2" t="s">
        <v>1413</v>
      </c>
      <c r="F184" s="2" t="s">
        <v>1244</v>
      </c>
      <c r="G184" s="2" t="s">
        <v>1414</v>
      </c>
      <c r="H184" s="1" t="s">
        <v>23</v>
      </c>
      <c r="I184" s="1" t="s">
        <v>265</v>
      </c>
      <c r="J184" s="2" t="s">
        <v>1355</v>
      </c>
      <c r="K184" s="2" t="s">
        <v>1281</v>
      </c>
      <c r="L184" s="3">
        <v>4</v>
      </c>
      <c r="M184" s="3">
        <v>8</v>
      </c>
      <c r="N184" s="4">
        <f t="shared" si="2"/>
        <v>8</v>
      </c>
      <c r="O184" s="1" t="s">
        <v>27</v>
      </c>
      <c r="P184" s="2" t="s">
        <v>1415</v>
      </c>
    </row>
    <row r="185" spans="1:16" ht="24" customHeight="1" x14ac:dyDescent="0.3">
      <c r="A185" s="1" t="s">
        <v>1416</v>
      </c>
      <c r="B185" s="2" t="s">
        <v>1417</v>
      </c>
      <c r="C185" s="2" t="s">
        <v>225</v>
      </c>
      <c r="D185" s="2" t="s">
        <v>1346</v>
      </c>
      <c r="E185" s="2" t="s">
        <v>1347</v>
      </c>
      <c r="F185" s="2" t="s">
        <v>1244</v>
      </c>
      <c r="G185" s="2" t="s">
        <v>1418</v>
      </c>
      <c r="H185" s="1" t="s">
        <v>23</v>
      </c>
      <c r="I185" s="1">
        <v>1507</v>
      </c>
      <c r="J185" s="2" t="s">
        <v>1355</v>
      </c>
      <c r="K185" s="2" t="s">
        <v>1281</v>
      </c>
      <c r="L185" s="3">
        <v>4</v>
      </c>
      <c r="M185" s="3">
        <v>8</v>
      </c>
      <c r="N185" s="4">
        <f t="shared" si="2"/>
        <v>8</v>
      </c>
      <c r="O185" s="1" t="s">
        <v>27</v>
      </c>
      <c r="P185" s="2" t="s">
        <v>1419</v>
      </c>
    </row>
    <row r="186" spans="1:16" ht="24" customHeight="1" x14ac:dyDescent="0.3">
      <c r="A186" s="1" t="s">
        <v>1420</v>
      </c>
      <c r="B186" s="2" t="s">
        <v>1421</v>
      </c>
      <c r="C186" s="2" t="s">
        <v>225</v>
      </c>
      <c r="D186" s="2" t="s">
        <v>1390</v>
      </c>
      <c r="E186" s="2" t="s">
        <v>1391</v>
      </c>
      <c r="F186" s="2" t="s">
        <v>1244</v>
      </c>
      <c r="G186" s="2" t="s">
        <v>1422</v>
      </c>
      <c r="H186" s="1" t="s">
        <v>23</v>
      </c>
      <c r="I186" s="1">
        <v>366</v>
      </c>
      <c r="J186" s="2" t="s">
        <v>1355</v>
      </c>
      <c r="K186" s="2" t="s">
        <v>1281</v>
      </c>
      <c r="L186" s="3">
        <v>4</v>
      </c>
      <c r="M186" s="3">
        <v>8</v>
      </c>
      <c r="N186" s="4">
        <f t="shared" si="2"/>
        <v>8</v>
      </c>
      <c r="O186" s="1" t="s">
        <v>27</v>
      </c>
      <c r="P186" s="2" t="s">
        <v>1423</v>
      </c>
    </row>
    <row r="187" spans="1:16" ht="24" customHeight="1" x14ac:dyDescent="0.3">
      <c r="A187" s="1" t="s">
        <v>1424</v>
      </c>
      <c r="B187" s="2" t="s">
        <v>1425</v>
      </c>
      <c r="C187" s="2" t="s">
        <v>1426</v>
      </c>
      <c r="D187" s="2" t="s">
        <v>1427</v>
      </c>
      <c r="E187" s="2" t="s">
        <v>1428</v>
      </c>
      <c r="F187" s="2" t="s">
        <v>1185</v>
      </c>
      <c r="G187" s="2" t="s">
        <v>1429</v>
      </c>
      <c r="H187" s="1" t="s">
        <v>63</v>
      </c>
      <c r="I187" s="1"/>
      <c r="J187" s="2" t="s">
        <v>265</v>
      </c>
      <c r="K187" s="2" t="s">
        <v>265</v>
      </c>
      <c r="L187" s="3">
        <v>3</v>
      </c>
      <c r="M187" s="3">
        <v>6</v>
      </c>
      <c r="N187" s="4">
        <f t="shared" si="2"/>
        <v>6</v>
      </c>
      <c r="O187" s="1" t="s">
        <v>27</v>
      </c>
      <c r="P187" s="2" t="s">
        <v>1430</v>
      </c>
    </row>
    <row r="188" spans="1:16" ht="24" customHeight="1" x14ac:dyDescent="0.3">
      <c r="A188" s="1" t="s">
        <v>1431</v>
      </c>
      <c r="B188" s="2" t="s">
        <v>1432</v>
      </c>
      <c r="C188" s="2" t="s">
        <v>225</v>
      </c>
      <c r="D188" s="2" t="s">
        <v>1390</v>
      </c>
      <c r="E188" s="2" t="s">
        <v>1433</v>
      </c>
      <c r="F188" s="2" t="s">
        <v>1244</v>
      </c>
      <c r="G188" s="2" t="s">
        <v>1434</v>
      </c>
      <c r="H188" s="1" t="s">
        <v>23</v>
      </c>
      <c r="I188" s="1">
        <v>1284</v>
      </c>
      <c r="J188" s="2" t="s">
        <v>1355</v>
      </c>
      <c r="K188" s="2" t="s">
        <v>1435</v>
      </c>
      <c r="L188" s="3">
        <v>5</v>
      </c>
      <c r="M188" s="3">
        <v>10</v>
      </c>
      <c r="N188" s="4">
        <f t="shared" si="2"/>
        <v>10</v>
      </c>
      <c r="O188" s="1" t="s">
        <v>27</v>
      </c>
      <c r="P188" s="2" t="s">
        <v>1436</v>
      </c>
    </row>
    <row r="189" spans="1:16" ht="24" customHeight="1" x14ac:dyDescent="0.3">
      <c r="A189" s="1" t="s">
        <v>1437</v>
      </c>
      <c r="B189" s="2" t="s">
        <v>1438</v>
      </c>
      <c r="C189" s="2" t="s">
        <v>1439</v>
      </c>
      <c r="D189" s="2" t="s">
        <v>1313</v>
      </c>
      <c r="E189" s="2" t="s">
        <v>1383</v>
      </c>
      <c r="F189" s="2" t="s">
        <v>1244</v>
      </c>
      <c r="G189" s="2" t="s">
        <v>1440</v>
      </c>
      <c r="H189" s="1" t="s">
        <v>23</v>
      </c>
      <c r="I189" s="1">
        <v>12591</v>
      </c>
      <c r="J189" s="2" t="s">
        <v>1441</v>
      </c>
      <c r="K189" s="2" t="s">
        <v>1281</v>
      </c>
      <c r="L189" s="3">
        <v>3</v>
      </c>
      <c r="M189" s="3">
        <v>9</v>
      </c>
      <c r="N189" s="4">
        <f t="shared" si="2"/>
        <v>9</v>
      </c>
      <c r="O189" s="1" t="s">
        <v>27</v>
      </c>
      <c r="P189" s="2" t="s">
        <v>1442</v>
      </c>
    </row>
    <row r="190" spans="1:16" ht="24" customHeight="1" x14ac:dyDescent="0.3">
      <c r="A190" s="1" t="s">
        <v>1443</v>
      </c>
      <c r="B190" s="2" t="s">
        <v>1444</v>
      </c>
      <c r="C190" s="2" t="s">
        <v>1445</v>
      </c>
      <c r="D190" s="2" t="s">
        <v>1346</v>
      </c>
      <c r="E190" s="2" t="s">
        <v>1347</v>
      </c>
      <c r="F190" s="2" t="s">
        <v>1125</v>
      </c>
      <c r="G190" s="2" t="s">
        <v>1446</v>
      </c>
      <c r="H190" s="1" t="s">
        <v>23</v>
      </c>
      <c r="I190" s="1">
        <v>18428</v>
      </c>
      <c r="J190" s="2" t="s">
        <v>1447</v>
      </c>
      <c r="K190" s="2" t="s">
        <v>1448</v>
      </c>
      <c r="L190" s="3">
        <v>3</v>
      </c>
      <c r="M190" s="3">
        <v>6</v>
      </c>
      <c r="N190" s="4">
        <f t="shared" si="2"/>
        <v>6</v>
      </c>
      <c r="O190" s="1" t="s">
        <v>27</v>
      </c>
      <c r="P190" s="2" t="s">
        <v>1449</v>
      </c>
    </row>
    <row r="191" spans="1:16" ht="24" customHeight="1" x14ac:dyDescent="0.3">
      <c r="A191" s="1" t="s">
        <v>1450</v>
      </c>
      <c r="B191" s="2" t="s">
        <v>1451</v>
      </c>
      <c r="C191" s="2" t="s">
        <v>1452</v>
      </c>
      <c r="D191" s="2" t="s">
        <v>1453</v>
      </c>
      <c r="E191" s="2" t="s">
        <v>1454</v>
      </c>
      <c r="F191" s="2" t="s">
        <v>1244</v>
      </c>
      <c r="G191" s="2" t="s">
        <v>1455</v>
      </c>
      <c r="H191" s="1" t="s">
        <v>23</v>
      </c>
      <c r="I191" s="1">
        <v>14831</v>
      </c>
      <c r="J191" s="2" t="s">
        <v>1456</v>
      </c>
      <c r="K191" s="2" t="s">
        <v>1281</v>
      </c>
      <c r="L191" s="3">
        <v>3</v>
      </c>
      <c r="M191" s="3">
        <v>6</v>
      </c>
      <c r="N191" s="4">
        <f t="shared" si="2"/>
        <v>6</v>
      </c>
      <c r="O191" s="1" t="s">
        <v>27</v>
      </c>
      <c r="P191" s="2" t="s">
        <v>1457</v>
      </c>
    </row>
    <row r="192" spans="1:16" ht="24" customHeight="1" x14ac:dyDescent="0.3">
      <c r="A192" s="1" t="s">
        <v>1458</v>
      </c>
      <c r="B192" s="2" t="s">
        <v>1459</v>
      </c>
      <c r="C192" s="2" t="s">
        <v>1460</v>
      </c>
      <c r="D192" s="2" t="s">
        <v>1461</v>
      </c>
      <c r="E192" s="2" t="s">
        <v>1462</v>
      </c>
      <c r="F192" s="2" t="s">
        <v>1244</v>
      </c>
      <c r="G192" s="2" t="s">
        <v>1463</v>
      </c>
      <c r="H192" s="1" t="s">
        <v>23</v>
      </c>
      <c r="I192" s="1">
        <v>12848</v>
      </c>
      <c r="J192" s="2" t="s">
        <v>1464</v>
      </c>
      <c r="K192" s="2" t="s">
        <v>1465</v>
      </c>
      <c r="L192" s="3">
        <v>3</v>
      </c>
      <c r="M192" s="3">
        <v>6</v>
      </c>
      <c r="N192" s="4">
        <f t="shared" si="2"/>
        <v>6</v>
      </c>
      <c r="O192" s="1" t="s">
        <v>27</v>
      </c>
      <c r="P192" s="2" t="s">
        <v>1466</v>
      </c>
    </row>
    <row r="193" spans="1:16" ht="24" customHeight="1" x14ac:dyDescent="0.3">
      <c r="A193" s="1" t="s">
        <v>1467</v>
      </c>
      <c r="B193" s="2" t="s">
        <v>1468</v>
      </c>
      <c r="C193" s="2" t="s">
        <v>1469</v>
      </c>
      <c r="D193" s="2" t="s">
        <v>1291</v>
      </c>
      <c r="E193" s="2" t="s">
        <v>1292</v>
      </c>
      <c r="F193" s="2" t="s">
        <v>1244</v>
      </c>
      <c r="G193" s="2" t="s">
        <v>1470</v>
      </c>
      <c r="H193" s="1" t="s">
        <v>23</v>
      </c>
      <c r="I193" s="1" t="s">
        <v>265</v>
      </c>
      <c r="J193" s="2" t="s">
        <v>1471</v>
      </c>
      <c r="K193" s="2" t="s">
        <v>1281</v>
      </c>
      <c r="L193" s="3">
        <v>4</v>
      </c>
      <c r="M193" s="3">
        <v>9</v>
      </c>
      <c r="N193" s="4">
        <f t="shared" si="2"/>
        <v>9</v>
      </c>
      <c r="O193" s="1" t="s">
        <v>27</v>
      </c>
      <c r="P193" s="2" t="s">
        <v>1472</v>
      </c>
    </row>
    <row r="194" spans="1:16" ht="24" customHeight="1" x14ac:dyDescent="0.3">
      <c r="A194" s="1" t="s">
        <v>1473</v>
      </c>
      <c r="B194" s="2" t="s">
        <v>1474</v>
      </c>
      <c r="C194" s="2" t="s">
        <v>1475</v>
      </c>
      <c r="D194" s="2" t="s">
        <v>1476</v>
      </c>
      <c r="E194" s="2" t="s">
        <v>1477</v>
      </c>
      <c r="F194" s="2" t="s">
        <v>1185</v>
      </c>
      <c r="G194" s="2" t="s">
        <v>1478</v>
      </c>
      <c r="H194" s="1" t="s">
        <v>63</v>
      </c>
      <c r="I194" s="1"/>
      <c r="J194" s="2" t="s">
        <v>265</v>
      </c>
      <c r="K194" s="2" t="s">
        <v>265</v>
      </c>
      <c r="L194" s="3">
        <v>3</v>
      </c>
      <c r="M194" s="3">
        <v>6</v>
      </c>
      <c r="N194" s="4">
        <f t="shared" ref="N194:N257" si="3">MAX(L194,M194)</f>
        <v>6</v>
      </c>
      <c r="O194" s="1" t="s">
        <v>27</v>
      </c>
      <c r="P194" s="2" t="s">
        <v>1479</v>
      </c>
    </row>
    <row r="195" spans="1:16" ht="24" customHeight="1" x14ac:dyDescent="0.3">
      <c r="A195" s="1" t="s">
        <v>1480</v>
      </c>
      <c r="B195" s="2" t="s">
        <v>1481</v>
      </c>
      <c r="C195" s="2" t="s">
        <v>1482</v>
      </c>
      <c r="D195" s="2" t="s">
        <v>1483</v>
      </c>
      <c r="E195" s="2" t="s">
        <v>1484</v>
      </c>
      <c r="F195" s="2" t="s">
        <v>1185</v>
      </c>
      <c r="G195" s="2" t="s">
        <v>1485</v>
      </c>
      <c r="H195" s="1" t="s">
        <v>63</v>
      </c>
      <c r="I195" s="1"/>
      <c r="J195" s="2" t="s">
        <v>265</v>
      </c>
      <c r="K195" s="2" t="s">
        <v>265</v>
      </c>
      <c r="L195" s="3">
        <v>3</v>
      </c>
      <c r="M195" s="3">
        <v>10</v>
      </c>
      <c r="N195" s="4">
        <f t="shared" si="3"/>
        <v>10</v>
      </c>
      <c r="O195" s="1" t="s">
        <v>27</v>
      </c>
      <c r="P195" s="2" t="s">
        <v>1486</v>
      </c>
    </row>
    <row r="196" spans="1:16" ht="24" customHeight="1" x14ac:dyDescent="0.3">
      <c r="A196" s="1" t="s">
        <v>1487</v>
      </c>
      <c r="B196" s="2" t="s">
        <v>1488</v>
      </c>
      <c r="C196" s="2" t="s">
        <v>1489</v>
      </c>
      <c r="D196" s="2" t="s">
        <v>1483</v>
      </c>
      <c r="E196" s="2" t="s">
        <v>1484</v>
      </c>
      <c r="F196" s="2" t="s">
        <v>1185</v>
      </c>
      <c r="G196" s="2" t="s">
        <v>1490</v>
      </c>
      <c r="H196" s="1" t="s">
        <v>63</v>
      </c>
      <c r="I196" s="1"/>
      <c r="J196" s="2" t="s">
        <v>265</v>
      </c>
      <c r="K196" s="2" t="s">
        <v>265</v>
      </c>
      <c r="L196" s="3">
        <v>3</v>
      </c>
      <c r="M196" s="3">
        <v>12</v>
      </c>
      <c r="N196" s="4">
        <f t="shared" si="3"/>
        <v>12</v>
      </c>
      <c r="O196" s="1" t="s">
        <v>27</v>
      </c>
      <c r="P196" s="2" t="s">
        <v>1491</v>
      </c>
    </row>
    <row r="197" spans="1:16" ht="24" customHeight="1" x14ac:dyDescent="0.3">
      <c r="A197" s="1" t="s">
        <v>1492</v>
      </c>
      <c r="B197" s="2" t="s">
        <v>1493</v>
      </c>
      <c r="C197" s="2" t="s">
        <v>1494</v>
      </c>
      <c r="D197" s="2" t="s">
        <v>1367</v>
      </c>
      <c r="E197" s="2" t="s">
        <v>1368</v>
      </c>
      <c r="F197" s="2" t="s">
        <v>1185</v>
      </c>
      <c r="G197" s="2" t="s">
        <v>1495</v>
      </c>
      <c r="H197" s="1" t="s">
        <v>63</v>
      </c>
      <c r="I197" s="1"/>
      <c r="J197" s="2" t="s">
        <v>265</v>
      </c>
      <c r="K197" s="2" t="s">
        <v>265</v>
      </c>
      <c r="L197" s="3">
        <v>3</v>
      </c>
      <c r="M197" s="3">
        <v>6</v>
      </c>
      <c r="N197" s="4">
        <f t="shared" si="3"/>
        <v>6</v>
      </c>
      <c r="O197" s="1" t="s">
        <v>27</v>
      </c>
      <c r="P197" s="2" t="s">
        <v>1496</v>
      </c>
    </row>
    <row r="198" spans="1:16" ht="24" customHeight="1" x14ac:dyDescent="0.3">
      <c r="A198" s="1" t="s">
        <v>1497</v>
      </c>
      <c r="B198" s="2" t="s">
        <v>1498</v>
      </c>
      <c r="C198" s="2" t="s">
        <v>1499</v>
      </c>
      <c r="D198" s="2" t="s">
        <v>1500</v>
      </c>
      <c r="E198" s="2" t="s">
        <v>1501</v>
      </c>
      <c r="F198" s="2" t="s">
        <v>1185</v>
      </c>
      <c r="G198" s="2" t="s">
        <v>1502</v>
      </c>
      <c r="H198" s="1" t="s">
        <v>63</v>
      </c>
      <c r="I198" s="1"/>
      <c r="J198" s="2" t="s">
        <v>265</v>
      </c>
      <c r="K198" s="2" t="s">
        <v>265</v>
      </c>
      <c r="L198" s="3">
        <v>3</v>
      </c>
      <c r="M198" s="3">
        <v>6</v>
      </c>
      <c r="N198" s="4">
        <f t="shared" si="3"/>
        <v>6</v>
      </c>
      <c r="O198" s="1" t="s">
        <v>27</v>
      </c>
      <c r="P198" s="2" t="s">
        <v>1503</v>
      </c>
    </row>
    <row r="199" spans="1:16" ht="24" customHeight="1" x14ac:dyDescent="0.3">
      <c r="A199" s="1" t="s">
        <v>1504</v>
      </c>
      <c r="B199" s="2" t="s">
        <v>1438</v>
      </c>
      <c r="C199" s="2" t="s">
        <v>1505</v>
      </c>
      <c r="D199" s="2" t="s">
        <v>1313</v>
      </c>
      <c r="E199" s="2" t="s">
        <v>1383</v>
      </c>
      <c r="F199" s="2" t="s">
        <v>1185</v>
      </c>
      <c r="G199" s="2" t="s">
        <v>1506</v>
      </c>
      <c r="H199" s="1" t="s">
        <v>63</v>
      </c>
      <c r="I199" s="1"/>
      <c r="J199" s="2" t="s">
        <v>265</v>
      </c>
      <c r="K199" s="2" t="s">
        <v>265</v>
      </c>
      <c r="L199" s="3">
        <v>3</v>
      </c>
      <c r="M199" s="3">
        <v>6</v>
      </c>
      <c r="N199" s="4">
        <f t="shared" si="3"/>
        <v>6</v>
      </c>
      <c r="O199" s="1" t="s">
        <v>27</v>
      </c>
      <c r="P199" s="2" t="s">
        <v>1507</v>
      </c>
    </row>
    <row r="200" spans="1:16" ht="24" customHeight="1" x14ac:dyDescent="0.3">
      <c r="A200" s="1" t="s">
        <v>1508</v>
      </c>
      <c r="B200" s="2" t="s">
        <v>1509</v>
      </c>
      <c r="C200" s="2" t="s">
        <v>225</v>
      </c>
      <c r="D200" s="2" t="s">
        <v>1510</v>
      </c>
      <c r="E200" s="2" t="s">
        <v>1511</v>
      </c>
      <c r="F200" s="2" t="s">
        <v>1244</v>
      </c>
      <c r="G200" s="2" t="s">
        <v>1512</v>
      </c>
      <c r="H200" s="1" t="s">
        <v>23</v>
      </c>
      <c r="I200" s="1" t="s">
        <v>265</v>
      </c>
      <c r="J200" s="2" t="s">
        <v>1513</v>
      </c>
      <c r="K200" s="2" t="s">
        <v>1514</v>
      </c>
      <c r="L200" s="3">
        <v>3</v>
      </c>
      <c r="M200" s="3">
        <v>6</v>
      </c>
      <c r="N200" s="4">
        <f t="shared" si="3"/>
        <v>6</v>
      </c>
      <c r="O200" s="1" t="s">
        <v>27</v>
      </c>
      <c r="P200" s="2" t="s">
        <v>1515</v>
      </c>
    </row>
    <row r="201" spans="1:16" ht="24" customHeight="1" x14ac:dyDescent="0.3">
      <c r="A201" s="1" t="s">
        <v>1516</v>
      </c>
      <c r="B201" s="2" t="s">
        <v>1517</v>
      </c>
      <c r="C201" s="2" t="s">
        <v>1518</v>
      </c>
      <c r="D201" s="2" t="s">
        <v>1313</v>
      </c>
      <c r="E201" s="2" t="s">
        <v>1383</v>
      </c>
      <c r="F201" s="2" t="s">
        <v>1185</v>
      </c>
      <c r="G201" s="2" t="s">
        <v>1519</v>
      </c>
      <c r="H201" s="1" t="s">
        <v>63</v>
      </c>
      <c r="I201" s="1"/>
      <c r="J201" s="2" t="s">
        <v>265</v>
      </c>
      <c r="K201" s="2" t="s">
        <v>265</v>
      </c>
      <c r="L201" s="3">
        <v>5</v>
      </c>
      <c r="M201" s="3">
        <v>10</v>
      </c>
      <c r="N201" s="4">
        <f t="shared" si="3"/>
        <v>10</v>
      </c>
      <c r="O201" s="1" t="s">
        <v>27</v>
      </c>
      <c r="P201" s="2" t="s">
        <v>1520</v>
      </c>
    </row>
    <row r="202" spans="1:16" ht="24" customHeight="1" x14ac:dyDescent="0.3">
      <c r="A202" s="1" t="s">
        <v>1521</v>
      </c>
      <c r="B202" s="2" t="s">
        <v>1522</v>
      </c>
      <c r="C202" s="2" t="s">
        <v>1523</v>
      </c>
      <c r="D202" s="2" t="s">
        <v>1313</v>
      </c>
      <c r="E202" s="2" t="s">
        <v>1383</v>
      </c>
      <c r="F202" s="2" t="s">
        <v>1125</v>
      </c>
      <c r="G202" s="2" t="s">
        <v>1524</v>
      </c>
      <c r="H202" s="1" t="s">
        <v>23</v>
      </c>
      <c r="I202" s="1" t="s">
        <v>265</v>
      </c>
      <c r="J202" s="2" t="s">
        <v>1525</v>
      </c>
      <c r="K202" s="2" t="s">
        <v>1526</v>
      </c>
      <c r="L202" s="3">
        <v>3</v>
      </c>
      <c r="M202" s="3">
        <v>6</v>
      </c>
      <c r="N202" s="4">
        <f t="shared" si="3"/>
        <v>6</v>
      </c>
      <c r="O202" s="1" t="s">
        <v>27</v>
      </c>
      <c r="P202" s="2" t="s">
        <v>1527</v>
      </c>
    </row>
    <row r="203" spans="1:16" ht="24" customHeight="1" x14ac:dyDescent="0.3">
      <c r="A203" s="1" t="s">
        <v>1528</v>
      </c>
      <c r="B203" s="2" t="s">
        <v>1529</v>
      </c>
      <c r="C203" s="2" t="s">
        <v>1530</v>
      </c>
      <c r="D203" s="2" t="s">
        <v>1483</v>
      </c>
      <c r="E203" s="2" t="s">
        <v>1484</v>
      </c>
      <c r="F203" s="2" t="s">
        <v>1185</v>
      </c>
      <c r="G203" s="2" t="s">
        <v>1531</v>
      </c>
      <c r="H203" s="1" t="s">
        <v>63</v>
      </c>
      <c r="I203" s="1"/>
      <c r="J203" s="2" t="s">
        <v>265</v>
      </c>
      <c r="K203" s="2" t="s">
        <v>265</v>
      </c>
      <c r="L203" s="3">
        <v>3</v>
      </c>
      <c r="M203" s="3">
        <v>10</v>
      </c>
      <c r="N203" s="4">
        <f t="shared" si="3"/>
        <v>10</v>
      </c>
      <c r="O203" s="1" t="s">
        <v>27</v>
      </c>
      <c r="P203" s="2" t="s">
        <v>1532</v>
      </c>
    </row>
    <row r="204" spans="1:16" ht="24" customHeight="1" x14ac:dyDescent="0.3">
      <c r="A204" s="1" t="s">
        <v>1533</v>
      </c>
      <c r="B204" s="2" t="s">
        <v>1534</v>
      </c>
      <c r="C204" s="2" t="s">
        <v>1535</v>
      </c>
      <c r="D204" s="2" t="s">
        <v>1536</v>
      </c>
      <c r="E204" s="2" t="s">
        <v>1537</v>
      </c>
      <c r="F204" s="2" t="s">
        <v>1125</v>
      </c>
      <c r="G204" s="2" t="s">
        <v>1538</v>
      </c>
      <c r="H204" s="1" t="s">
        <v>23</v>
      </c>
      <c r="I204" s="1" t="s">
        <v>265</v>
      </c>
      <c r="J204" s="2" t="s">
        <v>1539</v>
      </c>
      <c r="K204" s="2" t="s">
        <v>1540</v>
      </c>
      <c r="L204" s="3">
        <v>3</v>
      </c>
      <c r="M204" s="3">
        <v>6</v>
      </c>
      <c r="N204" s="4">
        <f t="shared" si="3"/>
        <v>6</v>
      </c>
      <c r="O204" s="1" t="s">
        <v>27</v>
      </c>
      <c r="P204" s="2" t="s">
        <v>1541</v>
      </c>
    </row>
    <row r="205" spans="1:16" ht="24" customHeight="1" x14ac:dyDescent="0.3">
      <c r="A205" s="1" t="s">
        <v>1542</v>
      </c>
      <c r="B205" s="2" t="s">
        <v>1543</v>
      </c>
      <c r="C205" s="2" t="s">
        <v>1544</v>
      </c>
      <c r="D205" s="2" t="s">
        <v>1500</v>
      </c>
      <c r="E205" s="2" t="s">
        <v>1501</v>
      </c>
      <c r="F205" s="2" t="s">
        <v>1185</v>
      </c>
      <c r="G205" s="2" t="s">
        <v>1545</v>
      </c>
      <c r="H205" s="1" t="s">
        <v>63</v>
      </c>
      <c r="I205" s="1"/>
      <c r="J205" s="2" t="s">
        <v>265</v>
      </c>
      <c r="K205" s="2" t="s">
        <v>265</v>
      </c>
      <c r="L205" s="3">
        <v>3</v>
      </c>
      <c r="M205" s="3">
        <v>6</v>
      </c>
      <c r="N205" s="4">
        <f t="shared" si="3"/>
        <v>6</v>
      </c>
      <c r="O205" s="1" t="s">
        <v>27</v>
      </c>
      <c r="P205" s="2" t="s">
        <v>1546</v>
      </c>
    </row>
    <row r="206" spans="1:16" ht="24" customHeight="1" x14ac:dyDescent="0.3">
      <c r="A206" s="1" t="s">
        <v>1547</v>
      </c>
      <c r="B206" s="2" t="s">
        <v>1548</v>
      </c>
      <c r="C206" s="2" t="s">
        <v>1549</v>
      </c>
      <c r="D206" s="2" t="s">
        <v>1550</v>
      </c>
      <c r="E206" s="2" t="s">
        <v>1551</v>
      </c>
      <c r="F206" s="2" t="s">
        <v>1125</v>
      </c>
      <c r="G206" s="2" t="s">
        <v>1552</v>
      </c>
      <c r="H206" s="1" t="s">
        <v>23</v>
      </c>
      <c r="I206" s="1" t="s">
        <v>265</v>
      </c>
      <c r="J206" s="2" t="s">
        <v>1553</v>
      </c>
      <c r="K206" s="2" t="s">
        <v>265</v>
      </c>
      <c r="L206" s="3">
        <v>3</v>
      </c>
      <c r="M206" s="3">
        <v>6</v>
      </c>
      <c r="N206" s="4">
        <f t="shared" si="3"/>
        <v>6</v>
      </c>
      <c r="O206" s="1" t="s">
        <v>27</v>
      </c>
      <c r="P206" s="2" t="s">
        <v>1554</v>
      </c>
    </row>
    <row r="207" spans="1:16" ht="24" customHeight="1" x14ac:dyDescent="0.3">
      <c r="A207" s="1" t="s">
        <v>1555</v>
      </c>
      <c r="B207" s="2" t="s">
        <v>1556</v>
      </c>
      <c r="C207" s="2" t="s">
        <v>1557</v>
      </c>
      <c r="D207" s="2" t="s">
        <v>1183</v>
      </c>
      <c r="E207" s="2" t="s">
        <v>1184</v>
      </c>
      <c r="F207" s="2" t="s">
        <v>1244</v>
      </c>
      <c r="G207" s="2" t="s">
        <v>1558</v>
      </c>
      <c r="H207" s="1" t="s">
        <v>23</v>
      </c>
      <c r="I207" s="1" t="s">
        <v>265</v>
      </c>
      <c r="J207" s="2" t="s">
        <v>1559</v>
      </c>
      <c r="K207" s="2" t="s">
        <v>1560</v>
      </c>
      <c r="L207" s="3">
        <v>4</v>
      </c>
      <c r="M207" s="3">
        <v>9</v>
      </c>
      <c r="N207" s="4">
        <f t="shared" si="3"/>
        <v>9</v>
      </c>
      <c r="O207" s="1" t="s">
        <v>27</v>
      </c>
      <c r="P207" s="2" t="s">
        <v>1561</v>
      </c>
    </row>
    <row r="208" spans="1:16" ht="24" customHeight="1" x14ac:dyDescent="0.3">
      <c r="A208" s="1" t="s">
        <v>1562</v>
      </c>
      <c r="B208" s="2" t="s">
        <v>1563</v>
      </c>
      <c r="C208" s="2" t="s">
        <v>1564</v>
      </c>
      <c r="D208" s="2" t="s">
        <v>1565</v>
      </c>
      <c r="E208" s="2" t="s">
        <v>1566</v>
      </c>
      <c r="F208" s="2" t="s">
        <v>1125</v>
      </c>
      <c r="G208" s="2" t="s">
        <v>1567</v>
      </c>
      <c r="H208" s="1" t="s">
        <v>23</v>
      </c>
      <c r="I208" s="1" t="s">
        <v>265</v>
      </c>
      <c r="J208" s="2" t="s">
        <v>1568</v>
      </c>
      <c r="K208" s="2" t="s">
        <v>1569</v>
      </c>
      <c r="L208" s="3">
        <v>4</v>
      </c>
      <c r="M208" s="3">
        <v>8</v>
      </c>
      <c r="N208" s="4">
        <f t="shared" si="3"/>
        <v>8</v>
      </c>
      <c r="O208" s="1" t="s">
        <v>27</v>
      </c>
      <c r="P208" s="2" t="s">
        <v>1570</v>
      </c>
    </row>
    <row r="209" spans="1:16" ht="24" customHeight="1" x14ac:dyDescent="0.3">
      <c r="A209" s="1" t="s">
        <v>1571</v>
      </c>
      <c r="B209" s="2" t="s">
        <v>1572</v>
      </c>
      <c r="C209" s="2" t="s">
        <v>225</v>
      </c>
      <c r="D209" s="2" t="s">
        <v>1573</v>
      </c>
      <c r="E209" s="2" t="s">
        <v>1574</v>
      </c>
      <c r="F209" s="2" t="s">
        <v>1125</v>
      </c>
      <c r="G209" s="2" t="s">
        <v>1575</v>
      </c>
      <c r="H209" s="1" t="s">
        <v>23</v>
      </c>
      <c r="I209" s="1" t="s">
        <v>265</v>
      </c>
      <c r="J209" s="2" t="s">
        <v>1576</v>
      </c>
      <c r="K209" s="2" t="s">
        <v>1577</v>
      </c>
      <c r="L209" s="3">
        <v>3</v>
      </c>
      <c r="M209" s="3">
        <v>6</v>
      </c>
      <c r="N209" s="4">
        <f t="shared" si="3"/>
        <v>6</v>
      </c>
      <c r="O209" s="1" t="s">
        <v>27</v>
      </c>
      <c r="P209" s="2" t="s">
        <v>1578</v>
      </c>
    </row>
    <row r="210" spans="1:16" ht="24" customHeight="1" x14ac:dyDescent="0.3">
      <c r="A210" s="1" t="s">
        <v>1579</v>
      </c>
      <c r="B210" s="2" t="s">
        <v>1580</v>
      </c>
      <c r="C210" s="2" t="s">
        <v>1581</v>
      </c>
      <c r="D210" s="2" t="s">
        <v>1582</v>
      </c>
      <c r="E210" s="2" t="s">
        <v>1583</v>
      </c>
      <c r="F210" s="2" t="s">
        <v>1125</v>
      </c>
      <c r="G210" s="2" t="s">
        <v>1584</v>
      </c>
      <c r="H210" s="1" t="s">
        <v>23</v>
      </c>
      <c r="I210" s="1" t="s">
        <v>265</v>
      </c>
      <c r="J210" s="2" t="s">
        <v>1585</v>
      </c>
      <c r="K210" s="2" t="s">
        <v>1586</v>
      </c>
      <c r="L210" s="3">
        <v>3</v>
      </c>
      <c r="M210" s="3">
        <v>9</v>
      </c>
      <c r="N210" s="4">
        <f t="shared" si="3"/>
        <v>9</v>
      </c>
      <c r="O210" s="1" t="s">
        <v>27</v>
      </c>
      <c r="P210" s="2" t="s">
        <v>1587</v>
      </c>
    </row>
    <row r="211" spans="1:16" ht="24" customHeight="1" x14ac:dyDescent="0.3">
      <c r="A211" s="1" t="s">
        <v>1588</v>
      </c>
      <c r="B211" s="2" t="s">
        <v>1589</v>
      </c>
      <c r="C211" s="2" t="s">
        <v>1590</v>
      </c>
      <c r="D211" s="2" t="s">
        <v>1500</v>
      </c>
      <c r="E211" s="2" t="s">
        <v>1501</v>
      </c>
      <c r="F211" s="2" t="s">
        <v>1125</v>
      </c>
      <c r="G211" s="2" t="s">
        <v>1591</v>
      </c>
      <c r="H211" s="1" t="s">
        <v>23</v>
      </c>
      <c r="I211" s="1" t="s">
        <v>265</v>
      </c>
      <c r="J211" s="2" t="s">
        <v>1592</v>
      </c>
      <c r="K211" s="2" t="s">
        <v>1593</v>
      </c>
      <c r="L211" s="3">
        <v>3</v>
      </c>
      <c r="M211" s="3">
        <v>6</v>
      </c>
      <c r="N211" s="4">
        <f t="shared" si="3"/>
        <v>6</v>
      </c>
      <c r="O211" s="1" t="s">
        <v>27</v>
      </c>
      <c r="P211" s="2" t="s">
        <v>1594</v>
      </c>
    </row>
    <row r="212" spans="1:16" ht="24" customHeight="1" x14ac:dyDescent="0.3">
      <c r="A212" s="1" t="s">
        <v>1595</v>
      </c>
      <c r="B212" s="2" t="s">
        <v>1596</v>
      </c>
      <c r="C212" s="2" t="s">
        <v>225</v>
      </c>
      <c r="D212" s="2" t="s">
        <v>1390</v>
      </c>
      <c r="E212" s="2" t="s">
        <v>1391</v>
      </c>
      <c r="F212" s="2" t="s">
        <v>1125</v>
      </c>
      <c r="G212" s="2" t="s">
        <v>1597</v>
      </c>
      <c r="H212" s="1" t="s">
        <v>23</v>
      </c>
      <c r="I212" s="1" t="s">
        <v>265</v>
      </c>
      <c r="J212" s="2" t="s">
        <v>265</v>
      </c>
      <c r="K212" s="2" t="s">
        <v>265</v>
      </c>
      <c r="L212" s="3">
        <v>3</v>
      </c>
      <c r="M212" s="3">
        <v>6</v>
      </c>
      <c r="N212" s="4">
        <f t="shared" si="3"/>
        <v>6</v>
      </c>
      <c r="O212" s="1" t="s">
        <v>27</v>
      </c>
      <c r="P212" s="2" t="s">
        <v>1598</v>
      </c>
    </row>
    <row r="213" spans="1:16" ht="24" customHeight="1" x14ac:dyDescent="0.3">
      <c r="A213" s="1" t="s">
        <v>1599</v>
      </c>
      <c r="B213" s="2" t="s">
        <v>1617</v>
      </c>
      <c r="C213" s="2" t="s">
        <v>1618</v>
      </c>
      <c r="D213" s="2" t="s">
        <v>1619</v>
      </c>
      <c r="E213" s="2" t="s">
        <v>1620</v>
      </c>
      <c r="F213" s="2" t="s">
        <v>1125</v>
      </c>
      <c r="G213" s="2" t="s">
        <v>1624</v>
      </c>
      <c r="H213" s="1" t="s">
        <v>23</v>
      </c>
      <c r="I213" s="1">
        <v>1905</v>
      </c>
      <c r="J213" s="2" t="s">
        <v>1625</v>
      </c>
      <c r="K213" s="2" t="s">
        <v>1626</v>
      </c>
      <c r="L213" s="3">
        <v>3</v>
      </c>
      <c r="M213" s="3">
        <v>6</v>
      </c>
      <c r="N213" s="4">
        <f t="shared" si="3"/>
        <v>6</v>
      </c>
      <c r="O213" s="1" t="s">
        <v>27</v>
      </c>
      <c r="P213" s="2" t="s">
        <v>1627</v>
      </c>
    </row>
    <row r="214" spans="1:16" ht="24" customHeight="1" x14ac:dyDescent="0.3">
      <c r="A214" s="1" t="s">
        <v>1600</v>
      </c>
      <c r="B214" s="2" t="s">
        <v>1621</v>
      </c>
      <c r="C214" s="2" t="s">
        <v>1613</v>
      </c>
      <c r="D214" s="2" t="s">
        <v>1193</v>
      </c>
      <c r="E214" s="2" t="s">
        <v>1194</v>
      </c>
      <c r="F214" s="2" t="s">
        <v>1185</v>
      </c>
      <c r="G214" s="2" t="s">
        <v>1628</v>
      </c>
      <c r="H214" s="1" t="s">
        <v>63</v>
      </c>
      <c r="I214" s="1"/>
      <c r="J214" s="2"/>
      <c r="K214" s="2"/>
      <c r="L214" s="3">
        <v>3</v>
      </c>
      <c r="M214" s="3">
        <v>11</v>
      </c>
      <c r="N214" s="4">
        <f t="shared" si="3"/>
        <v>11</v>
      </c>
      <c r="O214" s="1" t="s">
        <v>27</v>
      </c>
      <c r="P214" s="2" t="s">
        <v>1629</v>
      </c>
    </row>
    <row r="215" spans="1:16" ht="24" customHeight="1" x14ac:dyDescent="0.3">
      <c r="A215" s="1" t="s">
        <v>1601</v>
      </c>
      <c r="B215" s="2" t="s">
        <v>1622</v>
      </c>
      <c r="C215" s="2" t="s">
        <v>1623</v>
      </c>
      <c r="D215" s="2" t="s">
        <v>1193</v>
      </c>
      <c r="E215" s="2" t="s">
        <v>1194</v>
      </c>
      <c r="F215" s="2" t="s">
        <v>1185</v>
      </c>
      <c r="G215" s="2" t="s">
        <v>1630</v>
      </c>
      <c r="H215" s="1" t="s">
        <v>63</v>
      </c>
      <c r="I215" s="1"/>
      <c r="J215" s="2"/>
      <c r="K215" s="2"/>
      <c r="L215" s="3">
        <v>3</v>
      </c>
      <c r="M215" s="3">
        <v>12</v>
      </c>
      <c r="N215" s="4">
        <f t="shared" si="3"/>
        <v>12</v>
      </c>
      <c r="O215" s="1" t="s">
        <v>27</v>
      </c>
      <c r="P215" s="2" t="s">
        <v>1631</v>
      </c>
    </row>
    <row r="216" spans="1:16" ht="24" customHeight="1" x14ac:dyDescent="0.3">
      <c r="A216" s="1" t="s">
        <v>1602</v>
      </c>
      <c r="B216" s="2" t="s">
        <v>1632</v>
      </c>
      <c r="C216" s="2" t="s">
        <v>1633</v>
      </c>
      <c r="D216" s="2" t="s">
        <v>1615</v>
      </c>
      <c r="E216" s="2" t="s">
        <v>1616</v>
      </c>
      <c r="F216" s="2" t="s">
        <v>1125</v>
      </c>
      <c r="G216" s="2" t="s">
        <v>1634</v>
      </c>
      <c r="H216" s="1" t="s">
        <v>23</v>
      </c>
      <c r="I216" s="1" t="s">
        <v>1635</v>
      </c>
      <c r="J216" s="2"/>
      <c r="K216" s="2" t="s">
        <v>1636</v>
      </c>
      <c r="L216" s="3">
        <v>3</v>
      </c>
      <c r="M216" s="3">
        <v>10.5</v>
      </c>
      <c r="N216" s="4">
        <f t="shared" si="3"/>
        <v>10.5</v>
      </c>
      <c r="O216" s="1" t="s">
        <v>27</v>
      </c>
      <c r="P216" s="2" t="s">
        <v>1637</v>
      </c>
    </row>
    <row r="217" spans="1:16" ht="24" customHeight="1" x14ac:dyDescent="0.3">
      <c r="A217" s="1" t="s">
        <v>1603</v>
      </c>
      <c r="B217" s="2" t="s">
        <v>1638</v>
      </c>
      <c r="C217" s="2" t="s">
        <v>1639</v>
      </c>
      <c r="D217" s="2" t="s">
        <v>1193</v>
      </c>
      <c r="E217" s="2" t="s">
        <v>1194</v>
      </c>
      <c r="F217" s="2" t="s">
        <v>1185</v>
      </c>
      <c r="G217" s="2" t="s">
        <v>1640</v>
      </c>
      <c r="H217" s="1" t="s">
        <v>63</v>
      </c>
      <c r="I217" s="1"/>
      <c r="J217" s="2"/>
      <c r="K217" s="2"/>
      <c r="L217" s="3">
        <v>3</v>
      </c>
      <c r="M217" s="3">
        <v>12</v>
      </c>
      <c r="N217" s="4">
        <f t="shared" si="3"/>
        <v>12</v>
      </c>
      <c r="O217" s="1" t="s">
        <v>27</v>
      </c>
      <c r="P217" s="2" t="s">
        <v>1641</v>
      </c>
    </row>
    <row r="218" spans="1:16" ht="24" customHeight="1" x14ac:dyDescent="0.3">
      <c r="A218" s="1" t="s">
        <v>1604</v>
      </c>
      <c r="B218" s="2" t="s">
        <v>1642</v>
      </c>
      <c r="C218" s="2" t="s">
        <v>1643</v>
      </c>
      <c r="D218" s="2" t="s">
        <v>1644</v>
      </c>
      <c r="E218" s="2" t="s">
        <v>1645</v>
      </c>
      <c r="F218" s="2" t="s">
        <v>1185</v>
      </c>
      <c r="G218" s="2" t="s">
        <v>1630</v>
      </c>
      <c r="H218" s="1" t="s">
        <v>63</v>
      </c>
      <c r="I218" s="1"/>
      <c r="J218" s="2"/>
      <c r="K218" s="2"/>
      <c r="L218" s="3">
        <v>3</v>
      </c>
      <c r="M218" s="3">
        <v>6</v>
      </c>
      <c r="N218" s="4">
        <f t="shared" si="3"/>
        <v>6</v>
      </c>
      <c r="O218" s="1" t="s">
        <v>27</v>
      </c>
      <c r="P218" s="2" t="s">
        <v>1646</v>
      </c>
    </row>
    <row r="219" spans="1:16" ht="24" customHeight="1" x14ac:dyDescent="0.3">
      <c r="A219" s="1" t="s">
        <v>1605</v>
      </c>
      <c r="B219" s="2" t="s">
        <v>1647</v>
      </c>
      <c r="C219" s="2" t="s">
        <v>1648</v>
      </c>
      <c r="D219" s="2" t="s">
        <v>1461</v>
      </c>
      <c r="E219" s="2" t="s">
        <v>1462</v>
      </c>
      <c r="F219" s="2" t="s">
        <v>1125</v>
      </c>
      <c r="G219" s="2" t="s">
        <v>1624</v>
      </c>
      <c r="H219" s="1" t="s">
        <v>23</v>
      </c>
      <c r="I219" s="1" t="s">
        <v>1649</v>
      </c>
      <c r="J219" s="2" t="s">
        <v>1650</v>
      </c>
      <c r="K219" s="2" t="s">
        <v>1651</v>
      </c>
      <c r="L219" s="3">
        <v>3</v>
      </c>
      <c r="M219" s="3">
        <v>6</v>
      </c>
      <c r="N219" s="4">
        <f t="shared" si="3"/>
        <v>6</v>
      </c>
      <c r="O219" s="1" t="s">
        <v>27</v>
      </c>
      <c r="P219" s="2" t="s">
        <v>1652</v>
      </c>
    </row>
    <row r="220" spans="1:16" ht="24" customHeight="1" x14ac:dyDescent="0.3">
      <c r="A220" s="1" t="s">
        <v>1606</v>
      </c>
      <c r="B220" s="2" t="s">
        <v>1653</v>
      </c>
      <c r="C220" s="2" t="s">
        <v>1654</v>
      </c>
      <c r="D220" s="2" t="s">
        <v>1193</v>
      </c>
      <c r="E220" s="2" t="s">
        <v>1194</v>
      </c>
      <c r="F220" s="2" t="s">
        <v>1185</v>
      </c>
      <c r="G220" s="2" t="s">
        <v>1630</v>
      </c>
      <c r="H220" s="1" t="s">
        <v>63</v>
      </c>
      <c r="I220" s="1"/>
      <c r="J220" s="2"/>
      <c r="K220" s="2"/>
      <c r="L220" s="3">
        <v>3</v>
      </c>
      <c r="M220" s="3">
        <v>11</v>
      </c>
      <c r="N220" s="4">
        <f t="shared" si="3"/>
        <v>11</v>
      </c>
      <c r="O220" s="1" t="s">
        <v>27</v>
      </c>
      <c r="P220" s="2" t="s">
        <v>1655</v>
      </c>
    </row>
    <row r="221" spans="1:16" ht="24" customHeight="1" x14ac:dyDescent="0.3">
      <c r="A221" s="1" t="s">
        <v>1607</v>
      </c>
      <c r="B221" s="2" t="s">
        <v>1656</v>
      </c>
      <c r="C221" s="2" t="s">
        <v>1657</v>
      </c>
      <c r="D221" s="2" t="s">
        <v>1658</v>
      </c>
      <c r="E221" s="2" t="s">
        <v>1659</v>
      </c>
      <c r="F221" s="2" t="s">
        <v>1125</v>
      </c>
      <c r="G221" s="2" t="s">
        <v>1660</v>
      </c>
      <c r="H221" s="1" t="s">
        <v>23</v>
      </c>
      <c r="I221" s="1" t="s">
        <v>1661</v>
      </c>
      <c r="J221" s="2" t="s">
        <v>1662</v>
      </c>
      <c r="K221" s="2" t="s">
        <v>1663</v>
      </c>
      <c r="L221" s="3">
        <v>3</v>
      </c>
      <c r="M221" s="3">
        <v>6</v>
      </c>
      <c r="N221" s="4">
        <f t="shared" si="3"/>
        <v>6</v>
      </c>
      <c r="O221" s="1" t="s">
        <v>27</v>
      </c>
      <c r="P221" s="2" t="s">
        <v>1664</v>
      </c>
    </row>
    <row r="222" spans="1:16" ht="24" customHeight="1" x14ac:dyDescent="0.3">
      <c r="A222" s="1" t="s">
        <v>1608</v>
      </c>
      <c r="B222" s="2" t="s">
        <v>1665</v>
      </c>
      <c r="C222" s="2" t="s">
        <v>1666</v>
      </c>
      <c r="D222" s="2" t="s">
        <v>1346</v>
      </c>
      <c r="E222" s="2" t="s">
        <v>1347</v>
      </c>
      <c r="F222" s="2" t="s">
        <v>1253</v>
      </c>
      <c r="G222" s="2" t="s">
        <v>1667</v>
      </c>
      <c r="H222" s="1" t="s">
        <v>63</v>
      </c>
      <c r="I222" s="1"/>
      <c r="J222" s="2"/>
      <c r="K222" s="2"/>
      <c r="L222" s="3">
        <v>3</v>
      </c>
      <c r="M222" s="3">
        <v>6</v>
      </c>
      <c r="N222" s="4">
        <f t="shared" si="3"/>
        <v>6</v>
      </c>
      <c r="O222" s="1" t="s">
        <v>27</v>
      </c>
      <c r="P222" s="2" t="s">
        <v>1668</v>
      </c>
    </row>
    <row r="223" spans="1:16" ht="24" customHeight="1" x14ac:dyDescent="0.3">
      <c r="A223" s="1" t="s">
        <v>1609</v>
      </c>
      <c r="B223" s="2" t="s">
        <v>1669</v>
      </c>
      <c r="C223" s="2" t="s">
        <v>1670</v>
      </c>
      <c r="D223" s="2" t="s">
        <v>1193</v>
      </c>
      <c r="E223" s="2" t="s">
        <v>1194</v>
      </c>
      <c r="F223" s="2" t="s">
        <v>1253</v>
      </c>
      <c r="G223" s="2" t="s">
        <v>1671</v>
      </c>
      <c r="H223" s="1" t="s">
        <v>63</v>
      </c>
      <c r="I223" s="1"/>
      <c r="J223" s="2"/>
      <c r="K223" s="2"/>
      <c r="L223" s="3">
        <v>3</v>
      </c>
      <c r="M223" s="3">
        <v>6</v>
      </c>
      <c r="N223" s="4">
        <f t="shared" si="3"/>
        <v>6</v>
      </c>
      <c r="O223" s="1" t="s">
        <v>27</v>
      </c>
      <c r="P223" s="2" t="s">
        <v>1672</v>
      </c>
    </row>
    <row r="224" spans="1:16" ht="24" customHeight="1" x14ac:dyDescent="0.3">
      <c r="A224" s="1" t="s">
        <v>1610</v>
      </c>
      <c r="B224" s="2" t="s">
        <v>1673</v>
      </c>
      <c r="C224" s="2" t="s">
        <v>1674</v>
      </c>
      <c r="D224" s="2" t="s">
        <v>1675</v>
      </c>
      <c r="E224" s="2" t="s">
        <v>1676</v>
      </c>
      <c r="F224" s="2" t="s">
        <v>1125</v>
      </c>
      <c r="G224" s="2" t="s">
        <v>1677</v>
      </c>
      <c r="H224" s="1" t="s">
        <v>23</v>
      </c>
      <c r="I224" s="1"/>
      <c r="J224" s="2" t="s">
        <v>1678</v>
      </c>
      <c r="K224" s="2" t="s">
        <v>1679</v>
      </c>
      <c r="L224" s="3">
        <v>3</v>
      </c>
      <c r="M224" s="3">
        <v>9</v>
      </c>
      <c r="N224" s="4">
        <f t="shared" si="3"/>
        <v>9</v>
      </c>
      <c r="O224" s="1" t="s">
        <v>27</v>
      </c>
      <c r="P224" s="2" t="s">
        <v>1680</v>
      </c>
    </row>
    <row r="225" spans="1:17" ht="24" customHeight="1" x14ac:dyDescent="0.3">
      <c r="A225" s="1" t="s">
        <v>1611</v>
      </c>
      <c r="B225" s="2" t="s">
        <v>1681</v>
      </c>
      <c r="C225" s="2" t="s">
        <v>225</v>
      </c>
      <c r="D225" s="2" t="s">
        <v>1390</v>
      </c>
      <c r="E225" s="2" t="s">
        <v>1391</v>
      </c>
      <c r="F225" s="2" t="s">
        <v>1125</v>
      </c>
      <c r="G225" s="2" t="s">
        <v>1682</v>
      </c>
      <c r="H225" s="1" t="s">
        <v>23</v>
      </c>
      <c r="I225" s="1"/>
      <c r="J225" s="2" t="s">
        <v>19</v>
      </c>
      <c r="K225" s="2" t="s">
        <v>1683</v>
      </c>
      <c r="L225" s="3">
        <v>2.5</v>
      </c>
      <c r="M225" s="3">
        <v>5</v>
      </c>
      <c r="N225" s="4">
        <f t="shared" si="3"/>
        <v>5</v>
      </c>
      <c r="O225" s="1" t="s">
        <v>27</v>
      </c>
      <c r="P225" s="2" t="s">
        <v>1684</v>
      </c>
    </row>
    <row r="226" spans="1:17" ht="24" customHeight="1" x14ac:dyDescent="0.3">
      <c r="A226" s="1" t="s">
        <v>1612</v>
      </c>
      <c r="B226" s="2" t="s">
        <v>1685</v>
      </c>
      <c r="C226" s="2" t="s">
        <v>1686</v>
      </c>
      <c r="D226" s="2" t="s">
        <v>1687</v>
      </c>
      <c r="E226" s="2" t="s">
        <v>1688</v>
      </c>
      <c r="F226" s="2" t="s">
        <v>1125</v>
      </c>
      <c r="G226" s="2" t="s">
        <v>1689</v>
      </c>
      <c r="H226" s="1" t="s">
        <v>23</v>
      </c>
      <c r="I226" s="1"/>
      <c r="J226" s="2" t="s">
        <v>1690</v>
      </c>
      <c r="K226" s="2" t="s">
        <v>1691</v>
      </c>
      <c r="L226" s="3">
        <v>3.5</v>
      </c>
      <c r="M226" s="3">
        <v>7</v>
      </c>
      <c r="N226" s="4">
        <f t="shared" si="3"/>
        <v>7</v>
      </c>
      <c r="O226" s="1" t="s">
        <v>27</v>
      </c>
      <c r="P226" s="2" t="s">
        <v>1692</v>
      </c>
    </row>
    <row r="227" spans="1:17" ht="30" x14ac:dyDescent="0.3">
      <c r="A227" s="1" t="s">
        <v>1614</v>
      </c>
      <c r="B227" s="2" t="s">
        <v>1693</v>
      </c>
      <c r="C227" s="2" t="s">
        <v>1694</v>
      </c>
      <c r="D227" s="2" t="s">
        <v>1695</v>
      </c>
      <c r="E227" s="2" t="s">
        <v>1696</v>
      </c>
      <c r="F227" s="2" t="s">
        <v>1697</v>
      </c>
      <c r="G227" s="2" t="s">
        <v>1698</v>
      </c>
      <c r="H227" s="1" t="s">
        <v>63</v>
      </c>
      <c r="I227" s="1"/>
      <c r="J227" s="2" t="s">
        <v>1699</v>
      </c>
      <c r="K227" s="2"/>
      <c r="L227" s="3">
        <v>3</v>
      </c>
      <c r="M227" s="3">
        <v>6</v>
      </c>
      <c r="N227" s="4">
        <f t="shared" si="3"/>
        <v>6</v>
      </c>
      <c r="O227" s="1" t="s">
        <v>27</v>
      </c>
      <c r="P227" s="2" t="s">
        <v>1700</v>
      </c>
    </row>
    <row r="228" spans="1:17" ht="30" x14ac:dyDescent="0.3">
      <c r="A228" s="1" t="s">
        <v>1701</v>
      </c>
      <c r="B228" s="2" t="s">
        <v>1702</v>
      </c>
      <c r="C228" s="2" t="s">
        <v>1703</v>
      </c>
      <c r="D228" s="2" t="s">
        <v>1704</v>
      </c>
      <c r="E228" s="2" t="s">
        <v>1705</v>
      </c>
      <c r="F228" s="2" t="s">
        <v>1253</v>
      </c>
      <c r="G228" s="2" t="s">
        <v>1706</v>
      </c>
      <c r="H228" s="1" t="s">
        <v>63</v>
      </c>
      <c r="I228" s="1"/>
      <c r="J228" s="2"/>
      <c r="K228" s="2"/>
      <c r="L228" s="3">
        <v>2.5</v>
      </c>
      <c r="M228" s="3">
        <v>6</v>
      </c>
      <c r="N228" s="4">
        <f t="shared" si="3"/>
        <v>6</v>
      </c>
      <c r="O228" s="1" t="s">
        <v>27</v>
      </c>
      <c r="P228" s="2" t="s">
        <v>1707</v>
      </c>
    </row>
    <row r="229" spans="1:17" ht="24" customHeight="1" x14ac:dyDescent="0.3">
      <c r="A229" s="1" t="s">
        <v>1708</v>
      </c>
      <c r="B229" s="2" t="s">
        <v>1709</v>
      </c>
      <c r="C229" s="2" t="s">
        <v>1710</v>
      </c>
      <c r="D229" s="2" t="s">
        <v>1711</v>
      </c>
      <c r="E229" s="2" t="s">
        <v>1712</v>
      </c>
      <c r="F229" s="2" t="s">
        <v>1125</v>
      </c>
      <c r="G229" s="2" t="s">
        <v>1720</v>
      </c>
      <c r="H229" s="1" t="s">
        <v>23</v>
      </c>
      <c r="I229" s="1" t="s">
        <v>1721</v>
      </c>
      <c r="J229" s="2" t="s">
        <v>1722</v>
      </c>
      <c r="K229" s="2" t="s">
        <v>1723</v>
      </c>
      <c r="L229" s="3">
        <v>3</v>
      </c>
      <c r="M229" s="3">
        <v>6.5</v>
      </c>
      <c r="N229" s="4">
        <f t="shared" si="3"/>
        <v>6.5</v>
      </c>
      <c r="O229" s="1" t="s">
        <v>27</v>
      </c>
      <c r="P229" s="2" t="s">
        <v>1724</v>
      </c>
    </row>
    <row r="230" spans="1:17" ht="24" customHeight="1" x14ac:dyDescent="0.3">
      <c r="A230" s="1" t="s">
        <v>1714</v>
      </c>
      <c r="B230" s="2" t="s">
        <v>1715</v>
      </c>
      <c r="C230" s="2" t="s">
        <v>1716</v>
      </c>
      <c r="D230" s="2" t="s">
        <v>1717</v>
      </c>
      <c r="E230" s="2" t="s">
        <v>1718</v>
      </c>
      <c r="F230" s="2" t="s">
        <v>1253</v>
      </c>
      <c r="G230" s="2" t="s">
        <v>1713</v>
      </c>
      <c r="H230" s="1" t="s">
        <v>63</v>
      </c>
      <c r="I230" s="1"/>
      <c r="J230" s="2"/>
      <c r="K230" s="2"/>
      <c r="L230" s="3">
        <v>2.5</v>
      </c>
      <c r="M230" s="3">
        <v>5.5</v>
      </c>
      <c r="N230" s="4">
        <f t="shared" si="3"/>
        <v>5.5</v>
      </c>
      <c r="O230" s="1" t="s">
        <v>27</v>
      </c>
      <c r="P230" s="2" t="s">
        <v>1719</v>
      </c>
    </row>
    <row r="231" spans="1:17" ht="24" customHeight="1" x14ac:dyDescent="0.3">
      <c r="A231" s="1" t="s">
        <v>1725</v>
      </c>
      <c r="B231" s="2" t="s">
        <v>1726</v>
      </c>
      <c r="C231" s="2" t="s">
        <v>1727</v>
      </c>
      <c r="D231" s="2" t="s">
        <v>1728</v>
      </c>
      <c r="E231" s="2" t="s">
        <v>1729</v>
      </c>
      <c r="F231" s="2" t="s">
        <v>1253</v>
      </c>
      <c r="G231" s="2" t="s">
        <v>1730</v>
      </c>
      <c r="H231" s="1" t="s">
        <v>63</v>
      </c>
      <c r="I231" s="1"/>
      <c r="J231" s="2"/>
      <c r="K231" s="2"/>
      <c r="L231" s="3">
        <v>2</v>
      </c>
      <c r="M231" s="3">
        <v>4.5</v>
      </c>
      <c r="N231" s="4">
        <f t="shared" si="3"/>
        <v>4.5</v>
      </c>
      <c r="O231" s="1" t="s">
        <v>27</v>
      </c>
      <c r="P231" s="2" t="s">
        <v>1731</v>
      </c>
    </row>
    <row r="232" spans="1:17" ht="54.6" customHeight="1" x14ac:dyDescent="0.3">
      <c r="A232" s="1" t="s">
        <v>1732</v>
      </c>
      <c r="B232" s="2" t="s">
        <v>1733</v>
      </c>
      <c r="C232" s="2" t="s">
        <v>1734</v>
      </c>
      <c r="D232" s="2" t="s">
        <v>1735</v>
      </c>
      <c r="E232" s="2" t="s">
        <v>1736</v>
      </c>
      <c r="F232" s="2" t="s">
        <v>1253</v>
      </c>
      <c r="G232" s="2" t="s">
        <v>1737</v>
      </c>
      <c r="H232" s="1" t="s">
        <v>63</v>
      </c>
      <c r="I232" s="1"/>
      <c r="J232" s="2"/>
      <c r="K232" s="2"/>
      <c r="L232" s="3">
        <v>2</v>
      </c>
      <c r="M232" s="3">
        <v>4.5</v>
      </c>
      <c r="N232" s="4">
        <f t="shared" si="3"/>
        <v>4.5</v>
      </c>
      <c r="O232" s="1" t="s">
        <v>27</v>
      </c>
      <c r="P232" s="2" t="s">
        <v>1738</v>
      </c>
    </row>
    <row r="233" spans="1:17" ht="90" x14ac:dyDescent="0.3">
      <c r="A233" s="1" t="s">
        <v>1739</v>
      </c>
      <c r="B233" s="2" t="s">
        <v>1740</v>
      </c>
      <c r="C233" s="2" t="s">
        <v>1741</v>
      </c>
      <c r="D233" s="2" t="s">
        <v>1390</v>
      </c>
      <c r="E233" s="2" t="s">
        <v>1742</v>
      </c>
      <c r="F233" s="2" t="s">
        <v>1125</v>
      </c>
      <c r="G233" s="2" t="s">
        <v>1306</v>
      </c>
      <c r="H233" s="1" t="s">
        <v>23</v>
      </c>
      <c r="I233" s="1" t="s">
        <v>1743</v>
      </c>
      <c r="J233" s="2" t="s">
        <v>1744</v>
      </c>
      <c r="K233" s="2" t="s">
        <v>1745</v>
      </c>
      <c r="L233" s="3">
        <v>4</v>
      </c>
      <c r="M233" s="3">
        <v>9</v>
      </c>
      <c r="N233" s="4">
        <f t="shared" si="3"/>
        <v>9</v>
      </c>
      <c r="O233" s="1" t="s">
        <v>27</v>
      </c>
      <c r="P233" s="2" t="s">
        <v>1746</v>
      </c>
      <c r="Q233" t="s">
        <v>1747</v>
      </c>
    </row>
    <row r="234" spans="1:17" ht="24" customHeight="1" x14ac:dyDescent="0.3">
      <c r="A234" s="1" t="s">
        <v>3181</v>
      </c>
      <c r="B234" s="2" t="s">
        <v>3182</v>
      </c>
      <c r="C234" s="2" t="s">
        <v>3183</v>
      </c>
      <c r="D234" s="2" t="s">
        <v>3184</v>
      </c>
      <c r="E234" s="2" t="s">
        <v>3185</v>
      </c>
      <c r="F234" s="2" t="s">
        <v>1768</v>
      </c>
      <c r="G234" s="2" t="s">
        <v>3186</v>
      </c>
      <c r="H234" s="1" t="s">
        <v>23</v>
      </c>
      <c r="I234" s="1">
        <v>1910</v>
      </c>
      <c r="J234" s="2" t="s">
        <v>3206</v>
      </c>
      <c r="K234" s="2" t="s">
        <v>3187</v>
      </c>
      <c r="L234" s="28">
        <v>3</v>
      </c>
      <c r="M234" s="28">
        <v>6</v>
      </c>
      <c r="N234" s="29">
        <f t="shared" si="3"/>
        <v>6</v>
      </c>
      <c r="O234" s="1" t="s">
        <v>27</v>
      </c>
      <c r="P234" s="2" t="s">
        <v>3188</v>
      </c>
      <c r="Q234" t="s">
        <v>3140</v>
      </c>
    </row>
    <row r="235" spans="1:17" ht="24" customHeight="1" x14ac:dyDescent="0.3">
      <c r="A235" s="1" t="s">
        <v>3189</v>
      </c>
      <c r="B235" s="2" t="s">
        <v>3190</v>
      </c>
      <c r="C235" s="2" t="s">
        <v>3191</v>
      </c>
      <c r="D235" s="2" t="s">
        <v>3192</v>
      </c>
      <c r="E235" s="2" t="s">
        <v>3193</v>
      </c>
      <c r="F235" s="2" t="s">
        <v>1768</v>
      </c>
      <c r="G235" s="2" t="s">
        <v>3194</v>
      </c>
      <c r="H235" s="1" t="s">
        <v>23</v>
      </c>
      <c r="I235" s="1">
        <v>1939</v>
      </c>
      <c r="J235" s="2" t="s">
        <v>3207</v>
      </c>
      <c r="K235" s="2" t="s">
        <v>3195</v>
      </c>
      <c r="L235" s="28">
        <v>3.5</v>
      </c>
      <c r="M235" s="28">
        <v>7</v>
      </c>
      <c r="N235" s="29">
        <f t="shared" si="3"/>
        <v>7</v>
      </c>
      <c r="O235" s="1" t="s">
        <v>27</v>
      </c>
      <c r="P235" s="2" t="s">
        <v>3196</v>
      </c>
      <c r="Q235" t="s">
        <v>3197</v>
      </c>
    </row>
    <row r="236" spans="1:17" ht="24" customHeight="1" x14ac:dyDescent="0.3">
      <c r="A236" s="1" t="s">
        <v>3198</v>
      </c>
      <c r="B236" s="2" t="s">
        <v>3199</v>
      </c>
      <c r="C236" s="2" t="s">
        <v>3200</v>
      </c>
      <c r="D236" s="2" t="s">
        <v>2530</v>
      </c>
      <c r="E236" s="2" t="s">
        <v>3201</v>
      </c>
      <c r="F236" s="2" t="s">
        <v>1768</v>
      </c>
      <c r="G236" s="2" t="s">
        <v>3202</v>
      </c>
      <c r="H236" s="1" t="s">
        <v>23</v>
      </c>
      <c r="I236" s="1">
        <v>1911</v>
      </c>
      <c r="J236" s="2" t="s">
        <v>3208</v>
      </c>
      <c r="K236" s="2" t="s">
        <v>3203</v>
      </c>
      <c r="L236" s="28">
        <v>3.5</v>
      </c>
      <c r="M236" s="28">
        <v>7</v>
      </c>
      <c r="N236" s="29">
        <f t="shared" si="3"/>
        <v>7</v>
      </c>
      <c r="O236" s="1" t="s">
        <v>27</v>
      </c>
      <c r="P236" s="2" t="s">
        <v>3204</v>
      </c>
      <c r="Q236" t="s">
        <v>3205</v>
      </c>
    </row>
    <row r="237" spans="1:17" ht="39" customHeight="1" x14ac:dyDescent="0.3">
      <c r="A237" s="17" t="s">
        <v>3211</v>
      </c>
      <c r="B237" s="18" t="s">
        <v>3212</v>
      </c>
      <c r="C237" s="18" t="s">
        <v>3213</v>
      </c>
      <c r="D237" s="18" t="s">
        <v>2507</v>
      </c>
      <c r="E237" s="18" t="s">
        <v>3214</v>
      </c>
      <c r="F237" s="18" t="s">
        <v>1768</v>
      </c>
      <c r="G237" s="18" t="s">
        <v>3215</v>
      </c>
      <c r="H237" s="17" t="s">
        <v>23</v>
      </c>
      <c r="I237" s="25">
        <v>17782</v>
      </c>
      <c r="J237" s="26">
        <v>17782</v>
      </c>
      <c r="K237" s="22" t="s">
        <v>3216</v>
      </c>
      <c r="L237" s="23">
        <v>3</v>
      </c>
      <c r="M237" s="23">
        <v>6</v>
      </c>
      <c r="N237" s="24">
        <f t="shared" si="3"/>
        <v>6</v>
      </c>
      <c r="O237" s="17" t="s">
        <v>27</v>
      </c>
      <c r="P237" s="18" t="s">
        <v>3217</v>
      </c>
      <c r="Q237" t="s">
        <v>3218</v>
      </c>
    </row>
    <row r="238" spans="1:17" ht="24" customHeight="1" x14ac:dyDescent="0.3">
      <c r="A238" s="1" t="s">
        <v>1748</v>
      </c>
      <c r="B238" s="2" t="s">
        <v>1749</v>
      </c>
      <c r="C238" s="2" t="s">
        <v>1750</v>
      </c>
      <c r="D238" s="2" t="s">
        <v>1728</v>
      </c>
      <c r="E238" s="2" t="s">
        <v>1751</v>
      </c>
      <c r="F238" s="2" t="s">
        <v>1752</v>
      </c>
      <c r="G238" s="2" t="s">
        <v>1753</v>
      </c>
      <c r="H238" s="1" t="s">
        <v>63</v>
      </c>
      <c r="I238" s="1"/>
      <c r="J238" s="2" t="s">
        <v>1754</v>
      </c>
      <c r="K238" s="2"/>
      <c r="L238" s="28">
        <v>2.5</v>
      </c>
      <c r="M238" s="28">
        <v>6</v>
      </c>
      <c r="N238" s="29">
        <f t="shared" si="3"/>
        <v>6</v>
      </c>
      <c r="O238" s="1" t="s">
        <v>27</v>
      </c>
      <c r="P238" s="2" t="s">
        <v>1755</v>
      </c>
      <c r="Q238" t="s">
        <v>1756</v>
      </c>
    </row>
    <row r="239" spans="1:17" ht="24" customHeight="1" x14ac:dyDescent="0.3">
      <c r="A239" s="1" t="s">
        <v>1757</v>
      </c>
      <c r="B239" s="2" t="s">
        <v>1758</v>
      </c>
      <c r="C239" s="2" t="s">
        <v>1759</v>
      </c>
      <c r="D239" s="2" t="s">
        <v>1760</v>
      </c>
      <c r="E239" s="2" t="s">
        <v>1761</v>
      </c>
      <c r="F239" s="2" t="s">
        <v>1752</v>
      </c>
      <c r="G239" s="2" t="s">
        <v>1753</v>
      </c>
      <c r="H239" s="1" t="s">
        <v>63</v>
      </c>
      <c r="I239" s="1"/>
      <c r="J239" s="2" t="s">
        <v>1754</v>
      </c>
      <c r="K239" s="2"/>
      <c r="L239" s="28">
        <v>2</v>
      </c>
      <c r="M239" s="28">
        <v>5</v>
      </c>
      <c r="N239" s="29">
        <f t="shared" si="3"/>
        <v>5</v>
      </c>
      <c r="O239" s="1" t="s">
        <v>27</v>
      </c>
      <c r="P239" s="2" t="s">
        <v>1762</v>
      </c>
      <c r="Q239" t="s">
        <v>1763</v>
      </c>
    </row>
    <row r="240" spans="1:17" ht="24" customHeight="1" x14ac:dyDescent="0.3">
      <c r="A240" s="1" t="s">
        <v>1764</v>
      </c>
      <c r="B240" s="2" t="s">
        <v>1765</v>
      </c>
      <c r="C240" s="2" t="s">
        <v>1766</v>
      </c>
      <c r="D240" s="2" t="s">
        <v>1461</v>
      </c>
      <c r="E240" s="2" t="s">
        <v>1767</v>
      </c>
      <c r="F240" s="2" t="s">
        <v>1768</v>
      </c>
      <c r="G240" s="2" t="s">
        <v>1769</v>
      </c>
      <c r="H240" s="1" t="s">
        <v>23</v>
      </c>
      <c r="I240" s="1" t="s">
        <v>1770</v>
      </c>
      <c r="J240" s="2" t="s">
        <v>246</v>
      </c>
      <c r="K240" s="2" t="s">
        <v>1771</v>
      </c>
      <c r="L240" s="28">
        <v>3.5</v>
      </c>
      <c r="M240" s="28">
        <v>8</v>
      </c>
      <c r="N240" s="29">
        <f t="shared" si="3"/>
        <v>8</v>
      </c>
      <c r="O240" s="1" t="s">
        <v>27</v>
      </c>
      <c r="P240" s="2" t="s">
        <v>1772</v>
      </c>
      <c r="Q240" t="s">
        <v>1773</v>
      </c>
    </row>
    <row r="241" spans="1:17" ht="24" customHeight="1" x14ac:dyDescent="0.3">
      <c r="A241" s="1" t="s">
        <v>1774</v>
      </c>
      <c r="B241" s="2" t="s">
        <v>1775</v>
      </c>
      <c r="C241" s="2" t="s">
        <v>1776</v>
      </c>
      <c r="D241" s="2" t="s">
        <v>1777</v>
      </c>
      <c r="E241" s="2" t="s">
        <v>1778</v>
      </c>
      <c r="F241" s="2" t="s">
        <v>1768</v>
      </c>
      <c r="G241" s="2" t="s">
        <v>1769</v>
      </c>
      <c r="H241" s="1" t="s">
        <v>23</v>
      </c>
      <c r="I241" s="1" t="s">
        <v>1770</v>
      </c>
      <c r="J241" s="2" t="s">
        <v>1779</v>
      </c>
      <c r="K241" s="2" t="s">
        <v>1780</v>
      </c>
      <c r="L241" s="28">
        <v>3</v>
      </c>
      <c r="M241" s="28">
        <v>11</v>
      </c>
      <c r="N241" s="29">
        <f t="shared" si="3"/>
        <v>11</v>
      </c>
      <c r="O241" s="1" t="s">
        <v>27</v>
      </c>
      <c r="P241" s="2" t="s">
        <v>1781</v>
      </c>
      <c r="Q241" t="s">
        <v>1782</v>
      </c>
    </row>
    <row r="242" spans="1:17" ht="24" customHeight="1" x14ac:dyDescent="0.3">
      <c r="A242" s="1" t="s">
        <v>1783</v>
      </c>
      <c r="B242" s="2" t="s">
        <v>1784</v>
      </c>
      <c r="C242" s="2" t="s">
        <v>1785</v>
      </c>
      <c r="D242" s="2" t="s">
        <v>1786</v>
      </c>
      <c r="E242" s="2" t="s">
        <v>1787</v>
      </c>
      <c r="F242" s="2" t="s">
        <v>1752</v>
      </c>
      <c r="G242" s="2" t="s">
        <v>1753</v>
      </c>
      <c r="H242" s="1" t="s">
        <v>63</v>
      </c>
      <c r="I242" s="1"/>
      <c r="J242" s="2" t="s">
        <v>1754</v>
      </c>
      <c r="K242" s="2"/>
      <c r="L242" s="28">
        <v>1.5</v>
      </c>
      <c r="M242" s="28">
        <v>4</v>
      </c>
      <c r="N242" s="29">
        <f t="shared" si="3"/>
        <v>4</v>
      </c>
      <c r="O242" s="1" t="s">
        <v>27</v>
      </c>
      <c r="P242" s="2" t="s">
        <v>1788</v>
      </c>
      <c r="Q242" t="s">
        <v>1789</v>
      </c>
    </row>
    <row r="243" spans="1:17" ht="24" customHeight="1" x14ac:dyDescent="0.3">
      <c r="A243" s="1" t="s">
        <v>1790</v>
      </c>
      <c r="B243" s="2" t="s">
        <v>1791</v>
      </c>
      <c r="C243" s="2" t="s">
        <v>1792</v>
      </c>
      <c r="D243" s="2" t="s">
        <v>1390</v>
      </c>
      <c r="E243" s="2" t="s">
        <v>1793</v>
      </c>
      <c r="F243" s="2" t="s">
        <v>1768</v>
      </c>
      <c r="G243" s="2" t="s">
        <v>1794</v>
      </c>
      <c r="H243" s="1" t="s">
        <v>23</v>
      </c>
      <c r="I243" s="1" t="s">
        <v>1795</v>
      </c>
      <c r="J243" s="2" t="s">
        <v>1796</v>
      </c>
      <c r="K243" s="2" t="s">
        <v>1797</v>
      </c>
      <c r="L243" s="28">
        <v>6</v>
      </c>
      <c r="M243" s="28">
        <v>15</v>
      </c>
      <c r="N243" s="29">
        <f t="shared" si="3"/>
        <v>15</v>
      </c>
      <c r="O243" s="1" t="s">
        <v>27</v>
      </c>
      <c r="P243" s="2" t="s">
        <v>1798</v>
      </c>
      <c r="Q243" t="s">
        <v>1799</v>
      </c>
    </row>
    <row r="244" spans="1:17" ht="24" customHeight="1" x14ac:dyDescent="0.3">
      <c r="A244" s="1" t="s">
        <v>1800</v>
      </c>
      <c r="B244" s="2" t="s">
        <v>1801</v>
      </c>
      <c r="C244" s="2" t="s">
        <v>1802</v>
      </c>
      <c r="D244" s="2" t="s">
        <v>1803</v>
      </c>
      <c r="E244" s="2" t="s">
        <v>1804</v>
      </c>
      <c r="F244" s="2" t="s">
        <v>1805</v>
      </c>
      <c r="G244" s="2" t="s">
        <v>1806</v>
      </c>
      <c r="H244" s="1" t="s">
        <v>23</v>
      </c>
      <c r="I244" s="1" t="s">
        <v>1770</v>
      </c>
      <c r="J244" s="2" t="s">
        <v>1796</v>
      </c>
      <c r="K244" s="2" t="s">
        <v>1807</v>
      </c>
      <c r="L244" s="28">
        <v>3</v>
      </c>
      <c r="M244" s="28">
        <v>7</v>
      </c>
      <c r="N244" s="29">
        <f t="shared" si="3"/>
        <v>7</v>
      </c>
      <c r="O244" s="1" t="s">
        <v>27</v>
      </c>
      <c r="P244" s="2" t="s">
        <v>1808</v>
      </c>
      <c r="Q244" t="s">
        <v>1809</v>
      </c>
    </row>
    <row r="245" spans="1:17" ht="24" customHeight="1" x14ac:dyDescent="0.3">
      <c r="A245" s="1" t="s">
        <v>1810</v>
      </c>
      <c r="B245" s="2" t="s">
        <v>1811</v>
      </c>
      <c r="C245" s="2" t="s">
        <v>1812</v>
      </c>
      <c r="D245" s="2" t="s">
        <v>1813</v>
      </c>
      <c r="E245" s="2" t="s">
        <v>1814</v>
      </c>
      <c r="F245" s="2" t="s">
        <v>1768</v>
      </c>
      <c r="G245" s="2" t="s">
        <v>1769</v>
      </c>
      <c r="H245" s="1" t="s">
        <v>23</v>
      </c>
      <c r="I245" s="1" t="s">
        <v>1770</v>
      </c>
      <c r="J245" s="2" t="s">
        <v>1815</v>
      </c>
      <c r="K245" s="2" t="s">
        <v>1816</v>
      </c>
      <c r="L245" s="28">
        <v>4</v>
      </c>
      <c r="M245" s="28">
        <v>9</v>
      </c>
      <c r="N245" s="29">
        <f t="shared" si="3"/>
        <v>9</v>
      </c>
      <c r="O245" s="1" t="s">
        <v>27</v>
      </c>
      <c r="P245" s="2" t="s">
        <v>1817</v>
      </c>
      <c r="Q245" t="s">
        <v>1818</v>
      </c>
    </row>
    <row r="246" spans="1:17" ht="24" customHeight="1" x14ac:dyDescent="0.3">
      <c r="A246" s="1" t="s">
        <v>1819</v>
      </c>
      <c r="B246" s="2" t="s">
        <v>1820</v>
      </c>
      <c r="C246" s="2" t="s">
        <v>1821</v>
      </c>
      <c r="D246" s="2" t="s">
        <v>1822</v>
      </c>
      <c r="E246" s="2" t="s">
        <v>1823</v>
      </c>
      <c r="F246" s="2" t="s">
        <v>1824</v>
      </c>
      <c r="G246" s="2" t="s">
        <v>1769</v>
      </c>
      <c r="H246" s="1" t="s">
        <v>23</v>
      </c>
      <c r="I246" s="1" t="s">
        <v>1825</v>
      </c>
      <c r="J246" s="2" t="s">
        <v>262</v>
      </c>
      <c r="K246" s="2" t="s">
        <v>1826</v>
      </c>
      <c r="L246" s="28">
        <v>1.5</v>
      </c>
      <c r="M246" s="28">
        <v>4</v>
      </c>
      <c r="N246" s="29">
        <f t="shared" si="3"/>
        <v>4</v>
      </c>
      <c r="O246" s="1" t="s">
        <v>27</v>
      </c>
      <c r="P246" s="2" t="s">
        <v>1827</v>
      </c>
      <c r="Q246" t="s">
        <v>1828</v>
      </c>
    </row>
    <row r="247" spans="1:17" ht="24" customHeight="1" x14ac:dyDescent="0.3">
      <c r="A247" s="1" t="s">
        <v>1829</v>
      </c>
      <c r="B247" s="2" t="s">
        <v>1830</v>
      </c>
      <c r="C247" s="2" t="s">
        <v>1831</v>
      </c>
      <c r="D247" s="2" t="s">
        <v>1832</v>
      </c>
      <c r="E247" s="2" t="s">
        <v>1833</v>
      </c>
      <c r="F247" s="2" t="s">
        <v>1824</v>
      </c>
      <c r="G247" s="2" t="s">
        <v>1769</v>
      </c>
      <c r="H247" s="1" t="s">
        <v>23</v>
      </c>
      <c r="I247" s="1" t="s">
        <v>1834</v>
      </c>
      <c r="J247" s="2" t="s">
        <v>1835</v>
      </c>
      <c r="K247" s="2" t="s">
        <v>1836</v>
      </c>
      <c r="L247" s="28">
        <v>2</v>
      </c>
      <c r="M247" s="28">
        <v>5</v>
      </c>
      <c r="N247" s="29">
        <f t="shared" si="3"/>
        <v>5</v>
      </c>
      <c r="O247" s="1" t="s">
        <v>27</v>
      </c>
      <c r="P247" s="2" t="s">
        <v>1837</v>
      </c>
      <c r="Q247" t="s">
        <v>1838</v>
      </c>
    </row>
    <row r="248" spans="1:17" ht="24" customHeight="1" x14ac:dyDescent="0.3">
      <c r="A248" s="1" t="s">
        <v>1839</v>
      </c>
      <c r="B248" s="2" t="s">
        <v>1840</v>
      </c>
      <c r="C248" s="2" t="s">
        <v>1841</v>
      </c>
      <c r="D248" s="2" t="s">
        <v>1842</v>
      </c>
      <c r="E248" s="2" t="s">
        <v>1843</v>
      </c>
      <c r="F248" s="2" t="s">
        <v>1752</v>
      </c>
      <c r="G248" s="2" t="s">
        <v>1753</v>
      </c>
      <c r="H248" s="1" t="s">
        <v>63</v>
      </c>
      <c r="I248" s="1"/>
      <c r="J248" s="2" t="s">
        <v>1754</v>
      </c>
      <c r="K248" s="2"/>
      <c r="L248" s="28">
        <v>1.5</v>
      </c>
      <c r="M248" s="28">
        <v>4</v>
      </c>
      <c r="N248" s="29">
        <f t="shared" si="3"/>
        <v>4</v>
      </c>
      <c r="O248" s="1" t="s">
        <v>27</v>
      </c>
      <c r="P248" s="2" t="s">
        <v>1844</v>
      </c>
      <c r="Q248" t="s">
        <v>1789</v>
      </c>
    </row>
    <row r="249" spans="1:17" ht="24" customHeight="1" x14ac:dyDescent="0.3">
      <c r="A249" s="1" t="s">
        <v>1845</v>
      </c>
      <c r="B249" s="2" t="s">
        <v>1846</v>
      </c>
      <c r="C249" s="2" t="s">
        <v>1847</v>
      </c>
      <c r="D249" s="2" t="s">
        <v>1848</v>
      </c>
      <c r="E249" s="2" t="s">
        <v>1849</v>
      </c>
      <c r="F249" s="2" t="s">
        <v>1752</v>
      </c>
      <c r="G249" s="2" t="s">
        <v>1753</v>
      </c>
      <c r="H249" s="1" t="s">
        <v>63</v>
      </c>
      <c r="I249" s="1"/>
      <c r="J249" s="2" t="s">
        <v>1754</v>
      </c>
      <c r="K249" s="2"/>
      <c r="L249" s="28">
        <v>2</v>
      </c>
      <c r="M249" s="28">
        <v>5</v>
      </c>
      <c r="N249" s="29">
        <f t="shared" si="3"/>
        <v>5</v>
      </c>
      <c r="O249" s="1" t="s">
        <v>27</v>
      </c>
      <c r="P249" s="2" t="s">
        <v>1850</v>
      </c>
      <c r="Q249" t="s">
        <v>1851</v>
      </c>
    </row>
    <row r="250" spans="1:17" ht="24" customHeight="1" x14ac:dyDescent="0.3">
      <c r="A250" s="1" t="s">
        <v>1852</v>
      </c>
      <c r="B250" s="2" t="s">
        <v>1853</v>
      </c>
      <c r="C250" s="2" t="s">
        <v>1854</v>
      </c>
      <c r="D250" s="2" t="s">
        <v>1855</v>
      </c>
      <c r="E250" s="2" t="s">
        <v>1856</v>
      </c>
      <c r="F250" s="2" t="s">
        <v>1752</v>
      </c>
      <c r="G250" s="2" t="s">
        <v>1753</v>
      </c>
      <c r="H250" s="1" t="s">
        <v>63</v>
      </c>
      <c r="I250" s="1"/>
      <c r="J250" s="2" t="s">
        <v>1754</v>
      </c>
      <c r="K250" s="2"/>
      <c r="L250" s="28">
        <v>2</v>
      </c>
      <c r="M250" s="28">
        <v>5</v>
      </c>
      <c r="N250" s="29">
        <f t="shared" si="3"/>
        <v>5</v>
      </c>
      <c r="O250" s="1" t="s">
        <v>27</v>
      </c>
      <c r="P250" s="2" t="s">
        <v>1857</v>
      </c>
      <c r="Q250" t="s">
        <v>1858</v>
      </c>
    </row>
    <row r="251" spans="1:17" ht="24" customHeight="1" x14ac:dyDescent="0.3">
      <c r="A251" s="1" t="s">
        <v>1859</v>
      </c>
      <c r="B251" s="2" t="s">
        <v>1860</v>
      </c>
      <c r="C251" s="2" t="s">
        <v>1861</v>
      </c>
      <c r="D251" s="2" t="s">
        <v>1862</v>
      </c>
      <c r="E251" s="2" t="s">
        <v>1863</v>
      </c>
      <c r="F251" s="2" t="s">
        <v>1768</v>
      </c>
      <c r="G251" s="2" t="s">
        <v>1864</v>
      </c>
      <c r="H251" s="1" t="s">
        <v>23</v>
      </c>
      <c r="I251" s="1" t="s">
        <v>1865</v>
      </c>
      <c r="J251" s="2" t="s">
        <v>1866</v>
      </c>
      <c r="K251" s="2" t="s">
        <v>1867</v>
      </c>
      <c r="L251" s="28">
        <v>3</v>
      </c>
      <c r="M251" s="28">
        <v>8</v>
      </c>
      <c r="N251" s="29">
        <f t="shared" si="3"/>
        <v>8</v>
      </c>
      <c r="O251" s="1" t="s">
        <v>27</v>
      </c>
      <c r="P251" s="2" t="s">
        <v>1868</v>
      </c>
      <c r="Q251" t="s">
        <v>1799</v>
      </c>
    </row>
    <row r="252" spans="1:17" ht="24" customHeight="1" x14ac:dyDescent="0.3">
      <c r="A252" s="1" t="s">
        <v>1869</v>
      </c>
      <c r="B252" s="2" t="s">
        <v>1870</v>
      </c>
      <c r="C252" s="2" t="s">
        <v>1871</v>
      </c>
      <c r="D252" s="2" t="s">
        <v>1872</v>
      </c>
      <c r="E252" s="2" t="s">
        <v>1873</v>
      </c>
      <c r="F252" s="2" t="s">
        <v>1752</v>
      </c>
      <c r="G252" s="2" t="s">
        <v>1753</v>
      </c>
      <c r="H252" s="1" t="s">
        <v>63</v>
      </c>
      <c r="I252" s="1"/>
      <c r="J252" s="2" t="s">
        <v>1754</v>
      </c>
      <c r="K252" s="2"/>
      <c r="L252" s="28">
        <v>2</v>
      </c>
      <c r="M252" s="28">
        <v>5</v>
      </c>
      <c r="N252" s="29">
        <f t="shared" si="3"/>
        <v>5</v>
      </c>
      <c r="O252" s="1" t="s">
        <v>27</v>
      </c>
      <c r="P252" s="2" t="s">
        <v>1874</v>
      </c>
      <c r="Q252" t="s">
        <v>1875</v>
      </c>
    </row>
    <row r="253" spans="1:17" ht="24" customHeight="1" x14ac:dyDescent="0.3">
      <c r="A253" s="1" t="s">
        <v>1876</v>
      </c>
      <c r="B253" s="2" t="s">
        <v>1877</v>
      </c>
      <c r="C253" s="2" t="s">
        <v>1878</v>
      </c>
      <c r="D253" s="2" t="s">
        <v>1862</v>
      </c>
      <c r="E253" s="2" t="s">
        <v>1863</v>
      </c>
      <c r="F253" s="2" t="s">
        <v>1824</v>
      </c>
      <c r="G253" s="2" t="s">
        <v>1769</v>
      </c>
      <c r="H253" s="1" t="s">
        <v>23</v>
      </c>
      <c r="I253" s="1" t="s">
        <v>1879</v>
      </c>
      <c r="J253" s="2"/>
      <c r="K253" s="2" t="s">
        <v>1880</v>
      </c>
      <c r="L253" s="28">
        <v>2.5</v>
      </c>
      <c r="M253" s="28">
        <v>6</v>
      </c>
      <c r="N253" s="29">
        <f t="shared" si="3"/>
        <v>6</v>
      </c>
      <c r="O253" s="1" t="s">
        <v>27</v>
      </c>
      <c r="P253" s="2" t="s">
        <v>1881</v>
      </c>
      <c r="Q253" t="s">
        <v>1882</v>
      </c>
    </row>
    <row r="254" spans="1:17" ht="24" customHeight="1" x14ac:dyDescent="0.3">
      <c r="A254" s="1" t="s">
        <v>1883</v>
      </c>
      <c r="B254" s="2" t="s">
        <v>1884</v>
      </c>
      <c r="C254" s="2" t="s">
        <v>1885</v>
      </c>
      <c r="D254" s="2" t="s">
        <v>1786</v>
      </c>
      <c r="E254" s="2" t="s">
        <v>1886</v>
      </c>
      <c r="F254" s="2" t="s">
        <v>1752</v>
      </c>
      <c r="G254" s="2" t="s">
        <v>1753</v>
      </c>
      <c r="H254" s="1" t="s">
        <v>63</v>
      </c>
      <c r="I254" s="1"/>
      <c r="J254" s="2" t="s">
        <v>1754</v>
      </c>
      <c r="K254" s="2"/>
      <c r="L254" s="28">
        <v>2.5</v>
      </c>
      <c r="M254" s="28">
        <v>6</v>
      </c>
      <c r="N254" s="29">
        <f t="shared" si="3"/>
        <v>6</v>
      </c>
      <c r="O254" s="1" t="s">
        <v>27</v>
      </c>
      <c r="P254" s="2" t="s">
        <v>1887</v>
      </c>
      <c r="Q254" t="s">
        <v>1888</v>
      </c>
    </row>
    <row r="255" spans="1:17" ht="24" customHeight="1" x14ac:dyDescent="0.3">
      <c r="A255" s="1" t="s">
        <v>1889</v>
      </c>
      <c r="B255" s="2" t="s">
        <v>1890</v>
      </c>
      <c r="C255" s="2" t="s">
        <v>1891</v>
      </c>
      <c r="D255" s="2" t="s">
        <v>1892</v>
      </c>
      <c r="E255" s="2" t="s">
        <v>1893</v>
      </c>
      <c r="F255" s="2" t="s">
        <v>1752</v>
      </c>
      <c r="G255" s="2" t="s">
        <v>1753</v>
      </c>
      <c r="H255" s="1" t="s">
        <v>63</v>
      </c>
      <c r="I255" s="1"/>
      <c r="J255" s="2" t="s">
        <v>1754</v>
      </c>
      <c r="K255" s="2"/>
      <c r="L255" s="28">
        <v>3</v>
      </c>
      <c r="M255" s="28">
        <v>7</v>
      </c>
      <c r="N255" s="29">
        <f t="shared" si="3"/>
        <v>7</v>
      </c>
      <c r="O255" s="1" t="s">
        <v>27</v>
      </c>
      <c r="P255" s="2" t="s">
        <v>1894</v>
      </c>
      <c r="Q255" t="s">
        <v>1895</v>
      </c>
    </row>
    <row r="256" spans="1:17" ht="24" customHeight="1" x14ac:dyDescent="0.3">
      <c r="A256" s="1" t="s">
        <v>1896</v>
      </c>
      <c r="B256" s="2" t="s">
        <v>1897</v>
      </c>
      <c r="C256" s="2" t="s">
        <v>1898</v>
      </c>
      <c r="D256" s="2" t="s">
        <v>1390</v>
      </c>
      <c r="E256" s="2" t="s">
        <v>1899</v>
      </c>
      <c r="F256" s="2" t="s">
        <v>1768</v>
      </c>
      <c r="G256" s="2" t="s">
        <v>1900</v>
      </c>
      <c r="H256" s="1" t="s">
        <v>23</v>
      </c>
      <c r="I256" s="1"/>
      <c r="J256" s="2" t="s">
        <v>1901</v>
      </c>
      <c r="K256" s="2" t="s">
        <v>1902</v>
      </c>
      <c r="L256" s="28">
        <v>4</v>
      </c>
      <c r="M256" s="28">
        <v>10</v>
      </c>
      <c r="N256" s="29">
        <f t="shared" si="3"/>
        <v>10</v>
      </c>
      <c r="O256" s="1" t="s">
        <v>27</v>
      </c>
      <c r="P256" s="2" t="s">
        <v>1903</v>
      </c>
      <c r="Q256" t="s">
        <v>1904</v>
      </c>
    </row>
    <row r="257" spans="1:17" ht="24" customHeight="1" x14ac:dyDescent="0.3">
      <c r="A257" s="1" t="s">
        <v>1905</v>
      </c>
      <c r="B257" s="2" t="s">
        <v>1906</v>
      </c>
      <c r="C257" s="2" t="s">
        <v>1907</v>
      </c>
      <c r="D257" s="2" t="s">
        <v>1735</v>
      </c>
      <c r="E257" s="2" t="s">
        <v>1908</v>
      </c>
      <c r="F257" s="2" t="s">
        <v>1824</v>
      </c>
      <c r="G257" s="2" t="s">
        <v>1909</v>
      </c>
      <c r="H257" s="1" t="s">
        <v>23</v>
      </c>
      <c r="I257" s="1" t="s">
        <v>1910</v>
      </c>
      <c r="J257" s="2" t="s">
        <v>1911</v>
      </c>
      <c r="K257" s="2" t="s">
        <v>1912</v>
      </c>
      <c r="L257" s="28">
        <v>2.5</v>
      </c>
      <c r="M257" s="28">
        <v>6</v>
      </c>
      <c r="N257" s="29">
        <f t="shared" si="3"/>
        <v>6</v>
      </c>
      <c r="O257" s="1" t="s">
        <v>27</v>
      </c>
      <c r="P257" s="2" t="s">
        <v>1913</v>
      </c>
      <c r="Q257" t="s">
        <v>1914</v>
      </c>
    </row>
    <row r="258" spans="1:17" ht="24" customHeight="1" x14ac:dyDescent="0.3">
      <c r="A258" s="1" t="s">
        <v>1915</v>
      </c>
      <c r="B258" s="2" t="s">
        <v>1916</v>
      </c>
      <c r="C258" s="2" t="s">
        <v>1917</v>
      </c>
      <c r="D258" s="2" t="s">
        <v>1313</v>
      </c>
      <c r="E258" s="2" t="s">
        <v>1918</v>
      </c>
      <c r="F258" s="2" t="s">
        <v>1752</v>
      </c>
      <c r="G258" s="2" t="s">
        <v>1753</v>
      </c>
      <c r="H258" s="1" t="s">
        <v>63</v>
      </c>
      <c r="I258" s="1"/>
      <c r="J258" s="2" t="s">
        <v>1754</v>
      </c>
      <c r="K258" s="2"/>
      <c r="L258" s="28">
        <v>2.5</v>
      </c>
      <c r="M258" s="28">
        <v>6</v>
      </c>
      <c r="N258" s="29">
        <f t="shared" ref="N258:N321" si="4">MAX(L258,M258)</f>
        <v>6</v>
      </c>
      <c r="O258" s="1" t="s">
        <v>27</v>
      </c>
      <c r="P258" s="2" t="s">
        <v>1919</v>
      </c>
      <c r="Q258" t="s">
        <v>1888</v>
      </c>
    </row>
    <row r="259" spans="1:17" ht="24" customHeight="1" x14ac:dyDescent="0.3">
      <c r="A259" s="1" t="s">
        <v>1920</v>
      </c>
      <c r="B259" s="2" t="s">
        <v>1921</v>
      </c>
      <c r="C259" s="2" t="s">
        <v>1922</v>
      </c>
      <c r="D259" s="2" t="s">
        <v>1923</v>
      </c>
      <c r="E259" s="2" t="s">
        <v>1924</v>
      </c>
      <c r="F259" s="2" t="s">
        <v>1768</v>
      </c>
      <c r="G259" s="2" t="s">
        <v>1925</v>
      </c>
      <c r="H259" s="1" t="s">
        <v>23</v>
      </c>
      <c r="I259" s="1" t="s">
        <v>1879</v>
      </c>
      <c r="J259" s="2" t="s">
        <v>1926</v>
      </c>
      <c r="K259" s="2" t="s">
        <v>1912</v>
      </c>
      <c r="L259" s="28">
        <v>3</v>
      </c>
      <c r="M259" s="28">
        <v>7</v>
      </c>
      <c r="N259" s="29">
        <f t="shared" si="4"/>
        <v>7</v>
      </c>
      <c r="O259" s="1" t="s">
        <v>27</v>
      </c>
      <c r="P259" s="2" t="s">
        <v>1927</v>
      </c>
      <c r="Q259" t="s">
        <v>1928</v>
      </c>
    </row>
    <row r="260" spans="1:17" ht="24" customHeight="1" x14ac:dyDescent="0.3">
      <c r="A260" s="1" t="s">
        <v>1929</v>
      </c>
      <c r="B260" s="2" t="s">
        <v>1930</v>
      </c>
      <c r="C260" s="2" t="s">
        <v>1931</v>
      </c>
      <c r="D260" s="2" t="s">
        <v>1313</v>
      </c>
      <c r="E260" s="2" t="s">
        <v>1932</v>
      </c>
      <c r="F260" s="2" t="s">
        <v>1752</v>
      </c>
      <c r="G260" s="2" t="s">
        <v>1753</v>
      </c>
      <c r="H260" s="1" t="s">
        <v>63</v>
      </c>
      <c r="I260" s="1"/>
      <c r="J260" s="2" t="s">
        <v>1754</v>
      </c>
      <c r="K260" s="2"/>
      <c r="L260" s="28">
        <v>2.5</v>
      </c>
      <c r="M260" s="28">
        <v>6</v>
      </c>
      <c r="N260" s="29">
        <f t="shared" si="4"/>
        <v>6</v>
      </c>
      <c r="O260" s="1" t="s">
        <v>27</v>
      </c>
      <c r="P260" s="2" t="s">
        <v>1933</v>
      </c>
      <c r="Q260" t="s">
        <v>1888</v>
      </c>
    </row>
    <row r="261" spans="1:17" ht="24" customHeight="1" x14ac:dyDescent="0.3">
      <c r="A261" s="1" t="s">
        <v>1934</v>
      </c>
      <c r="B261" s="2" t="s">
        <v>1935</v>
      </c>
      <c r="C261" s="2" t="s">
        <v>1936</v>
      </c>
      <c r="D261" s="2" t="s">
        <v>1483</v>
      </c>
      <c r="E261" s="2" t="s">
        <v>1937</v>
      </c>
      <c r="F261" s="2" t="s">
        <v>1752</v>
      </c>
      <c r="G261" s="2" t="s">
        <v>1753</v>
      </c>
      <c r="H261" s="1" t="s">
        <v>63</v>
      </c>
      <c r="I261" s="1"/>
      <c r="J261" s="2" t="s">
        <v>1754</v>
      </c>
      <c r="K261" s="2"/>
      <c r="L261" s="28">
        <v>4</v>
      </c>
      <c r="M261" s="28">
        <v>12</v>
      </c>
      <c r="N261" s="29">
        <f t="shared" si="4"/>
        <v>12</v>
      </c>
      <c r="O261" s="1" t="s">
        <v>27</v>
      </c>
      <c r="P261" s="2" t="s">
        <v>1938</v>
      </c>
      <c r="Q261" t="s">
        <v>1939</v>
      </c>
    </row>
    <row r="262" spans="1:17" ht="24" customHeight="1" x14ac:dyDescent="0.3">
      <c r="A262" s="1" t="s">
        <v>1940</v>
      </c>
      <c r="B262" s="2" t="s">
        <v>1941</v>
      </c>
      <c r="C262" s="2" t="s">
        <v>1942</v>
      </c>
      <c r="D262" s="2" t="s">
        <v>1943</v>
      </c>
      <c r="E262" s="2" t="s">
        <v>1944</v>
      </c>
      <c r="F262" s="2" t="s">
        <v>1768</v>
      </c>
      <c r="G262" s="2" t="s">
        <v>1945</v>
      </c>
      <c r="H262" s="1" t="s">
        <v>23</v>
      </c>
      <c r="I262" s="1" t="s">
        <v>1946</v>
      </c>
      <c r="J262" s="2" t="s">
        <v>1947</v>
      </c>
      <c r="K262" s="2" t="s">
        <v>1948</v>
      </c>
      <c r="L262" s="28">
        <v>3</v>
      </c>
      <c r="M262" s="28">
        <v>7</v>
      </c>
      <c r="N262" s="29">
        <f t="shared" si="4"/>
        <v>7</v>
      </c>
      <c r="O262" s="1" t="s">
        <v>27</v>
      </c>
      <c r="P262" s="2" t="s">
        <v>1949</v>
      </c>
      <c r="Q262" t="s">
        <v>1950</v>
      </c>
    </row>
    <row r="263" spans="1:17" ht="24" customHeight="1" x14ac:dyDescent="0.3">
      <c r="A263" s="1" t="s">
        <v>1951</v>
      </c>
      <c r="B263" s="2" t="s">
        <v>1952</v>
      </c>
      <c r="C263" s="2" t="s">
        <v>1953</v>
      </c>
      <c r="D263" s="2" t="s">
        <v>1483</v>
      </c>
      <c r="E263" s="2" t="s">
        <v>1954</v>
      </c>
      <c r="F263" s="2" t="s">
        <v>1752</v>
      </c>
      <c r="G263" s="2" t="s">
        <v>1753</v>
      </c>
      <c r="H263" s="1" t="s">
        <v>63</v>
      </c>
      <c r="I263" s="1"/>
      <c r="J263" s="2" t="s">
        <v>1754</v>
      </c>
      <c r="K263" s="2"/>
      <c r="L263" s="28">
        <v>3</v>
      </c>
      <c r="M263" s="28">
        <v>12</v>
      </c>
      <c r="N263" s="29">
        <f t="shared" si="4"/>
        <v>12</v>
      </c>
      <c r="O263" s="1" t="s">
        <v>27</v>
      </c>
      <c r="P263" s="2" t="s">
        <v>1955</v>
      </c>
      <c r="Q263" t="s">
        <v>1888</v>
      </c>
    </row>
    <row r="264" spans="1:17" ht="24" customHeight="1" x14ac:dyDescent="0.3">
      <c r="A264" s="1" t="s">
        <v>1956</v>
      </c>
      <c r="B264" s="2" t="s">
        <v>1957</v>
      </c>
      <c r="C264" s="2" t="s">
        <v>1958</v>
      </c>
      <c r="D264" s="2" t="s">
        <v>1483</v>
      </c>
      <c r="E264" s="2" t="s">
        <v>1959</v>
      </c>
      <c r="F264" s="2" t="s">
        <v>1752</v>
      </c>
      <c r="G264" s="2" t="s">
        <v>1753</v>
      </c>
      <c r="H264" s="1" t="s">
        <v>63</v>
      </c>
      <c r="I264" s="1"/>
      <c r="J264" s="2" t="s">
        <v>1754</v>
      </c>
      <c r="K264" s="2"/>
      <c r="L264" s="28">
        <v>3.5</v>
      </c>
      <c r="M264" s="28">
        <v>12</v>
      </c>
      <c r="N264" s="29">
        <f t="shared" si="4"/>
        <v>12</v>
      </c>
      <c r="O264" s="1" t="s">
        <v>27</v>
      </c>
      <c r="P264" s="2" t="s">
        <v>1960</v>
      </c>
      <c r="Q264" t="s">
        <v>1939</v>
      </c>
    </row>
    <row r="265" spans="1:17" ht="24" customHeight="1" x14ac:dyDescent="0.3">
      <c r="A265" s="1" t="s">
        <v>1961</v>
      </c>
      <c r="B265" s="2" t="s">
        <v>1962</v>
      </c>
      <c r="C265" s="2" t="s">
        <v>1963</v>
      </c>
      <c r="D265" s="2" t="s">
        <v>1964</v>
      </c>
      <c r="E265" s="2" t="s">
        <v>1965</v>
      </c>
      <c r="F265" s="2" t="s">
        <v>1768</v>
      </c>
      <c r="G265" s="2" t="s">
        <v>1925</v>
      </c>
      <c r="H265" s="1" t="s">
        <v>23</v>
      </c>
      <c r="I265" s="1" t="s">
        <v>1966</v>
      </c>
      <c r="J265" s="2" t="s">
        <v>1967</v>
      </c>
      <c r="K265" s="2" t="s">
        <v>1968</v>
      </c>
      <c r="L265" s="28">
        <v>3</v>
      </c>
      <c r="M265" s="28">
        <v>7</v>
      </c>
      <c r="N265" s="29">
        <f t="shared" si="4"/>
        <v>7</v>
      </c>
      <c r="O265" s="1" t="s">
        <v>27</v>
      </c>
      <c r="P265" s="2" t="s">
        <v>1969</v>
      </c>
      <c r="Q265" t="s">
        <v>1928</v>
      </c>
    </row>
    <row r="266" spans="1:17" ht="24" customHeight="1" x14ac:dyDescent="0.3">
      <c r="A266" s="1" t="s">
        <v>1970</v>
      </c>
      <c r="B266" s="2" t="s">
        <v>1971</v>
      </c>
      <c r="C266" s="2" t="s">
        <v>1972</v>
      </c>
      <c r="D266" s="2" t="s">
        <v>1973</v>
      </c>
      <c r="E266" s="2" t="s">
        <v>1974</v>
      </c>
      <c r="F266" s="2" t="s">
        <v>1768</v>
      </c>
      <c r="G266" s="2" t="s">
        <v>1925</v>
      </c>
      <c r="H266" s="1" t="s">
        <v>23</v>
      </c>
      <c r="I266" s="1" t="s">
        <v>1966</v>
      </c>
      <c r="J266" s="2" t="s">
        <v>1967</v>
      </c>
      <c r="K266" s="2" t="s">
        <v>1975</v>
      </c>
      <c r="L266" s="28">
        <v>3</v>
      </c>
      <c r="M266" s="28">
        <v>9</v>
      </c>
      <c r="N266" s="29">
        <f t="shared" si="4"/>
        <v>9</v>
      </c>
      <c r="O266" s="1" t="s">
        <v>27</v>
      </c>
      <c r="P266" s="2" t="s">
        <v>1976</v>
      </c>
      <c r="Q266" t="s">
        <v>1950</v>
      </c>
    </row>
    <row r="267" spans="1:17" ht="24" customHeight="1" x14ac:dyDescent="0.3">
      <c r="A267" s="1" t="s">
        <v>1977</v>
      </c>
      <c r="B267" s="2" t="s">
        <v>1978</v>
      </c>
      <c r="C267" s="2" t="s">
        <v>1979</v>
      </c>
      <c r="D267" s="2" t="s">
        <v>1980</v>
      </c>
      <c r="E267" s="2" t="s">
        <v>1981</v>
      </c>
      <c r="F267" s="2" t="s">
        <v>1768</v>
      </c>
      <c r="G267" s="2" t="s">
        <v>1982</v>
      </c>
      <c r="H267" s="1" t="s">
        <v>23</v>
      </c>
      <c r="I267" s="1" t="s">
        <v>1983</v>
      </c>
      <c r="J267" s="2" t="s">
        <v>1967</v>
      </c>
      <c r="K267" s="2" t="s">
        <v>1912</v>
      </c>
      <c r="L267" s="28">
        <v>2.5</v>
      </c>
      <c r="M267" s="28">
        <v>6</v>
      </c>
      <c r="N267" s="29">
        <f t="shared" si="4"/>
        <v>6</v>
      </c>
      <c r="O267" s="1" t="s">
        <v>27</v>
      </c>
      <c r="P267" s="2" t="s">
        <v>1984</v>
      </c>
      <c r="Q267" t="s">
        <v>1985</v>
      </c>
    </row>
    <row r="268" spans="1:17" ht="24" customHeight="1" x14ac:dyDescent="0.3">
      <c r="A268" s="1" t="s">
        <v>1986</v>
      </c>
      <c r="B268" s="2" t="s">
        <v>1987</v>
      </c>
      <c r="C268" s="2" t="s">
        <v>1988</v>
      </c>
      <c r="D268" s="2" t="s">
        <v>1989</v>
      </c>
      <c r="E268" s="2" t="s">
        <v>1990</v>
      </c>
      <c r="F268" s="2" t="s">
        <v>1752</v>
      </c>
      <c r="G268" s="2" t="s">
        <v>1753</v>
      </c>
      <c r="H268" s="1" t="s">
        <v>63</v>
      </c>
      <c r="I268" s="1"/>
      <c r="J268" s="2" t="s">
        <v>1754</v>
      </c>
      <c r="K268" s="2"/>
      <c r="L268" s="28">
        <v>3</v>
      </c>
      <c r="M268" s="28">
        <v>7</v>
      </c>
      <c r="N268" s="29">
        <f t="shared" si="4"/>
        <v>7</v>
      </c>
      <c r="O268" s="1" t="s">
        <v>27</v>
      </c>
      <c r="P268" s="2" t="s">
        <v>1991</v>
      </c>
      <c r="Q268" t="s">
        <v>1888</v>
      </c>
    </row>
    <row r="269" spans="1:17" ht="24" customHeight="1" x14ac:dyDescent="0.3">
      <c r="A269" s="1" t="s">
        <v>1992</v>
      </c>
      <c r="B269" s="2" t="s">
        <v>1994</v>
      </c>
      <c r="C269" s="2" t="s">
        <v>1995</v>
      </c>
      <c r="D269" s="2" t="s">
        <v>1390</v>
      </c>
      <c r="E269" s="2" t="s">
        <v>1996</v>
      </c>
      <c r="F269" s="2" t="s">
        <v>1993</v>
      </c>
      <c r="G269" s="2" t="s">
        <v>1997</v>
      </c>
      <c r="H269" s="1" t="s">
        <v>63</v>
      </c>
      <c r="I269" s="1"/>
      <c r="J269" s="2" t="s">
        <v>1754</v>
      </c>
      <c r="K269" s="2"/>
      <c r="L269" s="28">
        <v>8</v>
      </c>
      <c r="M269" s="28">
        <v>22</v>
      </c>
      <c r="N269" s="29">
        <f t="shared" si="4"/>
        <v>22</v>
      </c>
      <c r="O269" s="1" t="s">
        <v>27</v>
      </c>
      <c r="P269" s="2" t="s">
        <v>1998</v>
      </c>
      <c r="Q269" t="s">
        <v>1999</v>
      </c>
    </row>
    <row r="270" spans="1:17" ht="24" customHeight="1" x14ac:dyDescent="0.3">
      <c r="A270" s="1" t="s">
        <v>2000</v>
      </c>
      <c r="B270" s="2" t="s">
        <v>2001</v>
      </c>
      <c r="C270" s="2" t="s">
        <v>2002</v>
      </c>
      <c r="D270" s="2" t="s">
        <v>2003</v>
      </c>
      <c r="E270" s="2" t="s">
        <v>2004</v>
      </c>
      <c r="F270" s="2" t="s">
        <v>1768</v>
      </c>
      <c r="G270" s="2" t="s">
        <v>2005</v>
      </c>
      <c r="H270" s="1" t="s">
        <v>23</v>
      </c>
      <c r="I270" s="1" t="s">
        <v>2006</v>
      </c>
      <c r="J270" s="2" t="s">
        <v>1967</v>
      </c>
      <c r="K270" s="2" t="s">
        <v>2007</v>
      </c>
      <c r="L270" s="28">
        <v>3</v>
      </c>
      <c r="M270" s="28">
        <v>8</v>
      </c>
      <c r="N270" s="29">
        <f t="shared" si="4"/>
        <v>8</v>
      </c>
      <c r="O270" s="1" t="s">
        <v>27</v>
      </c>
      <c r="P270" s="2" t="s">
        <v>2008</v>
      </c>
      <c r="Q270" t="s">
        <v>2009</v>
      </c>
    </row>
    <row r="271" spans="1:17" ht="24" customHeight="1" x14ac:dyDescent="0.3">
      <c r="A271" s="1" t="s">
        <v>2010</v>
      </c>
      <c r="B271" s="2" t="s">
        <v>2011</v>
      </c>
      <c r="C271" s="2" t="s">
        <v>2012</v>
      </c>
      <c r="D271" s="2" t="s">
        <v>2013</v>
      </c>
      <c r="E271" s="2" t="s">
        <v>2014</v>
      </c>
      <c r="F271" s="2" t="s">
        <v>2015</v>
      </c>
      <c r="G271" s="2" t="s">
        <v>2016</v>
      </c>
      <c r="H271" s="1" t="s">
        <v>63</v>
      </c>
      <c r="I271" s="1"/>
      <c r="J271" s="2" t="s">
        <v>1754</v>
      </c>
      <c r="K271" s="2"/>
      <c r="L271" s="28">
        <v>2.5</v>
      </c>
      <c r="M271" s="28">
        <v>6</v>
      </c>
      <c r="N271" s="29">
        <f t="shared" si="4"/>
        <v>6</v>
      </c>
      <c r="O271" s="1" t="s">
        <v>27</v>
      </c>
      <c r="P271" s="2" t="s">
        <v>2017</v>
      </c>
      <c r="Q271" t="s">
        <v>2018</v>
      </c>
    </row>
    <row r="272" spans="1:17" ht="24" customHeight="1" x14ac:dyDescent="0.3">
      <c r="A272" s="1" t="s">
        <v>2019</v>
      </c>
      <c r="B272" s="2" t="s">
        <v>2020</v>
      </c>
      <c r="C272" s="2" t="s">
        <v>2021</v>
      </c>
      <c r="D272" s="2" t="s">
        <v>1980</v>
      </c>
      <c r="E272" s="2" t="s">
        <v>2022</v>
      </c>
      <c r="F272" s="2" t="s">
        <v>2015</v>
      </c>
      <c r="G272" s="2" t="s">
        <v>2023</v>
      </c>
      <c r="H272" s="1" t="s">
        <v>63</v>
      </c>
      <c r="I272" s="1"/>
      <c r="J272" s="2" t="s">
        <v>1754</v>
      </c>
      <c r="K272" s="2"/>
      <c r="L272" s="28">
        <v>1.5</v>
      </c>
      <c r="M272" s="28">
        <v>4</v>
      </c>
      <c r="N272" s="29">
        <f t="shared" si="4"/>
        <v>4</v>
      </c>
      <c r="O272" s="1" t="s">
        <v>27</v>
      </c>
      <c r="P272" s="2" t="s">
        <v>2024</v>
      </c>
      <c r="Q272" t="s">
        <v>2025</v>
      </c>
    </row>
    <row r="273" spans="1:17" ht="24" customHeight="1" x14ac:dyDescent="0.3">
      <c r="A273" s="1" t="s">
        <v>2026</v>
      </c>
      <c r="B273" s="2" t="s">
        <v>2027</v>
      </c>
      <c r="C273" s="2" t="s">
        <v>2028</v>
      </c>
      <c r="D273" s="2" t="s">
        <v>2029</v>
      </c>
      <c r="E273" s="2" t="s">
        <v>2030</v>
      </c>
      <c r="F273" s="2" t="s">
        <v>1768</v>
      </c>
      <c r="G273" s="2" t="s">
        <v>2031</v>
      </c>
      <c r="H273" s="1" t="s">
        <v>23</v>
      </c>
      <c r="I273" s="1" t="s">
        <v>2032</v>
      </c>
      <c r="J273" s="2" t="s">
        <v>1967</v>
      </c>
      <c r="K273" s="2" t="s">
        <v>2033</v>
      </c>
      <c r="L273" s="28">
        <v>2</v>
      </c>
      <c r="M273" s="28">
        <v>5</v>
      </c>
      <c r="N273" s="29">
        <f t="shared" si="4"/>
        <v>5</v>
      </c>
      <c r="O273" s="1" t="s">
        <v>27</v>
      </c>
      <c r="P273" s="2" t="s">
        <v>2034</v>
      </c>
      <c r="Q273" t="s">
        <v>2035</v>
      </c>
    </row>
    <row r="274" spans="1:17" ht="24" customHeight="1" x14ac:dyDescent="0.3">
      <c r="A274" s="1" t="s">
        <v>2036</v>
      </c>
      <c r="B274" s="2" t="s">
        <v>2037</v>
      </c>
      <c r="C274" s="2" t="s">
        <v>2038</v>
      </c>
      <c r="D274" s="2" t="s">
        <v>2039</v>
      </c>
      <c r="E274" s="2" t="s">
        <v>2040</v>
      </c>
      <c r="F274" s="2" t="s">
        <v>2041</v>
      </c>
      <c r="G274" s="2" t="s">
        <v>2042</v>
      </c>
      <c r="H274" s="1" t="s">
        <v>23</v>
      </c>
      <c r="I274" s="1" t="s">
        <v>2043</v>
      </c>
      <c r="J274" s="2" t="s">
        <v>1967</v>
      </c>
      <c r="K274" s="2" t="s">
        <v>2044</v>
      </c>
      <c r="L274" s="28">
        <v>3</v>
      </c>
      <c r="M274" s="28">
        <v>7</v>
      </c>
      <c r="N274" s="29">
        <f t="shared" si="4"/>
        <v>7</v>
      </c>
      <c r="O274" s="1" t="s">
        <v>27</v>
      </c>
      <c r="P274" s="2" t="s">
        <v>2045</v>
      </c>
      <c r="Q274" t="s">
        <v>2046</v>
      </c>
    </row>
    <row r="275" spans="1:17" ht="24" customHeight="1" x14ac:dyDescent="0.3">
      <c r="A275" s="1" t="s">
        <v>2047</v>
      </c>
      <c r="B275" s="2" t="s">
        <v>2048</v>
      </c>
      <c r="C275" s="2" t="s">
        <v>2049</v>
      </c>
      <c r="D275" s="2" t="s">
        <v>2050</v>
      </c>
      <c r="E275" s="2" t="s">
        <v>2051</v>
      </c>
      <c r="F275" s="2" t="s">
        <v>2052</v>
      </c>
      <c r="G275" s="2" t="s">
        <v>2053</v>
      </c>
      <c r="H275" s="1" t="s">
        <v>23</v>
      </c>
      <c r="I275" s="1" t="s">
        <v>2054</v>
      </c>
      <c r="J275" s="2" t="s">
        <v>1967</v>
      </c>
      <c r="K275" s="2" t="s">
        <v>2055</v>
      </c>
      <c r="L275" s="28">
        <v>4</v>
      </c>
      <c r="M275" s="28">
        <v>14</v>
      </c>
      <c r="N275" s="29">
        <f t="shared" si="4"/>
        <v>14</v>
      </c>
      <c r="O275" s="1" t="s">
        <v>27</v>
      </c>
      <c r="P275" s="2" t="s">
        <v>2056</v>
      </c>
      <c r="Q275" t="s">
        <v>2057</v>
      </c>
    </row>
    <row r="276" spans="1:17" ht="24" customHeight="1" x14ac:dyDescent="0.3">
      <c r="A276" s="1" t="s">
        <v>2058</v>
      </c>
      <c r="B276" s="2" t="s">
        <v>2059</v>
      </c>
      <c r="C276" s="2" t="s">
        <v>2060</v>
      </c>
      <c r="D276" s="2" t="s">
        <v>2061</v>
      </c>
      <c r="E276" s="2" t="s">
        <v>2062</v>
      </c>
      <c r="F276" s="2" t="s">
        <v>1147</v>
      </c>
      <c r="G276" s="2" t="s">
        <v>2063</v>
      </c>
      <c r="H276" s="1" t="s">
        <v>63</v>
      </c>
      <c r="I276" s="1" t="s">
        <v>2064</v>
      </c>
      <c r="J276" s="2" t="s">
        <v>2064</v>
      </c>
      <c r="K276" s="2" t="s">
        <v>1754</v>
      </c>
      <c r="L276" s="28">
        <v>4</v>
      </c>
      <c r="M276" s="28">
        <v>10</v>
      </c>
      <c r="N276" s="29">
        <f t="shared" si="4"/>
        <v>10</v>
      </c>
      <c r="O276" s="1" t="s">
        <v>27</v>
      </c>
      <c r="P276" s="2" t="s">
        <v>2065</v>
      </c>
      <c r="Q276" t="s">
        <v>2066</v>
      </c>
    </row>
    <row r="277" spans="1:17" ht="24" customHeight="1" x14ac:dyDescent="0.3">
      <c r="A277" s="1" t="s">
        <v>2067</v>
      </c>
      <c r="B277" s="2" t="s">
        <v>2068</v>
      </c>
      <c r="C277" s="2" t="s">
        <v>2069</v>
      </c>
      <c r="D277" s="2" t="s">
        <v>2070</v>
      </c>
      <c r="E277" s="2" t="s">
        <v>2071</v>
      </c>
      <c r="F277" s="2" t="s">
        <v>1147</v>
      </c>
      <c r="G277" s="2" t="s">
        <v>2072</v>
      </c>
      <c r="H277" s="1" t="s">
        <v>63</v>
      </c>
      <c r="I277" s="1" t="s">
        <v>2064</v>
      </c>
      <c r="J277" s="2" t="s">
        <v>2064</v>
      </c>
      <c r="K277" s="2" t="s">
        <v>1754</v>
      </c>
      <c r="L277" s="28">
        <v>2.5</v>
      </c>
      <c r="M277" s="28">
        <v>5</v>
      </c>
      <c r="N277" s="29">
        <f t="shared" si="4"/>
        <v>5</v>
      </c>
      <c r="O277" s="1" t="s">
        <v>27</v>
      </c>
      <c r="P277" s="2" t="s">
        <v>2073</v>
      </c>
      <c r="Q277" t="s">
        <v>2074</v>
      </c>
    </row>
    <row r="278" spans="1:17" ht="24" customHeight="1" x14ac:dyDescent="0.3">
      <c r="A278" s="1" t="s">
        <v>2075</v>
      </c>
      <c r="B278" s="2" t="s">
        <v>2076</v>
      </c>
      <c r="C278" s="2" t="s">
        <v>2077</v>
      </c>
      <c r="D278" s="2" t="s">
        <v>2078</v>
      </c>
      <c r="E278" s="2" t="s">
        <v>2079</v>
      </c>
      <c r="F278" s="2" t="s">
        <v>1768</v>
      </c>
      <c r="G278" s="2" t="s">
        <v>2080</v>
      </c>
      <c r="H278" s="1" t="s">
        <v>23</v>
      </c>
      <c r="I278" s="1" t="s">
        <v>2081</v>
      </c>
      <c r="J278" s="2" t="s">
        <v>1967</v>
      </c>
      <c r="K278" s="2" t="s">
        <v>2082</v>
      </c>
      <c r="L278" s="28">
        <v>4</v>
      </c>
      <c r="M278" s="28">
        <v>8</v>
      </c>
      <c r="N278" s="29">
        <f t="shared" si="4"/>
        <v>8</v>
      </c>
      <c r="O278" s="1" t="s">
        <v>27</v>
      </c>
      <c r="P278" s="2" t="s">
        <v>2083</v>
      </c>
      <c r="Q278" t="s">
        <v>2084</v>
      </c>
    </row>
    <row r="279" spans="1:17" ht="24" customHeight="1" x14ac:dyDescent="0.3">
      <c r="A279" s="1" t="s">
        <v>2085</v>
      </c>
      <c r="B279" s="2" t="s">
        <v>2086</v>
      </c>
      <c r="C279" s="2" t="s">
        <v>2087</v>
      </c>
      <c r="D279" s="2" t="s">
        <v>2088</v>
      </c>
      <c r="E279" s="2" t="s">
        <v>2089</v>
      </c>
      <c r="F279" s="2" t="s">
        <v>2052</v>
      </c>
      <c r="G279" s="2" t="s">
        <v>2090</v>
      </c>
      <c r="H279" s="1" t="s">
        <v>23</v>
      </c>
      <c r="I279" s="1" t="s">
        <v>2091</v>
      </c>
      <c r="J279" s="2" t="s">
        <v>1967</v>
      </c>
      <c r="K279" s="2" t="s">
        <v>2092</v>
      </c>
      <c r="L279" s="28">
        <v>3</v>
      </c>
      <c r="M279" s="28">
        <v>6</v>
      </c>
      <c r="N279" s="29">
        <f t="shared" si="4"/>
        <v>6</v>
      </c>
      <c r="O279" s="1" t="s">
        <v>27</v>
      </c>
      <c r="P279" s="2" t="s">
        <v>2093</v>
      </c>
      <c r="Q279" t="s">
        <v>2094</v>
      </c>
    </row>
    <row r="280" spans="1:17" ht="24" customHeight="1" x14ac:dyDescent="0.3">
      <c r="A280" s="1" t="s">
        <v>2095</v>
      </c>
      <c r="B280" s="2" t="s">
        <v>2096</v>
      </c>
      <c r="C280" s="2" t="s">
        <v>2097</v>
      </c>
      <c r="D280" s="2" t="s">
        <v>2098</v>
      </c>
      <c r="E280" s="2" t="s">
        <v>2099</v>
      </c>
      <c r="F280" s="2" t="s">
        <v>1147</v>
      </c>
      <c r="G280" s="2" t="s">
        <v>2100</v>
      </c>
      <c r="H280" s="1" t="s">
        <v>63</v>
      </c>
      <c r="I280" s="1" t="s">
        <v>2064</v>
      </c>
      <c r="J280" s="2" t="s">
        <v>2064</v>
      </c>
      <c r="K280" s="2" t="s">
        <v>1754</v>
      </c>
      <c r="L280" s="28">
        <v>2.5</v>
      </c>
      <c r="M280" s="28">
        <v>5</v>
      </c>
      <c r="N280" s="29">
        <f t="shared" si="4"/>
        <v>5</v>
      </c>
      <c r="O280" s="1" t="s">
        <v>27</v>
      </c>
      <c r="P280" s="2" t="s">
        <v>2101</v>
      </c>
      <c r="Q280" t="s">
        <v>2074</v>
      </c>
    </row>
    <row r="281" spans="1:17" ht="24" customHeight="1" x14ac:dyDescent="0.3">
      <c r="A281" s="1" t="s">
        <v>2102</v>
      </c>
      <c r="B281" s="2" t="s">
        <v>2103</v>
      </c>
      <c r="C281" s="2" t="s">
        <v>2104</v>
      </c>
      <c r="D281" s="2" t="s">
        <v>2105</v>
      </c>
      <c r="E281" s="2" t="s">
        <v>2106</v>
      </c>
      <c r="F281" s="2" t="s">
        <v>2107</v>
      </c>
      <c r="G281" s="2" t="s">
        <v>2108</v>
      </c>
      <c r="H281" s="1" t="s">
        <v>23</v>
      </c>
      <c r="I281" s="1" t="s">
        <v>2109</v>
      </c>
      <c r="J281" s="2" t="s">
        <v>2110</v>
      </c>
      <c r="K281" s="2" t="s">
        <v>2111</v>
      </c>
      <c r="L281" s="28">
        <v>2</v>
      </c>
      <c r="M281" s="28">
        <v>4</v>
      </c>
      <c r="N281" s="29">
        <f t="shared" si="4"/>
        <v>4</v>
      </c>
      <c r="O281" s="1" t="s">
        <v>27</v>
      </c>
      <c r="P281" s="2" t="s">
        <v>2112</v>
      </c>
      <c r="Q281" t="s">
        <v>2113</v>
      </c>
    </row>
    <row r="282" spans="1:17" ht="30" x14ac:dyDescent="0.3">
      <c r="A282" s="1" t="s">
        <v>2114</v>
      </c>
      <c r="B282" s="2" t="s">
        <v>2115</v>
      </c>
      <c r="C282" s="2" t="s">
        <v>2116</v>
      </c>
      <c r="D282" s="2" t="s">
        <v>2117</v>
      </c>
      <c r="E282" s="2" t="s">
        <v>2118</v>
      </c>
      <c r="F282" s="2" t="s">
        <v>2041</v>
      </c>
      <c r="G282" s="2" t="s">
        <v>2119</v>
      </c>
      <c r="H282" s="1" t="s">
        <v>23</v>
      </c>
      <c r="I282" s="1" t="s">
        <v>2120</v>
      </c>
      <c r="J282" s="2" t="s">
        <v>1967</v>
      </c>
      <c r="K282" s="2" t="s">
        <v>2121</v>
      </c>
      <c r="L282" s="28">
        <v>3</v>
      </c>
      <c r="M282" s="28">
        <v>10</v>
      </c>
      <c r="N282" s="29">
        <f t="shared" si="4"/>
        <v>10</v>
      </c>
      <c r="O282" s="1" t="s">
        <v>27</v>
      </c>
      <c r="P282" s="2" t="s">
        <v>2122</v>
      </c>
      <c r="Q282" t="s">
        <v>2123</v>
      </c>
    </row>
    <row r="283" spans="1:17" ht="30" x14ac:dyDescent="0.3">
      <c r="A283" s="1" t="s">
        <v>2124</v>
      </c>
      <c r="B283" s="2" t="s">
        <v>2059</v>
      </c>
      <c r="C283" s="2" t="s">
        <v>2125</v>
      </c>
      <c r="D283" s="2" t="s">
        <v>2061</v>
      </c>
      <c r="E283" s="2" t="s">
        <v>2062</v>
      </c>
      <c r="F283" s="2" t="s">
        <v>2126</v>
      </c>
      <c r="G283" s="2" t="s">
        <v>2127</v>
      </c>
      <c r="H283" s="1" t="s">
        <v>63</v>
      </c>
      <c r="I283" s="1" t="s">
        <v>2064</v>
      </c>
      <c r="J283" s="2" t="s">
        <v>2064</v>
      </c>
      <c r="K283" s="2" t="s">
        <v>1754</v>
      </c>
      <c r="L283" s="28">
        <v>4</v>
      </c>
      <c r="M283" s="28">
        <v>10</v>
      </c>
      <c r="N283" s="29">
        <f t="shared" si="4"/>
        <v>10</v>
      </c>
      <c r="O283" s="1" t="s">
        <v>27</v>
      </c>
      <c r="P283" s="2" t="s">
        <v>2128</v>
      </c>
      <c r="Q283" t="s">
        <v>2129</v>
      </c>
    </row>
    <row r="284" spans="1:17" ht="30" x14ac:dyDescent="0.3">
      <c r="A284" s="1" t="s">
        <v>2130</v>
      </c>
      <c r="B284" s="2" t="s">
        <v>2131</v>
      </c>
      <c r="C284" s="2" t="s">
        <v>2132</v>
      </c>
      <c r="D284" s="2" t="s">
        <v>2133</v>
      </c>
      <c r="E284" s="2" t="s">
        <v>2134</v>
      </c>
      <c r="F284" s="2" t="s">
        <v>1768</v>
      </c>
      <c r="G284" s="2" t="s">
        <v>2135</v>
      </c>
      <c r="H284" s="1" t="s">
        <v>23</v>
      </c>
      <c r="I284" s="1" t="s">
        <v>2136</v>
      </c>
      <c r="J284" s="2" t="s">
        <v>1967</v>
      </c>
      <c r="K284" s="2" t="s">
        <v>2137</v>
      </c>
      <c r="L284" s="28">
        <v>4</v>
      </c>
      <c r="M284" s="28">
        <v>8</v>
      </c>
      <c r="N284" s="29">
        <f t="shared" si="4"/>
        <v>8</v>
      </c>
      <c r="O284" s="1" t="s">
        <v>27</v>
      </c>
      <c r="P284" s="2" t="s">
        <v>2138</v>
      </c>
      <c r="Q284" t="s">
        <v>2084</v>
      </c>
    </row>
    <row r="285" spans="1:17" ht="30" x14ac:dyDescent="0.3">
      <c r="A285" s="1" t="s">
        <v>2139</v>
      </c>
      <c r="B285" s="2" t="s">
        <v>2140</v>
      </c>
      <c r="C285" s="2" t="s">
        <v>2141</v>
      </c>
      <c r="D285" s="2" t="s">
        <v>2142</v>
      </c>
      <c r="E285" s="2" t="s">
        <v>2143</v>
      </c>
      <c r="F285" s="2" t="s">
        <v>1147</v>
      </c>
      <c r="G285" s="2" t="s">
        <v>2144</v>
      </c>
      <c r="H285" s="1" t="s">
        <v>63</v>
      </c>
      <c r="I285" s="1" t="s">
        <v>2145</v>
      </c>
      <c r="J285" s="2" t="s">
        <v>2064</v>
      </c>
      <c r="K285" s="2" t="s">
        <v>1754</v>
      </c>
      <c r="L285" s="28">
        <v>3</v>
      </c>
      <c r="M285" s="28">
        <v>10</v>
      </c>
      <c r="N285" s="29">
        <f t="shared" si="4"/>
        <v>10</v>
      </c>
      <c r="O285" s="1" t="s">
        <v>27</v>
      </c>
      <c r="P285" s="2" t="s">
        <v>2146</v>
      </c>
      <c r="Q285" t="s">
        <v>2147</v>
      </c>
    </row>
    <row r="286" spans="1:17" ht="30" x14ac:dyDescent="0.3">
      <c r="A286" s="1" t="s">
        <v>2148</v>
      </c>
      <c r="B286" s="2" t="s">
        <v>2149</v>
      </c>
      <c r="C286" s="2" t="s">
        <v>2150</v>
      </c>
      <c r="D286" s="2" t="s">
        <v>2151</v>
      </c>
      <c r="E286" s="2" t="s">
        <v>2152</v>
      </c>
      <c r="F286" s="2" t="s">
        <v>1147</v>
      </c>
      <c r="G286" s="2" t="s">
        <v>2153</v>
      </c>
      <c r="H286" s="1" t="s">
        <v>63</v>
      </c>
      <c r="I286" s="1" t="s">
        <v>2064</v>
      </c>
      <c r="J286" s="2" t="s">
        <v>2064</v>
      </c>
      <c r="K286" s="2" t="s">
        <v>1754</v>
      </c>
      <c r="L286" s="28">
        <v>3.5</v>
      </c>
      <c r="M286" s="28">
        <v>12</v>
      </c>
      <c r="N286" s="29">
        <f t="shared" si="4"/>
        <v>12</v>
      </c>
      <c r="O286" s="1" t="s">
        <v>27</v>
      </c>
      <c r="P286" s="2" t="s">
        <v>2154</v>
      </c>
      <c r="Q286" t="s">
        <v>2155</v>
      </c>
    </row>
    <row r="287" spans="1:17" ht="30" x14ac:dyDescent="0.3">
      <c r="A287" s="1" t="s">
        <v>2174</v>
      </c>
      <c r="B287" s="2" t="s">
        <v>2175</v>
      </c>
      <c r="C287" s="2" t="s">
        <v>2116</v>
      </c>
      <c r="D287" s="2" t="s">
        <v>2176</v>
      </c>
      <c r="E287" s="2" t="s">
        <v>2177</v>
      </c>
      <c r="F287" s="2" t="s">
        <v>1768</v>
      </c>
      <c r="G287" s="2" t="s">
        <v>2178</v>
      </c>
      <c r="H287" s="1" t="s">
        <v>23</v>
      </c>
      <c r="I287" s="1" t="s">
        <v>2179</v>
      </c>
      <c r="J287" s="2" t="s">
        <v>2180</v>
      </c>
      <c r="K287" s="2" t="s">
        <v>2181</v>
      </c>
      <c r="L287" s="28">
        <v>3</v>
      </c>
      <c r="M287" s="28">
        <v>7</v>
      </c>
      <c r="N287" s="29">
        <f t="shared" si="4"/>
        <v>7</v>
      </c>
      <c r="O287" s="1" t="s">
        <v>27</v>
      </c>
      <c r="P287" s="2" t="s">
        <v>2182</v>
      </c>
      <c r="Q287" t="s">
        <v>2084</v>
      </c>
    </row>
    <row r="288" spans="1:17" ht="30" x14ac:dyDescent="0.3">
      <c r="A288" s="1" t="s">
        <v>2183</v>
      </c>
      <c r="B288" s="2" t="s">
        <v>2184</v>
      </c>
      <c r="C288" s="2" t="s">
        <v>2185</v>
      </c>
      <c r="D288" s="2" t="s">
        <v>2186</v>
      </c>
      <c r="E288" s="2" t="s">
        <v>2187</v>
      </c>
      <c r="F288" s="2" t="s">
        <v>1147</v>
      </c>
      <c r="G288" s="2" t="s">
        <v>2188</v>
      </c>
      <c r="H288" s="1" t="s">
        <v>63</v>
      </c>
      <c r="I288" s="1" t="s">
        <v>2064</v>
      </c>
      <c r="J288" s="2" t="s">
        <v>2064</v>
      </c>
      <c r="K288" s="2" t="s">
        <v>1754</v>
      </c>
      <c r="L288" s="28">
        <v>2.5</v>
      </c>
      <c r="M288" s="28">
        <v>6</v>
      </c>
      <c r="N288" s="29">
        <f t="shared" si="4"/>
        <v>6</v>
      </c>
      <c r="O288" s="1" t="s">
        <v>27</v>
      </c>
      <c r="P288" s="2" t="s">
        <v>2189</v>
      </c>
      <c r="Q288" t="s">
        <v>2074</v>
      </c>
    </row>
    <row r="289" spans="1:17" ht="30" x14ac:dyDescent="0.3">
      <c r="A289" s="1" t="s">
        <v>2190</v>
      </c>
      <c r="B289" s="2" t="s">
        <v>2191</v>
      </c>
      <c r="C289" s="2" t="s">
        <v>2192</v>
      </c>
      <c r="D289" s="2" t="s">
        <v>2193</v>
      </c>
      <c r="E289" s="2" t="s">
        <v>2194</v>
      </c>
      <c r="F289" s="2" t="s">
        <v>1768</v>
      </c>
      <c r="G289" s="2" t="s">
        <v>2195</v>
      </c>
      <c r="H289" s="1" t="s">
        <v>23</v>
      </c>
      <c r="I289" s="1" t="s">
        <v>2196</v>
      </c>
      <c r="J289" s="2" t="s">
        <v>1967</v>
      </c>
      <c r="K289" s="2" t="s">
        <v>2197</v>
      </c>
      <c r="L289" s="28">
        <v>3</v>
      </c>
      <c r="M289" s="28">
        <v>7</v>
      </c>
      <c r="N289" s="29">
        <f t="shared" si="4"/>
        <v>7</v>
      </c>
      <c r="O289" s="1" t="s">
        <v>27</v>
      </c>
      <c r="P289" s="2" t="s">
        <v>2198</v>
      </c>
      <c r="Q289" t="s">
        <v>2084</v>
      </c>
    </row>
    <row r="290" spans="1:17" ht="30" x14ac:dyDescent="0.3">
      <c r="A290" s="1" t="s">
        <v>2199</v>
      </c>
      <c r="B290" s="2" t="s">
        <v>2200</v>
      </c>
      <c r="C290" s="2" t="s">
        <v>2201</v>
      </c>
      <c r="D290" s="2" t="s">
        <v>2202</v>
      </c>
      <c r="E290" s="2" t="s">
        <v>2203</v>
      </c>
      <c r="F290" s="2" t="s">
        <v>1697</v>
      </c>
      <c r="G290" s="2" t="s">
        <v>2204</v>
      </c>
      <c r="H290" s="1" t="s">
        <v>63</v>
      </c>
      <c r="I290" s="1" t="s">
        <v>2064</v>
      </c>
      <c r="J290" s="2" t="s">
        <v>2064</v>
      </c>
      <c r="K290" s="2" t="s">
        <v>1754</v>
      </c>
      <c r="L290" s="28">
        <v>3</v>
      </c>
      <c r="M290" s="28">
        <v>6</v>
      </c>
      <c r="N290" s="29">
        <f t="shared" si="4"/>
        <v>6</v>
      </c>
      <c r="O290" s="1" t="s">
        <v>27</v>
      </c>
      <c r="P290" s="2" t="s">
        <v>2205</v>
      </c>
      <c r="Q290" t="s">
        <v>2206</v>
      </c>
    </row>
    <row r="291" spans="1:17" ht="30" x14ac:dyDescent="0.3">
      <c r="A291" s="1" t="s">
        <v>2207</v>
      </c>
      <c r="B291" s="2" t="s">
        <v>2208</v>
      </c>
      <c r="C291" s="2" t="s">
        <v>2209</v>
      </c>
      <c r="D291" s="2" t="s">
        <v>2210</v>
      </c>
      <c r="E291" s="2" t="s">
        <v>2211</v>
      </c>
      <c r="F291" s="2" t="s">
        <v>1147</v>
      </c>
      <c r="G291" s="2" t="s">
        <v>2212</v>
      </c>
      <c r="H291" s="1" t="s">
        <v>63</v>
      </c>
      <c r="I291" s="1" t="s">
        <v>2064</v>
      </c>
      <c r="J291" s="2" t="s">
        <v>2064</v>
      </c>
      <c r="K291" s="2" t="s">
        <v>1754</v>
      </c>
      <c r="L291" s="28">
        <v>2.5</v>
      </c>
      <c r="M291" s="28">
        <v>6</v>
      </c>
      <c r="N291" s="29">
        <f t="shared" si="4"/>
        <v>6</v>
      </c>
      <c r="O291" s="1" t="s">
        <v>27</v>
      </c>
      <c r="P291" s="2" t="s">
        <v>2213</v>
      </c>
      <c r="Q291" t="s">
        <v>2074</v>
      </c>
    </row>
    <row r="292" spans="1:17" ht="45" x14ac:dyDescent="0.3">
      <c r="A292" s="1" t="s">
        <v>2214</v>
      </c>
      <c r="B292" s="2" t="s">
        <v>2215</v>
      </c>
      <c r="C292" s="2" t="s">
        <v>2216</v>
      </c>
      <c r="D292" s="2" t="s">
        <v>2193</v>
      </c>
      <c r="E292" s="2" t="s">
        <v>2217</v>
      </c>
      <c r="F292" s="2" t="s">
        <v>1697</v>
      </c>
      <c r="G292" s="2" t="s">
        <v>2218</v>
      </c>
      <c r="H292" s="1" t="s">
        <v>63</v>
      </c>
      <c r="I292" s="1" t="s">
        <v>2064</v>
      </c>
      <c r="J292" s="2" t="s">
        <v>2064</v>
      </c>
      <c r="K292" s="2" t="s">
        <v>1754</v>
      </c>
      <c r="L292" s="28">
        <v>2.5</v>
      </c>
      <c r="M292" s="28">
        <v>6</v>
      </c>
      <c r="N292" s="29">
        <f t="shared" si="4"/>
        <v>6</v>
      </c>
      <c r="O292" s="1" t="s">
        <v>27</v>
      </c>
      <c r="P292" s="2" t="s">
        <v>2219</v>
      </c>
      <c r="Q292" t="s">
        <v>2220</v>
      </c>
    </row>
    <row r="293" spans="1:17" ht="30" x14ac:dyDescent="0.3">
      <c r="A293" s="1" t="s">
        <v>2221</v>
      </c>
      <c r="B293" s="2" t="s">
        <v>2222</v>
      </c>
      <c r="C293" s="2" t="s">
        <v>2223</v>
      </c>
      <c r="D293" s="2" t="s">
        <v>2224</v>
      </c>
      <c r="E293" s="2" t="s">
        <v>2225</v>
      </c>
      <c r="F293" s="2" t="s">
        <v>1697</v>
      </c>
      <c r="G293" s="2" t="s">
        <v>2226</v>
      </c>
      <c r="H293" s="1" t="s">
        <v>63</v>
      </c>
      <c r="I293" s="1" t="s">
        <v>2064</v>
      </c>
      <c r="J293" s="2" t="s">
        <v>2064</v>
      </c>
      <c r="K293" s="2" t="s">
        <v>1754</v>
      </c>
      <c r="L293" s="28">
        <v>2.5</v>
      </c>
      <c r="M293" s="28">
        <v>6</v>
      </c>
      <c r="N293" s="29">
        <f t="shared" si="4"/>
        <v>6</v>
      </c>
      <c r="O293" s="1" t="s">
        <v>27</v>
      </c>
      <c r="P293" s="2" t="s">
        <v>2227</v>
      </c>
      <c r="Q293" t="s">
        <v>2228</v>
      </c>
    </row>
    <row r="294" spans="1:17" ht="30" x14ac:dyDescent="0.3">
      <c r="A294" s="1" t="s">
        <v>2229</v>
      </c>
      <c r="B294" s="2" t="s">
        <v>2230</v>
      </c>
      <c r="C294" s="2" t="s">
        <v>2231</v>
      </c>
      <c r="D294" s="2" t="s">
        <v>2232</v>
      </c>
      <c r="E294" s="2" t="s">
        <v>2233</v>
      </c>
      <c r="F294" s="2" t="s">
        <v>1147</v>
      </c>
      <c r="G294" s="2" t="s">
        <v>2234</v>
      </c>
      <c r="H294" s="1" t="s">
        <v>63</v>
      </c>
      <c r="I294" s="1" t="s">
        <v>2064</v>
      </c>
      <c r="J294" s="2" t="s">
        <v>2064</v>
      </c>
      <c r="K294" s="2" t="s">
        <v>1754</v>
      </c>
      <c r="L294" s="28">
        <v>2.5</v>
      </c>
      <c r="M294" s="28">
        <v>6</v>
      </c>
      <c r="N294" s="29">
        <f t="shared" si="4"/>
        <v>6</v>
      </c>
      <c r="O294" s="1" t="s">
        <v>27</v>
      </c>
      <c r="P294" s="2" t="s">
        <v>2235</v>
      </c>
      <c r="Q294" t="s">
        <v>2074</v>
      </c>
    </row>
    <row r="295" spans="1:17" ht="45" x14ac:dyDescent="0.3">
      <c r="A295" s="1" t="s">
        <v>2236</v>
      </c>
      <c r="B295" s="2" t="s">
        <v>2237</v>
      </c>
      <c r="C295" s="2" t="s">
        <v>2238</v>
      </c>
      <c r="D295" s="2" t="s">
        <v>2239</v>
      </c>
      <c r="E295" s="2" t="s">
        <v>2240</v>
      </c>
      <c r="F295" s="2" t="s">
        <v>1768</v>
      </c>
      <c r="G295" s="2" t="s">
        <v>2241</v>
      </c>
      <c r="H295" s="1" t="s">
        <v>23</v>
      </c>
      <c r="I295" s="1" t="s">
        <v>2242</v>
      </c>
      <c r="J295" s="2" t="s">
        <v>1967</v>
      </c>
      <c r="K295" s="2" t="s">
        <v>2243</v>
      </c>
      <c r="L295" s="28">
        <v>3</v>
      </c>
      <c r="M295" s="28">
        <v>10</v>
      </c>
      <c r="N295" s="29">
        <f t="shared" si="4"/>
        <v>10</v>
      </c>
      <c r="O295" s="1" t="s">
        <v>27</v>
      </c>
      <c r="P295" s="2" t="s">
        <v>2244</v>
      </c>
      <c r="Q295" t="s">
        <v>2245</v>
      </c>
    </row>
    <row r="296" spans="1:17" ht="30" x14ac:dyDescent="0.3">
      <c r="A296" s="1" t="s">
        <v>2246</v>
      </c>
      <c r="B296" s="2" t="s">
        <v>2247</v>
      </c>
      <c r="C296" s="2" t="s">
        <v>2248</v>
      </c>
      <c r="D296" s="2" t="s">
        <v>2249</v>
      </c>
      <c r="E296" s="2" t="s">
        <v>2250</v>
      </c>
      <c r="F296" s="2" t="s">
        <v>1147</v>
      </c>
      <c r="G296" s="2" t="s">
        <v>2251</v>
      </c>
      <c r="H296" s="1" t="s">
        <v>63</v>
      </c>
      <c r="I296" s="1" t="s">
        <v>2064</v>
      </c>
      <c r="J296" s="2" t="s">
        <v>2064</v>
      </c>
      <c r="K296" s="2" t="s">
        <v>1754</v>
      </c>
      <c r="L296" s="28">
        <v>2.5</v>
      </c>
      <c r="M296" s="28">
        <v>5</v>
      </c>
      <c r="N296" s="29">
        <f t="shared" si="4"/>
        <v>5</v>
      </c>
      <c r="O296" s="1" t="s">
        <v>27</v>
      </c>
      <c r="P296" s="2" t="s">
        <v>2252</v>
      </c>
      <c r="Q296" t="s">
        <v>2074</v>
      </c>
    </row>
    <row r="297" spans="1:17" ht="30" x14ac:dyDescent="0.3">
      <c r="A297" s="1" t="s">
        <v>2253</v>
      </c>
      <c r="B297" s="2" t="s">
        <v>2254</v>
      </c>
      <c r="C297" s="2" t="s">
        <v>2255</v>
      </c>
      <c r="D297" s="2" t="s">
        <v>2249</v>
      </c>
      <c r="E297" s="2" t="s">
        <v>2256</v>
      </c>
      <c r="F297" s="2" t="s">
        <v>1768</v>
      </c>
      <c r="G297" s="2" t="s">
        <v>2257</v>
      </c>
      <c r="H297" s="1" t="s">
        <v>23</v>
      </c>
      <c r="I297" s="1" t="s">
        <v>2258</v>
      </c>
      <c r="J297" s="2" t="s">
        <v>1967</v>
      </c>
      <c r="K297" s="2" t="s">
        <v>2259</v>
      </c>
      <c r="L297" s="28">
        <v>3</v>
      </c>
      <c r="M297" s="28">
        <v>6</v>
      </c>
      <c r="N297" s="29">
        <f t="shared" si="4"/>
        <v>6</v>
      </c>
      <c r="O297" s="1" t="s">
        <v>27</v>
      </c>
      <c r="P297" s="2" t="s">
        <v>2260</v>
      </c>
      <c r="Q297" t="s">
        <v>2261</v>
      </c>
    </row>
    <row r="298" spans="1:17" ht="30" x14ac:dyDescent="0.3">
      <c r="A298" s="1" t="s">
        <v>2262</v>
      </c>
      <c r="B298" s="2" t="s">
        <v>2263</v>
      </c>
      <c r="C298" s="2" t="s">
        <v>2264</v>
      </c>
      <c r="D298" s="2" t="s">
        <v>2265</v>
      </c>
      <c r="E298" s="2" t="s">
        <v>2266</v>
      </c>
      <c r="F298" s="2" t="s">
        <v>1768</v>
      </c>
      <c r="G298" s="2" t="s">
        <v>2267</v>
      </c>
      <c r="H298" s="1" t="s">
        <v>23</v>
      </c>
      <c r="I298" s="1" t="s">
        <v>2268</v>
      </c>
      <c r="J298" s="2" t="s">
        <v>2269</v>
      </c>
      <c r="K298" s="2" t="s">
        <v>2270</v>
      </c>
      <c r="L298" s="28">
        <v>3</v>
      </c>
      <c r="M298" s="28">
        <v>6</v>
      </c>
      <c r="N298" s="29">
        <f t="shared" si="4"/>
        <v>6</v>
      </c>
      <c r="O298" s="1" t="s">
        <v>27</v>
      </c>
      <c r="P298" s="2" t="s">
        <v>2271</v>
      </c>
      <c r="Q298" t="s">
        <v>2272</v>
      </c>
    </row>
    <row r="299" spans="1:17" ht="30" x14ac:dyDescent="0.3">
      <c r="A299" s="1" t="s">
        <v>2273</v>
      </c>
      <c r="B299" s="2" t="s">
        <v>2274</v>
      </c>
      <c r="C299" s="2" t="s">
        <v>2275</v>
      </c>
      <c r="D299" s="2" t="s">
        <v>2088</v>
      </c>
      <c r="E299" s="2" t="s">
        <v>2276</v>
      </c>
      <c r="F299" s="2" t="s">
        <v>1768</v>
      </c>
      <c r="G299" s="2" t="s">
        <v>2277</v>
      </c>
      <c r="H299" s="1" t="s">
        <v>23</v>
      </c>
      <c r="I299" s="1" t="s">
        <v>2278</v>
      </c>
      <c r="J299" s="2" t="s">
        <v>1967</v>
      </c>
      <c r="K299" s="2" t="s">
        <v>2279</v>
      </c>
      <c r="L299" s="28">
        <v>3</v>
      </c>
      <c r="M299" s="28">
        <v>6</v>
      </c>
      <c r="N299" s="29">
        <f t="shared" si="4"/>
        <v>6</v>
      </c>
      <c r="O299" s="1" t="s">
        <v>27</v>
      </c>
      <c r="P299" s="2" t="s">
        <v>2280</v>
      </c>
      <c r="Q299" t="s">
        <v>2281</v>
      </c>
    </row>
    <row r="300" spans="1:17" ht="30" x14ac:dyDescent="0.3">
      <c r="A300" s="1" t="s">
        <v>2282</v>
      </c>
      <c r="B300" s="2" t="s">
        <v>2283</v>
      </c>
      <c r="C300" s="2" t="s">
        <v>2284</v>
      </c>
      <c r="D300" s="2" t="s">
        <v>2285</v>
      </c>
      <c r="E300" s="2" t="s">
        <v>2286</v>
      </c>
      <c r="F300" s="2" t="s">
        <v>1768</v>
      </c>
      <c r="G300" s="2" t="s">
        <v>2287</v>
      </c>
      <c r="H300" s="1" t="s">
        <v>23</v>
      </c>
      <c r="I300" s="1" t="s">
        <v>2288</v>
      </c>
      <c r="J300" s="2" t="s">
        <v>1967</v>
      </c>
      <c r="K300" s="2" t="s">
        <v>2289</v>
      </c>
      <c r="L300" s="28">
        <v>3</v>
      </c>
      <c r="M300" s="28">
        <v>6</v>
      </c>
      <c r="N300" s="29">
        <f t="shared" si="4"/>
        <v>6</v>
      </c>
      <c r="O300" s="1" t="s">
        <v>27</v>
      </c>
      <c r="P300" s="2" t="s">
        <v>2290</v>
      </c>
      <c r="Q300" t="s">
        <v>2291</v>
      </c>
    </row>
    <row r="301" spans="1:17" ht="30" x14ac:dyDescent="0.3">
      <c r="A301" s="1" t="s">
        <v>2292</v>
      </c>
      <c r="B301" s="2" t="s">
        <v>2293</v>
      </c>
      <c r="C301" s="2" t="s">
        <v>2294</v>
      </c>
      <c r="D301" s="2" t="s">
        <v>2295</v>
      </c>
      <c r="E301" s="2" t="s">
        <v>2296</v>
      </c>
      <c r="F301" s="2" t="s">
        <v>1147</v>
      </c>
      <c r="G301" s="2" t="s">
        <v>2297</v>
      </c>
      <c r="H301" s="1" t="s">
        <v>63</v>
      </c>
      <c r="I301" s="1" t="s">
        <v>2064</v>
      </c>
      <c r="J301" s="2" t="s">
        <v>2064</v>
      </c>
      <c r="K301" s="2" t="s">
        <v>2298</v>
      </c>
      <c r="L301" s="28">
        <v>2.5</v>
      </c>
      <c r="M301" s="28">
        <v>5</v>
      </c>
      <c r="N301" s="29">
        <f t="shared" si="4"/>
        <v>5</v>
      </c>
      <c r="O301" s="1" t="s">
        <v>27</v>
      </c>
      <c r="P301" s="2" t="s">
        <v>2299</v>
      </c>
      <c r="Q301" t="s">
        <v>2300</v>
      </c>
    </row>
    <row r="302" spans="1:17" ht="30" x14ac:dyDescent="0.3">
      <c r="A302" s="1" t="s">
        <v>2301</v>
      </c>
      <c r="B302" s="2" t="s">
        <v>2302</v>
      </c>
      <c r="C302" s="2" t="s">
        <v>2303</v>
      </c>
      <c r="D302" s="2" t="s">
        <v>2142</v>
      </c>
      <c r="E302" s="2" t="s">
        <v>2304</v>
      </c>
      <c r="F302" s="2" t="s">
        <v>1768</v>
      </c>
      <c r="G302" s="2" t="s">
        <v>2305</v>
      </c>
      <c r="H302" s="1" t="s">
        <v>23</v>
      </c>
      <c r="I302" s="1" t="s">
        <v>2306</v>
      </c>
      <c r="J302" s="2" t="s">
        <v>1967</v>
      </c>
      <c r="K302" s="2" t="s">
        <v>2307</v>
      </c>
      <c r="L302" s="28">
        <v>3</v>
      </c>
      <c r="M302" s="28">
        <v>6</v>
      </c>
      <c r="N302" s="29">
        <f t="shared" si="4"/>
        <v>6</v>
      </c>
      <c r="O302" s="1" t="s">
        <v>27</v>
      </c>
      <c r="P302" s="2" t="s">
        <v>2308</v>
      </c>
      <c r="Q302" t="s">
        <v>2281</v>
      </c>
    </row>
    <row r="303" spans="1:17" ht="30" x14ac:dyDescent="0.3">
      <c r="A303" s="1" t="s">
        <v>2309</v>
      </c>
      <c r="B303" s="2" t="s">
        <v>2310</v>
      </c>
      <c r="C303" s="2" t="s">
        <v>2311</v>
      </c>
      <c r="D303" s="2" t="s">
        <v>2312</v>
      </c>
      <c r="E303" s="2" t="s">
        <v>2313</v>
      </c>
      <c r="F303" s="2" t="s">
        <v>1147</v>
      </c>
      <c r="G303" s="2" t="s">
        <v>2314</v>
      </c>
      <c r="H303" s="1" t="s">
        <v>63</v>
      </c>
      <c r="I303" s="1" t="s">
        <v>2064</v>
      </c>
      <c r="J303" s="2" t="s">
        <v>2064</v>
      </c>
      <c r="K303" s="2" t="s">
        <v>1754</v>
      </c>
      <c r="L303" s="28">
        <v>2.5</v>
      </c>
      <c r="M303" s="28">
        <v>5</v>
      </c>
      <c r="N303" s="29">
        <f t="shared" si="4"/>
        <v>5</v>
      </c>
      <c r="O303" s="1" t="s">
        <v>27</v>
      </c>
      <c r="P303" s="2" t="s">
        <v>2315</v>
      </c>
      <c r="Q303" t="s">
        <v>2316</v>
      </c>
    </row>
    <row r="304" spans="1:17" ht="30" x14ac:dyDescent="0.3">
      <c r="A304" s="1" t="s">
        <v>2317</v>
      </c>
      <c r="B304" s="2" t="s">
        <v>2318</v>
      </c>
      <c r="C304" s="2" t="s">
        <v>2319</v>
      </c>
      <c r="D304" s="2" t="s">
        <v>2320</v>
      </c>
      <c r="E304" s="2" t="s">
        <v>2321</v>
      </c>
      <c r="F304" s="2" t="s">
        <v>1147</v>
      </c>
      <c r="G304" s="2" t="s">
        <v>2322</v>
      </c>
      <c r="H304" s="1" t="s">
        <v>63</v>
      </c>
      <c r="I304" s="1" t="s">
        <v>2064</v>
      </c>
      <c r="J304" s="2" t="s">
        <v>2064</v>
      </c>
      <c r="K304" s="2" t="s">
        <v>1754</v>
      </c>
      <c r="L304" s="28">
        <v>2.5</v>
      </c>
      <c r="M304" s="28">
        <v>7</v>
      </c>
      <c r="N304" s="29">
        <f t="shared" si="4"/>
        <v>7</v>
      </c>
      <c r="O304" s="1" t="s">
        <v>27</v>
      </c>
      <c r="P304" s="2" t="s">
        <v>2323</v>
      </c>
      <c r="Q304" t="s">
        <v>2316</v>
      </c>
    </row>
    <row r="305" spans="1:17" ht="30" x14ac:dyDescent="0.3">
      <c r="A305" s="1" t="s">
        <v>2324</v>
      </c>
      <c r="B305" s="2" t="s">
        <v>2325</v>
      </c>
      <c r="C305" s="2" t="s">
        <v>2326</v>
      </c>
      <c r="D305" s="2" t="s">
        <v>2295</v>
      </c>
      <c r="E305" s="2" t="s">
        <v>2327</v>
      </c>
      <c r="F305" s="2" t="s">
        <v>1768</v>
      </c>
      <c r="G305" s="2" t="s">
        <v>2328</v>
      </c>
      <c r="H305" s="1" t="s">
        <v>23</v>
      </c>
      <c r="I305" s="1" t="s">
        <v>2329</v>
      </c>
      <c r="J305" s="2" t="s">
        <v>1967</v>
      </c>
      <c r="K305" s="2" t="s">
        <v>2330</v>
      </c>
      <c r="L305" s="28">
        <v>3</v>
      </c>
      <c r="M305" s="28">
        <v>7</v>
      </c>
      <c r="N305" s="29">
        <f t="shared" si="4"/>
        <v>7</v>
      </c>
      <c r="O305" s="1" t="s">
        <v>27</v>
      </c>
      <c r="P305" s="2" t="s">
        <v>2331</v>
      </c>
      <c r="Q305" t="s">
        <v>2332</v>
      </c>
    </row>
    <row r="306" spans="1:17" ht="30" x14ac:dyDescent="0.3">
      <c r="A306" s="1" t="s">
        <v>2333</v>
      </c>
      <c r="B306" s="2" t="s">
        <v>2334</v>
      </c>
      <c r="C306" s="2" t="s">
        <v>2335</v>
      </c>
      <c r="D306" s="2" t="s">
        <v>2336</v>
      </c>
      <c r="E306" s="2" t="s">
        <v>2337</v>
      </c>
      <c r="F306" s="2" t="s">
        <v>1147</v>
      </c>
      <c r="G306" s="2" t="s">
        <v>2338</v>
      </c>
      <c r="H306" s="1" t="s">
        <v>63</v>
      </c>
      <c r="I306" s="1" t="s">
        <v>2339</v>
      </c>
      <c r="J306" s="2" t="s">
        <v>2064</v>
      </c>
      <c r="K306" s="2" t="s">
        <v>1754</v>
      </c>
      <c r="L306" s="28">
        <v>2.5</v>
      </c>
      <c r="M306" s="28">
        <v>5</v>
      </c>
      <c r="N306" s="29">
        <f t="shared" si="4"/>
        <v>5</v>
      </c>
      <c r="O306" s="1" t="s">
        <v>27</v>
      </c>
      <c r="P306" s="2" t="s">
        <v>2340</v>
      </c>
      <c r="Q306" t="s">
        <v>2341</v>
      </c>
    </row>
    <row r="307" spans="1:17" ht="30" x14ac:dyDescent="0.3">
      <c r="A307" s="1" t="s">
        <v>2342</v>
      </c>
      <c r="B307" s="2" t="s">
        <v>2343</v>
      </c>
      <c r="C307" s="2" t="s">
        <v>2344</v>
      </c>
      <c r="D307" s="2" t="s">
        <v>2249</v>
      </c>
      <c r="E307" s="2" t="s">
        <v>2345</v>
      </c>
      <c r="F307" s="2" t="s">
        <v>1147</v>
      </c>
      <c r="G307" s="2" t="s">
        <v>2346</v>
      </c>
      <c r="H307" s="1" t="s">
        <v>63</v>
      </c>
      <c r="I307" s="1" t="s">
        <v>2064</v>
      </c>
      <c r="J307" s="2" t="s">
        <v>2064</v>
      </c>
      <c r="K307" s="2" t="s">
        <v>1754</v>
      </c>
      <c r="L307" s="28">
        <v>2.5</v>
      </c>
      <c r="M307" s="28">
        <v>6</v>
      </c>
      <c r="N307" s="29">
        <f t="shared" si="4"/>
        <v>6</v>
      </c>
      <c r="O307" s="1" t="s">
        <v>27</v>
      </c>
      <c r="P307" s="2" t="s">
        <v>2347</v>
      </c>
      <c r="Q307" t="s">
        <v>2316</v>
      </c>
    </row>
    <row r="308" spans="1:17" ht="30" x14ac:dyDescent="0.3">
      <c r="A308" s="1" t="s">
        <v>2348</v>
      </c>
      <c r="B308" s="2" t="s">
        <v>2349</v>
      </c>
      <c r="C308" s="2" t="s">
        <v>2350</v>
      </c>
      <c r="D308" s="2" t="s">
        <v>2351</v>
      </c>
      <c r="E308" s="2" t="s">
        <v>2352</v>
      </c>
      <c r="F308" s="2" t="s">
        <v>1147</v>
      </c>
      <c r="G308" s="2" t="s">
        <v>2353</v>
      </c>
      <c r="H308" s="1" t="s">
        <v>63</v>
      </c>
      <c r="I308" s="1" t="s">
        <v>2064</v>
      </c>
      <c r="J308" s="2" t="s">
        <v>2064</v>
      </c>
      <c r="K308" s="2" t="s">
        <v>1754</v>
      </c>
      <c r="L308" s="28">
        <v>2.5</v>
      </c>
      <c r="M308" s="28">
        <v>5</v>
      </c>
      <c r="N308" s="29">
        <f t="shared" si="4"/>
        <v>5</v>
      </c>
      <c r="O308" s="1" t="s">
        <v>27</v>
      </c>
      <c r="P308" s="2" t="s">
        <v>2354</v>
      </c>
      <c r="Q308" t="s">
        <v>2316</v>
      </c>
    </row>
    <row r="309" spans="1:17" ht="30" x14ac:dyDescent="0.3">
      <c r="A309" s="1" t="s">
        <v>2355</v>
      </c>
      <c r="B309" s="2" t="s">
        <v>2356</v>
      </c>
      <c r="C309" s="2" t="s">
        <v>2357</v>
      </c>
      <c r="D309" s="2" t="s">
        <v>2358</v>
      </c>
      <c r="E309" s="2" t="s">
        <v>2359</v>
      </c>
      <c r="F309" s="2" t="s">
        <v>1147</v>
      </c>
      <c r="G309" s="2" t="s">
        <v>2360</v>
      </c>
      <c r="H309" s="1" t="s">
        <v>63</v>
      </c>
      <c r="I309" s="1" t="s">
        <v>2064</v>
      </c>
      <c r="J309" s="2" t="s">
        <v>2064</v>
      </c>
      <c r="K309" s="2" t="s">
        <v>1754</v>
      </c>
      <c r="L309" s="28">
        <v>2.5</v>
      </c>
      <c r="M309" s="28">
        <v>7</v>
      </c>
      <c r="N309" s="29">
        <f t="shared" si="4"/>
        <v>7</v>
      </c>
      <c r="O309" s="1" t="s">
        <v>27</v>
      </c>
      <c r="P309" s="2" t="s">
        <v>2361</v>
      </c>
      <c r="Q309" t="s">
        <v>2316</v>
      </c>
    </row>
    <row r="310" spans="1:17" ht="30" x14ac:dyDescent="0.3">
      <c r="A310" s="17" t="s">
        <v>2362</v>
      </c>
      <c r="B310" s="18" t="s">
        <v>2363</v>
      </c>
      <c r="C310" s="18" t="s">
        <v>2364</v>
      </c>
      <c r="D310" s="18" t="s">
        <v>2312</v>
      </c>
      <c r="E310" s="18" t="s">
        <v>2365</v>
      </c>
      <c r="F310" s="18" t="s">
        <v>1768</v>
      </c>
      <c r="G310" s="18" t="s">
        <v>2366</v>
      </c>
      <c r="H310" s="17" t="s">
        <v>23</v>
      </c>
      <c r="I310" s="17" t="s">
        <v>2367</v>
      </c>
      <c r="J310" s="18" t="s">
        <v>1967</v>
      </c>
      <c r="K310" s="18" t="s">
        <v>2368</v>
      </c>
      <c r="L310" s="23">
        <v>3</v>
      </c>
      <c r="M310" s="23">
        <v>8</v>
      </c>
      <c r="N310" s="24">
        <f t="shared" si="4"/>
        <v>8</v>
      </c>
      <c r="O310" s="17" t="s">
        <v>27</v>
      </c>
      <c r="P310" s="18" t="s">
        <v>2369</v>
      </c>
      <c r="Q310" t="s">
        <v>2332</v>
      </c>
    </row>
    <row r="311" spans="1:17" ht="30" x14ac:dyDescent="0.3">
      <c r="A311" s="17" t="s">
        <v>2433</v>
      </c>
      <c r="B311" s="18" t="s">
        <v>2434</v>
      </c>
      <c r="C311" s="18" t="s">
        <v>2435</v>
      </c>
      <c r="D311" s="18" t="s">
        <v>2117</v>
      </c>
      <c r="E311" s="18" t="s">
        <v>2436</v>
      </c>
      <c r="F311" s="18" t="s">
        <v>1147</v>
      </c>
      <c r="G311" s="18" t="s">
        <v>2437</v>
      </c>
      <c r="H311" s="17" t="s">
        <v>63</v>
      </c>
      <c r="I311" s="17" t="s">
        <v>2064</v>
      </c>
      <c r="J311" s="18" t="s">
        <v>2064</v>
      </c>
      <c r="K311" s="18" t="s">
        <v>1754</v>
      </c>
      <c r="L311" s="23">
        <v>6</v>
      </c>
      <c r="M311" s="23">
        <v>12</v>
      </c>
      <c r="N311" s="24">
        <f t="shared" si="4"/>
        <v>12</v>
      </c>
      <c r="O311" s="17" t="s">
        <v>27</v>
      </c>
      <c r="P311" s="18" t="s">
        <v>2438</v>
      </c>
      <c r="Q311" t="s">
        <v>2316</v>
      </c>
    </row>
    <row r="312" spans="1:17" ht="45" x14ac:dyDescent="0.3">
      <c r="A312" s="17" t="s">
        <v>2439</v>
      </c>
      <c r="B312" s="18" t="s">
        <v>2440</v>
      </c>
      <c r="C312" s="18" t="s">
        <v>2441</v>
      </c>
      <c r="D312" s="18" t="s">
        <v>2442</v>
      </c>
      <c r="E312" s="18" t="s">
        <v>2443</v>
      </c>
      <c r="F312" s="18" t="s">
        <v>1147</v>
      </c>
      <c r="G312" s="18" t="s">
        <v>2444</v>
      </c>
      <c r="H312" s="17" t="s">
        <v>63</v>
      </c>
      <c r="I312" s="17" t="s">
        <v>2064</v>
      </c>
      <c r="J312" s="18" t="s">
        <v>2064</v>
      </c>
      <c r="K312" s="18" t="s">
        <v>1754</v>
      </c>
      <c r="L312" s="23">
        <v>3</v>
      </c>
      <c r="M312" s="23">
        <v>9</v>
      </c>
      <c r="N312" s="24">
        <f t="shared" si="4"/>
        <v>9</v>
      </c>
      <c r="O312" s="17" t="s">
        <v>27</v>
      </c>
      <c r="P312" s="18" t="s">
        <v>2445</v>
      </c>
      <c r="Q312" t="s">
        <v>2446</v>
      </c>
    </row>
    <row r="313" spans="1:17" ht="32.4" customHeight="1" x14ac:dyDescent="0.3">
      <c r="A313" s="17" t="s">
        <v>2447</v>
      </c>
      <c r="B313" s="18" t="s">
        <v>2448</v>
      </c>
      <c r="C313" s="18" t="s">
        <v>2449</v>
      </c>
      <c r="D313" s="18" t="s">
        <v>2450</v>
      </c>
      <c r="E313" s="18" t="s">
        <v>2451</v>
      </c>
      <c r="F313" s="18" t="s">
        <v>1768</v>
      </c>
      <c r="G313" s="18" t="s">
        <v>2452</v>
      </c>
      <c r="H313" s="17" t="s">
        <v>23</v>
      </c>
      <c r="I313" s="17" t="s">
        <v>2453</v>
      </c>
      <c r="J313" s="18" t="s">
        <v>1967</v>
      </c>
      <c r="K313" s="18" t="s">
        <v>2454</v>
      </c>
      <c r="L313" s="23">
        <v>5</v>
      </c>
      <c r="M313" s="23">
        <v>11</v>
      </c>
      <c r="N313" s="24">
        <f t="shared" si="4"/>
        <v>11</v>
      </c>
      <c r="O313" s="17" t="s">
        <v>27</v>
      </c>
      <c r="P313" s="18" t="s">
        <v>2455</v>
      </c>
      <c r="Q313" t="s">
        <v>2332</v>
      </c>
    </row>
    <row r="314" spans="1:17" ht="32.4" customHeight="1" x14ac:dyDescent="0.3">
      <c r="A314" s="17" t="s">
        <v>2456</v>
      </c>
      <c r="B314" s="18" t="s">
        <v>2457</v>
      </c>
      <c r="C314" s="18" t="s">
        <v>2458</v>
      </c>
      <c r="D314" s="18" t="s">
        <v>2459</v>
      </c>
      <c r="E314" s="18" t="s">
        <v>2460</v>
      </c>
      <c r="F314" s="18" t="s">
        <v>1768</v>
      </c>
      <c r="G314" s="18" t="s">
        <v>2461</v>
      </c>
      <c r="H314" s="17" t="s">
        <v>23</v>
      </c>
      <c r="I314" s="17" t="s">
        <v>2462</v>
      </c>
      <c r="J314" s="18" t="s">
        <v>1967</v>
      </c>
      <c r="K314" s="18" t="s">
        <v>2463</v>
      </c>
      <c r="L314" s="23">
        <v>3</v>
      </c>
      <c r="M314" s="23">
        <v>6</v>
      </c>
      <c r="N314" s="24">
        <f t="shared" si="4"/>
        <v>6</v>
      </c>
      <c r="O314" s="17" t="s">
        <v>27</v>
      </c>
      <c r="P314" s="18" t="s">
        <v>2464</v>
      </c>
      <c r="Q314" t="s">
        <v>2332</v>
      </c>
    </row>
    <row r="315" spans="1:17" ht="32.4" customHeight="1" x14ac:dyDescent="0.3">
      <c r="A315" s="17" t="s">
        <v>2465</v>
      </c>
      <c r="B315" s="18" t="s">
        <v>2466</v>
      </c>
      <c r="C315" s="18" t="s">
        <v>2467</v>
      </c>
      <c r="D315" s="18" t="s">
        <v>2117</v>
      </c>
      <c r="E315" s="18" t="s">
        <v>2468</v>
      </c>
      <c r="F315" s="18" t="s">
        <v>1147</v>
      </c>
      <c r="G315" s="18" t="s">
        <v>2469</v>
      </c>
      <c r="H315" s="17" t="s">
        <v>63</v>
      </c>
      <c r="I315" s="17" t="s">
        <v>2064</v>
      </c>
      <c r="J315" s="18" t="s">
        <v>2064</v>
      </c>
      <c r="K315" s="18" t="s">
        <v>1754</v>
      </c>
      <c r="L315" s="23">
        <v>8</v>
      </c>
      <c r="M315" s="23">
        <v>15</v>
      </c>
      <c r="N315" s="24">
        <f t="shared" si="4"/>
        <v>15</v>
      </c>
      <c r="O315" s="17" t="s">
        <v>27</v>
      </c>
      <c r="P315" s="18" t="s">
        <v>2438</v>
      </c>
      <c r="Q315" t="s">
        <v>2316</v>
      </c>
    </row>
    <row r="316" spans="1:17" ht="39" customHeight="1" x14ac:dyDescent="0.3">
      <c r="A316" s="17" t="s">
        <v>2470</v>
      </c>
      <c r="B316" s="18" t="s">
        <v>2471</v>
      </c>
      <c r="C316" s="18" t="s">
        <v>2472</v>
      </c>
      <c r="D316" s="18" t="s">
        <v>2473</v>
      </c>
      <c r="E316" s="18" t="s">
        <v>2474</v>
      </c>
      <c r="F316" s="18" t="s">
        <v>1147</v>
      </c>
      <c r="G316" s="18" t="s">
        <v>2475</v>
      </c>
      <c r="H316" s="17" t="s">
        <v>63</v>
      </c>
      <c r="I316" s="17" t="s">
        <v>2064</v>
      </c>
      <c r="J316" s="18" t="s">
        <v>2064</v>
      </c>
      <c r="K316" s="18" t="s">
        <v>1754</v>
      </c>
      <c r="L316" s="23">
        <v>6</v>
      </c>
      <c r="M316" s="23">
        <v>12</v>
      </c>
      <c r="N316" s="24">
        <f t="shared" si="4"/>
        <v>12</v>
      </c>
      <c r="O316" s="17" t="s">
        <v>27</v>
      </c>
      <c r="P316" s="18" t="s">
        <v>2476</v>
      </c>
      <c r="Q316" t="s">
        <v>2477</v>
      </c>
    </row>
    <row r="317" spans="1:17" ht="39" customHeight="1" x14ac:dyDescent="0.3">
      <c r="A317" s="17" t="s">
        <v>2478</v>
      </c>
      <c r="B317" s="18" t="s">
        <v>2479</v>
      </c>
      <c r="C317" s="18" t="s">
        <v>2480</v>
      </c>
      <c r="D317" s="18" t="s">
        <v>2450</v>
      </c>
      <c r="E317" s="18" t="s">
        <v>2481</v>
      </c>
      <c r="F317" s="18" t="s">
        <v>1147</v>
      </c>
      <c r="G317" s="18" t="s">
        <v>2482</v>
      </c>
      <c r="H317" s="17" t="s">
        <v>63</v>
      </c>
      <c r="I317" s="17" t="s">
        <v>2064</v>
      </c>
      <c r="J317" s="18" t="s">
        <v>2064</v>
      </c>
      <c r="K317" s="18" t="s">
        <v>1754</v>
      </c>
      <c r="L317" s="23">
        <v>5</v>
      </c>
      <c r="M317" s="23">
        <v>8</v>
      </c>
      <c r="N317" s="24">
        <f t="shared" si="4"/>
        <v>8</v>
      </c>
      <c r="O317" s="17" t="s">
        <v>27</v>
      </c>
      <c r="P317" s="18" t="s">
        <v>2483</v>
      </c>
      <c r="Q317" t="s">
        <v>2484</v>
      </c>
    </row>
    <row r="318" spans="1:17" ht="39" customHeight="1" x14ac:dyDescent="0.3">
      <c r="A318" s="17" t="s">
        <v>2485</v>
      </c>
      <c r="B318" s="18" t="s">
        <v>2486</v>
      </c>
      <c r="C318" s="18" t="s">
        <v>2487</v>
      </c>
      <c r="D318" s="18" t="s">
        <v>2488</v>
      </c>
      <c r="E318" s="18" t="s">
        <v>2489</v>
      </c>
      <c r="F318" s="18" t="s">
        <v>1768</v>
      </c>
      <c r="G318" s="18" t="s">
        <v>2490</v>
      </c>
      <c r="H318" s="17" t="s">
        <v>23</v>
      </c>
      <c r="I318" s="17" t="s">
        <v>2491</v>
      </c>
      <c r="J318" s="18" t="s">
        <v>1967</v>
      </c>
      <c r="K318" s="18" t="s">
        <v>2492</v>
      </c>
      <c r="L318" s="23">
        <v>3</v>
      </c>
      <c r="M318" s="23">
        <v>6</v>
      </c>
      <c r="N318" s="24">
        <f t="shared" si="4"/>
        <v>6</v>
      </c>
      <c r="O318" s="17" t="s">
        <v>27</v>
      </c>
      <c r="P318" s="18" t="s">
        <v>2493</v>
      </c>
      <c r="Q318" t="s">
        <v>2332</v>
      </c>
    </row>
    <row r="319" spans="1:17" ht="39" customHeight="1" x14ac:dyDescent="0.3">
      <c r="A319" s="17" t="s">
        <v>2494</v>
      </c>
      <c r="B319" s="18" t="s">
        <v>2495</v>
      </c>
      <c r="C319" s="18" t="s">
        <v>2496</v>
      </c>
      <c r="D319" s="18" t="s">
        <v>2497</v>
      </c>
      <c r="E319" s="18" t="s">
        <v>2498</v>
      </c>
      <c r="F319" s="18" t="s">
        <v>1768</v>
      </c>
      <c r="G319" s="18" t="s">
        <v>2499</v>
      </c>
      <c r="H319" s="17" t="s">
        <v>63</v>
      </c>
      <c r="I319" s="17" t="s">
        <v>2500</v>
      </c>
      <c r="J319" s="18" t="s">
        <v>2501</v>
      </c>
      <c r="K319" s="18" t="s">
        <v>2502</v>
      </c>
      <c r="L319" s="23">
        <v>3</v>
      </c>
      <c r="M319" s="23">
        <v>6</v>
      </c>
      <c r="N319" s="24">
        <f t="shared" si="4"/>
        <v>6</v>
      </c>
      <c r="O319" s="17" t="s">
        <v>27</v>
      </c>
      <c r="P319" s="18" t="s">
        <v>2503</v>
      </c>
      <c r="Q319" t="s">
        <v>2504</v>
      </c>
    </row>
    <row r="320" spans="1:17" ht="39" customHeight="1" x14ac:dyDescent="0.3">
      <c r="A320" s="17" t="s">
        <v>2505</v>
      </c>
      <c r="B320" s="18" t="s">
        <v>2506</v>
      </c>
      <c r="C320" s="18" t="s">
        <v>2480</v>
      </c>
      <c r="D320" s="18" t="s">
        <v>2507</v>
      </c>
      <c r="E320" s="18" t="s">
        <v>2508</v>
      </c>
      <c r="F320" s="18" t="s">
        <v>1147</v>
      </c>
      <c r="G320" s="18" t="s">
        <v>2509</v>
      </c>
      <c r="H320" s="17" t="s">
        <v>63</v>
      </c>
      <c r="I320" s="17" t="s">
        <v>2064</v>
      </c>
      <c r="J320" s="18" t="s">
        <v>2064</v>
      </c>
      <c r="K320" s="18" t="s">
        <v>1754</v>
      </c>
      <c r="L320" s="23">
        <v>6</v>
      </c>
      <c r="M320" s="23">
        <v>12</v>
      </c>
      <c r="N320" s="24">
        <f t="shared" si="4"/>
        <v>12</v>
      </c>
      <c r="O320" s="17" t="s">
        <v>27</v>
      </c>
      <c r="P320" s="18" t="s">
        <v>2510</v>
      </c>
      <c r="Q320" t="s">
        <v>2316</v>
      </c>
    </row>
    <row r="321" spans="1:17" ht="39" customHeight="1" x14ac:dyDescent="0.3">
      <c r="A321" s="17" t="s">
        <v>2511</v>
      </c>
      <c r="B321" s="18" t="s">
        <v>2512</v>
      </c>
      <c r="C321" s="18" t="s">
        <v>2513</v>
      </c>
      <c r="D321" s="18" t="s">
        <v>2514</v>
      </c>
      <c r="E321" s="18" t="s">
        <v>2515</v>
      </c>
      <c r="F321" s="18" t="s">
        <v>1768</v>
      </c>
      <c r="G321" s="18" t="s">
        <v>2516</v>
      </c>
      <c r="H321" s="17" t="s">
        <v>23</v>
      </c>
      <c r="I321" s="17" t="s">
        <v>2517</v>
      </c>
      <c r="J321" s="18" t="s">
        <v>1967</v>
      </c>
      <c r="K321" s="18" t="s">
        <v>2518</v>
      </c>
      <c r="L321" s="23">
        <v>3</v>
      </c>
      <c r="M321" s="23">
        <v>6</v>
      </c>
      <c r="N321" s="24">
        <f t="shared" si="4"/>
        <v>6</v>
      </c>
      <c r="O321" s="17" t="s">
        <v>27</v>
      </c>
      <c r="P321" s="18" t="s">
        <v>2519</v>
      </c>
      <c r="Q321" t="s">
        <v>2332</v>
      </c>
    </row>
    <row r="322" spans="1:17" ht="39" customHeight="1" x14ac:dyDescent="0.3">
      <c r="A322" s="17" t="s">
        <v>2520</v>
      </c>
      <c r="B322" s="18" t="s">
        <v>2521</v>
      </c>
      <c r="C322" s="18" t="s">
        <v>2522</v>
      </c>
      <c r="D322" s="18" t="s">
        <v>2070</v>
      </c>
      <c r="E322" s="18" t="s">
        <v>2523</v>
      </c>
      <c r="F322" s="18" t="s">
        <v>1147</v>
      </c>
      <c r="G322" s="18" t="s">
        <v>2524</v>
      </c>
      <c r="H322" s="17" t="s">
        <v>63</v>
      </c>
      <c r="I322" s="17" t="s">
        <v>2064</v>
      </c>
      <c r="J322" s="18" t="s">
        <v>2064</v>
      </c>
      <c r="K322" s="18" t="s">
        <v>1754</v>
      </c>
      <c r="L322" s="23">
        <v>2.5</v>
      </c>
      <c r="M322" s="23">
        <v>5</v>
      </c>
      <c r="N322" s="24">
        <f t="shared" ref="N322:N385" si="5">MAX(L322,M322)</f>
        <v>5</v>
      </c>
      <c r="O322" s="17" t="s">
        <v>27</v>
      </c>
      <c r="P322" s="18" t="s">
        <v>2525</v>
      </c>
      <c r="Q322" t="s">
        <v>2526</v>
      </c>
    </row>
    <row r="323" spans="1:17" ht="39" customHeight="1" x14ac:dyDescent="0.3">
      <c r="A323" s="17" t="s">
        <v>2527</v>
      </c>
      <c r="B323" s="18" t="s">
        <v>2528</v>
      </c>
      <c r="C323" s="18" t="s">
        <v>2529</v>
      </c>
      <c r="D323" s="18" t="s">
        <v>2530</v>
      </c>
      <c r="E323" s="18" t="s">
        <v>2531</v>
      </c>
      <c r="F323" s="18" t="s">
        <v>1147</v>
      </c>
      <c r="G323" s="18" t="s">
        <v>2532</v>
      </c>
      <c r="H323" s="17" t="s">
        <v>63</v>
      </c>
      <c r="I323" s="17" t="s">
        <v>2064</v>
      </c>
      <c r="J323" s="18" t="s">
        <v>2064</v>
      </c>
      <c r="K323" s="18" t="s">
        <v>1754</v>
      </c>
      <c r="L323" s="23">
        <v>2.5</v>
      </c>
      <c r="M323" s="23">
        <v>5</v>
      </c>
      <c r="N323" s="24">
        <f t="shared" si="5"/>
        <v>5</v>
      </c>
      <c r="O323" s="17" t="s">
        <v>27</v>
      </c>
      <c r="P323" s="18" t="s">
        <v>2533</v>
      </c>
      <c r="Q323" t="s">
        <v>2534</v>
      </c>
    </row>
    <row r="324" spans="1:17" ht="39" customHeight="1" x14ac:dyDescent="0.3">
      <c r="A324" s="17" t="s">
        <v>2535</v>
      </c>
      <c r="B324" s="18" t="s">
        <v>2059</v>
      </c>
      <c r="C324" s="18" t="s">
        <v>2536</v>
      </c>
      <c r="D324" s="18" t="s">
        <v>2061</v>
      </c>
      <c r="E324" s="18" t="s">
        <v>2537</v>
      </c>
      <c r="F324" s="18" t="s">
        <v>1147</v>
      </c>
      <c r="G324" s="18" t="s">
        <v>2538</v>
      </c>
      <c r="H324" s="17" t="s">
        <v>63</v>
      </c>
      <c r="I324" s="17" t="s">
        <v>2064</v>
      </c>
      <c r="J324" s="18" t="s">
        <v>2064</v>
      </c>
      <c r="K324" s="18" t="s">
        <v>1754</v>
      </c>
      <c r="L324" s="23">
        <v>9</v>
      </c>
      <c r="M324" s="23">
        <v>14</v>
      </c>
      <c r="N324" s="24">
        <f t="shared" si="5"/>
        <v>14</v>
      </c>
      <c r="O324" s="17" t="s">
        <v>27</v>
      </c>
      <c r="P324" s="18" t="s">
        <v>2539</v>
      </c>
      <c r="Q324" t="s">
        <v>2534</v>
      </c>
    </row>
    <row r="325" spans="1:17" ht="39" customHeight="1" x14ac:dyDescent="0.3">
      <c r="A325" s="17" t="s">
        <v>2540</v>
      </c>
      <c r="B325" s="18" t="s">
        <v>2541</v>
      </c>
      <c r="C325" s="18" t="s">
        <v>2542</v>
      </c>
      <c r="D325" s="18" t="s">
        <v>2543</v>
      </c>
      <c r="E325" s="18" t="s">
        <v>2544</v>
      </c>
      <c r="F325" s="18" t="s">
        <v>1147</v>
      </c>
      <c r="G325" s="18" t="s">
        <v>2545</v>
      </c>
      <c r="H325" s="17" t="s">
        <v>63</v>
      </c>
      <c r="I325" s="17" t="s">
        <v>2064</v>
      </c>
      <c r="J325" s="18" t="s">
        <v>2064</v>
      </c>
      <c r="K325" s="18" t="s">
        <v>1754</v>
      </c>
      <c r="L325" s="23">
        <v>4</v>
      </c>
      <c r="M325" s="23">
        <v>8</v>
      </c>
      <c r="N325" s="24">
        <f t="shared" si="5"/>
        <v>8</v>
      </c>
      <c r="O325" s="17" t="s">
        <v>27</v>
      </c>
      <c r="P325" s="18" t="s">
        <v>2546</v>
      </c>
      <c r="Q325" t="s">
        <v>2534</v>
      </c>
    </row>
    <row r="326" spans="1:17" ht="39" customHeight="1" x14ac:dyDescent="0.3">
      <c r="A326" s="17" t="s">
        <v>2548</v>
      </c>
      <c r="B326" s="18" t="s">
        <v>2549</v>
      </c>
      <c r="C326" s="18" t="s">
        <v>2550</v>
      </c>
      <c r="D326" s="18" t="s">
        <v>2142</v>
      </c>
      <c r="E326" s="18" t="s">
        <v>2551</v>
      </c>
      <c r="F326" s="18" t="s">
        <v>1147</v>
      </c>
      <c r="G326" s="18" t="s">
        <v>2552</v>
      </c>
      <c r="H326" s="17" t="s">
        <v>63</v>
      </c>
      <c r="I326" s="17" t="s">
        <v>2064</v>
      </c>
      <c r="J326" s="18" t="s">
        <v>2064</v>
      </c>
      <c r="K326" s="18" t="s">
        <v>1754</v>
      </c>
      <c r="L326" s="23">
        <v>1</v>
      </c>
      <c r="M326" s="23">
        <v>5</v>
      </c>
      <c r="N326" s="24">
        <f t="shared" si="5"/>
        <v>5</v>
      </c>
      <c r="O326" s="17" t="s">
        <v>27</v>
      </c>
      <c r="P326" s="18" t="s">
        <v>2553</v>
      </c>
      <c r="Q326" t="s">
        <v>2554</v>
      </c>
    </row>
    <row r="327" spans="1:17" ht="39" customHeight="1" x14ac:dyDescent="0.3">
      <c r="A327" s="17" t="s">
        <v>2555</v>
      </c>
      <c r="B327" s="18" t="s">
        <v>2556</v>
      </c>
      <c r="C327" s="18" t="s">
        <v>2557</v>
      </c>
      <c r="D327" s="18" t="s">
        <v>2530</v>
      </c>
      <c r="E327" s="18" t="s">
        <v>2558</v>
      </c>
      <c r="F327" s="18" t="s">
        <v>1147</v>
      </c>
      <c r="G327" s="18" t="s">
        <v>2559</v>
      </c>
      <c r="H327" s="17" t="s">
        <v>63</v>
      </c>
      <c r="I327" s="17" t="s">
        <v>2064</v>
      </c>
      <c r="J327" s="18" t="s">
        <v>2064</v>
      </c>
      <c r="K327" s="18" t="s">
        <v>1754</v>
      </c>
      <c r="L327" s="23">
        <v>4</v>
      </c>
      <c r="M327" s="23">
        <v>6</v>
      </c>
      <c r="N327" s="24">
        <f t="shared" si="5"/>
        <v>6</v>
      </c>
      <c r="O327" s="17" t="s">
        <v>27</v>
      </c>
      <c r="P327" s="18" t="s">
        <v>2560</v>
      </c>
      <c r="Q327" t="s">
        <v>2561</v>
      </c>
    </row>
    <row r="328" spans="1:17" ht="39" customHeight="1" x14ac:dyDescent="0.3">
      <c r="A328" s="17" t="s">
        <v>2562</v>
      </c>
      <c r="B328" s="18" t="s">
        <v>2563</v>
      </c>
      <c r="C328" s="18" t="s">
        <v>2564</v>
      </c>
      <c r="D328" s="18" t="s">
        <v>2565</v>
      </c>
      <c r="E328" s="18" t="s">
        <v>2566</v>
      </c>
      <c r="F328" s="18" t="s">
        <v>1768</v>
      </c>
      <c r="G328" s="18" t="s">
        <v>2567</v>
      </c>
      <c r="H328" s="17" t="s">
        <v>23</v>
      </c>
      <c r="I328" s="17" t="s">
        <v>2568</v>
      </c>
      <c r="J328" s="18" t="s">
        <v>1967</v>
      </c>
      <c r="K328" s="18" t="s">
        <v>2569</v>
      </c>
      <c r="L328" s="23">
        <v>2</v>
      </c>
      <c r="M328" s="23">
        <v>6</v>
      </c>
      <c r="N328" s="24">
        <f t="shared" si="5"/>
        <v>6</v>
      </c>
      <c r="O328" s="17" t="s">
        <v>27</v>
      </c>
      <c r="P328" s="18" t="s">
        <v>2570</v>
      </c>
      <c r="Q328" t="s">
        <v>2332</v>
      </c>
    </row>
    <row r="329" spans="1:17" ht="39" customHeight="1" x14ac:dyDescent="0.3">
      <c r="A329" s="17" t="s">
        <v>2571</v>
      </c>
      <c r="B329" s="18" t="s">
        <v>2572</v>
      </c>
      <c r="C329" s="18" t="s">
        <v>2573</v>
      </c>
      <c r="D329" s="18" t="s">
        <v>2574</v>
      </c>
      <c r="E329" s="18" t="s">
        <v>2575</v>
      </c>
      <c r="F329" s="18" t="s">
        <v>1768</v>
      </c>
      <c r="G329" s="18" t="s">
        <v>2576</v>
      </c>
      <c r="H329" s="17" t="s">
        <v>23</v>
      </c>
      <c r="I329" s="17" t="s">
        <v>2577</v>
      </c>
      <c r="J329" s="18" t="s">
        <v>1967</v>
      </c>
      <c r="K329" s="18" t="s">
        <v>2578</v>
      </c>
      <c r="L329" s="23">
        <v>3</v>
      </c>
      <c r="M329" s="23">
        <v>5</v>
      </c>
      <c r="N329" s="24">
        <f t="shared" si="5"/>
        <v>5</v>
      </c>
      <c r="O329" s="17" t="s">
        <v>27</v>
      </c>
      <c r="P329" s="18" t="s">
        <v>2579</v>
      </c>
      <c r="Q329" t="s">
        <v>2332</v>
      </c>
    </row>
    <row r="330" spans="1:17" ht="39" customHeight="1" x14ac:dyDescent="0.3">
      <c r="A330" s="17" t="s">
        <v>2580</v>
      </c>
      <c r="B330" s="18" t="s">
        <v>2581</v>
      </c>
      <c r="C330" s="18" t="s">
        <v>2582</v>
      </c>
      <c r="D330" s="18" t="s">
        <v>2583</v>
      </c>
      <c r="E330" s="18" t="s">
        <v>2584</v>
      </c>
      <c r="F330" s="18" t="s">
        <v>1147</v>
      </c>
      <c r="G330" s="18" t="s">
        <v>2585</v>
      </c>
      <c r="H330" s="17" t="s">
        <v>63</v>
      </c>
      <c r="I330" s="17" t="s">
        <v>2064</v>
      </c>
      <c r="J330" s="18" t="s">
        <v>2064</v>
      </c>
      <c r="K330" s="18" t="s">
        <v>1754</v>
      </c>
      <c r="L330" s="23">
        <v>4</v>
      </c>
      <c r="M330" s="23">
        <v>6</v>
      </c>
      <c r="N330" s="24">
        <f t="shared" si="5"/>
        <v>6</v>
      </c>
      <c r="O330" s="17" t="s">
        <v>27</v>
      </c>
      <c r="P330" s="18" t="s">
        <v>2586</v>
      </c>
      <c r="Q330" t="s">
        <v>2316</v>
      </c>
    </row>
    <row r="331" spans="1:17" ht="39" customHeight="1" x14ac:dyDescent="0.3">
      <c r="A331" s="17" t="s">
        <v>2587</v>
      </c>
      <c r="B331" s="18" t="s">
        <v>2588</v>
      </c>
      <c r="C331" s="18" t="s">
        <v>2589</v>
      </c>
      <c r="D331" s="18" t="s">
        <v>2590</v>
      </c>
      <c r="E331" s="18" t="s">
        <v>2591</v>
      </c>
      <c r="F331" s="18" t="s">
        <v>1768</v>
      </c>
      <c r="G331" s="18" t="s">
        <v>2592</v>
      </c>
      <c r="H331" s="17" t="s">
        <v>23</v>
      </c>
      <c r="I331" s="17" t="s">
        <v>2593</v>
      </c>
      <c r="J331" s="18" t="s">
        <v>1967</v>
      </c>
      <c r="K331" s="18" t="s">
        <v>2594</v>
      </c>
      <c r="L331" s="23">
        <v>3.5</v>
      </c>
      <c r="M331" s="23">
        <v>7</v>
      </c>
      <c r="N331" s="24">
        <f t="shared" si="5"/>
        <v>7</v>
      </c>
      <c r="O331" s="17" t="s">
        <v>27</v>
      </c>
      <c r="P331" s="18" t="s">
        <v>2595</v>
      </c>
      <c r="Q331" t="s">
        <v>2596</v>
      </c>
    </row>
    <row r="332" spans="1:17" ht="39" customHeight="1" x14ac:dyDescent="0.3">
      <c r="A332" s="17" t="s">
        <v>2597</v>
      </c>
      <c r="B332" s="18" t="s">
        <v>2598</v>
      </c>
      <c r="C332" s="18" t="s">
        <v>2599</v>
      </c>
      <c r="D332" s="18" t="s">
        <v>2600</v>
      </c>
      <c r="E332" s="18" t="s">
        <v>2601</v>
      </c>
      <c r="F332" s="18" t="s">
        <v>1768</v>
      </c>
      <c r="G332" s="18" t="s">
        <v>2602</v>
      </c>
      <c r="H332" s="17" t="s">
        <v>23</v>
      </c>
      <c r="I332" s="17" t="s">
        <v>2603</v>
      </c>
      <c r="J332" s="18" t="s">
        <v>1967</v>
      </c>
      <c r="K332" s="18" t="s">
        <v>2604</v>
      </c>
      <c r="L332" s="23">
        <v>18</v>
      </c>
      <c r="M332" s="23">
        <v>28</v>
      </c>
      <c r="N332" s="24">
        <f t="shared" si="5"/>
        <v>28</v>
      </c>
      <c r="O332" s="17" t="s">
        <v>27</v>
      </c>
      <c r="P332" s="18" t="s">
        <v>2605</v>
      </c>
      <c r="Q332" t="s">
        <v>2606</v>
      </c>
    </row>
    <row r="333" spans="1:17" ht="39" customHeight="1" x14ac:dyDescent="0.3">
      <c r="A333" s="17" t="s">
        <v>2607</v>
      </c>
      <c r="B333" s="18" t="s">
        <v>2059</v>
      </c>
      <c r="C333" s="18" t="s">
        <v>2536</v>
      </c>
      <c r="D333" s="18" t="s">
        <v>2061</v>
      </c>
      <c r="E333" s="18" t="s">
        <v>2537</v>
      </c>
      <c r="F333" s="18" t="s">
        <v>2041</v>
      </c>
      <c r="G333" s="18" t="s">
        <v>2608</v>
      </c>
      <c r="H333" s="17" t="s">
        <v>23</v>
      </c>
      <c r="I333" s="17" t="s">
        <v>2609</v>
      </c>
      <c r="J333" s="18" t="s">
        <v>1967</v>
      </c>
      <c r="K333" s="18" t="s">
        <v>2610</v>
      </c>
      <c r="L333" s="23">
        <v>6.5</v>
      </c>
      <c r="M333" s="23">
        <v>10</v>
      </c>
      <c r="N333" s="24">
        <f t="shared" si="5"/>
        <v>10</v>
      </c>
      <c r="O333" s="17" t="s">
        <v>27</v>
      </c>
      <c r="P333" s="18" t="s">
        <v>2611</v>
      </c>
      <c r="Q333" t="s">
        <v>2612</v>
      </c>
    </row>
    <row r="334" spans="1:17" ht="39" customHeight="1" x14ac:dyDescent="0.3">
      <c r="A334" s="17" t="s">
        <v>2613</v>
      </c>
      <c r="B334" s="18" t="s">
        <v>2614</v>
      </c>
      <c r="C334" s="18" t="s">
        <v>2615</v>
      </c>
      <c r="D334" s="18" t="s">
        <v>2616</v>
      </c>
      <c r="E334" s="18" t="s">
        <v>2617</v>
      </c>
      <c r="F334" s="18" t="s">
        <v>1147</v>
      </c>
      <c r="G334" s="18" t="s">
        <v>2618</v>
      </c>
      <c r="H334" s="17" t="s">
        <v>63</v>
      </c>
      <c r="I334" s="17" t="s">
        <v>2064</v>
      </c>
      <c r="J334" s="18" t="s">
        <v>2064</v>
      </c>
      <c r="K334" s="18" t="s">
        <v>1754</v>
      </c>
      <c r="L334" s="23">
        <v>3</v>
      </c>
      <c r="M334" s="23">
        <v>6.5</v>
      </c>
      <c r="N334" s="24">
        <f t="shared" si="5"/>
        <v>6.5</v>
      </c>
      <c r="O334" s="17" t="s">
        <v>27</v>
      </c>
      <c r="P334" s="18" t="s">
        <v>2619</v>
      </c>
      <c r="Q334" t="s">
        <v>2620</v>
      </c>
    </row>
    <row r="335" spans="1:17" ht="39" customHeight="1" x14ac:dyDescent="0.3">
      <c r="A335" s="17" t="s">
        <v>2621</v>
      </c>
      <c r="B335" s="18" t="s">
        <v>2059</v>
      </c>
      <c r="C335" s="18" t="s">
        <v>2536</v>
      </c>
      <c r="D335" s="18" t="s">
        <v>2061</v>
      </c>
      <c r="E335" s="18" t="s">
        <v>2537</v>
      </c>
      <c r="F335" s="18" t="s">
        <v>2622</v>
      </c>
      <c r="G335" s="18" t="s">
        <v>2623</v>
      </c>
      <c r="H335" s="17" t="s">
        <v>63</v>
      </c>
      <c r="I335" s="17" t="s">
        <v>2064</v>
      </c>
      <c r="J335" s="18" t="s">
        <v>2064</v>
      </c>
      <c r="K335" s="18" t="s">
        <v>1754</v>
      </c>
      <c r="L335" s="23">
        <v>6.5</v>
      </c>
      <c r="M335" s="23">
        <v>13.4</v>
      </c>
      <c r="N335" s="24">
        <f t="shared" si="5"/>
        <v>13.4</v>
      </c>
      <c r="O335" s="17" t="s">
        <v>27</v>
      </c>
      <c r="P335" s="18" t="s">
        <v>2539</v>
      </c>
      <c r="Q335" t="s">
        <v>2624</v>
      </c>
    </row>
    <row r="336" spans="1:17" ht="39" customHeight="1" x14ac:dyDescent="0.3">
      <c r="A336" s="17" t="s">
        <v>2625</v>
      </c>
      <c r="B336" s="18" t="s">
        <v>2626</v>
      </c>
      <c r="C336" s="18" t="s">
        <v>2627</v>
      </c>
      <c r="D336" s="18" t="s">
        <v>2628</v>
      </c>
      <c r="E336" s="18" t="s">
        <v>2629</v>
      </c>
      <c r="F336" s="18" t="s">
        <v>1147</v>
      </c>
      <c r="G336" s="18" t="s">
        <v>2630</v>
      </c>
      <c r="H336" s="17" t="s">
        <v>63</v>
      </c>
      <c r="I336" s="17" t="s">
        <v>2064</v>
      </c>
      <c r="J336" s="18" t="s">
        <v>2064</v>
      </c>
      <c r="K336" s="18" t="s">
        <v>1754</v>
      </c>
      <c r="L336" s="23">
        <v>3</v>
      </c>
      <c r="M336" s="23">
        <v>11.5</v>
      </c>
      <c r="N336" s="24">
        <f t="shared" si="5"/>
        <v>11.5</v>
      </c>
      <c r="O336" s="17" t="s">
        <v>27</v>
      </c>
      <c r="P336" s="18" t="s">
        <v>2631</v>
      </c>
      <c r="Q336" t="s">
        <v>2632</v>
      </c>
    </row>
    <row r="337" spans="1:17" ht="39" customHeight="1" x14ac:dyDescent="0.3">
      <c r="A337" s="17" t="s">
        <v>2633</v>
      </c>
      <c r="B337" s="18" t="s">
        <v>2634</v>
      </c>
      <c r="C337" s="18" t="s">
        <v>2635</v>
      </c>
      <c r="D337" s="18" t="s">
        <v>2636</v>
      </c>
      <c r="E337" s="18" t="s">
        <v>2637</v>
      </c>
      <c r="F337" s="18" t="s">
        <v>2622</v>
      </c>
      <c r="G337" s="18" t="s">
        <v>2638</v>
      </c>
      <c r="H337" s="17" t="s">
        <v>63</v>
      </c>
      <c r="I337" s="17" t="s">
        <v>2064</v>
      </c>
      <c r="J337" s="18" t="s">
        <v>2064</v>
      </c>
      <c r="K337" s="18" t="s">
        <v>1754</v>
      </c>
      <c r="L337" s="23">
        <v>5</v>
      </c>
      <c r="M337" s="23">
        <v>13</v>
      </c>
      <c r="N337" s="24">
        <f t="shared" si="5"/>
        <v>13</v>
      </c>
      <c r="O337" s="17" t="s">
        <v>27</v>
      </c>
      <c r="P337" s="18" t="s">
        <v>2639</v>
      </c>
      <c r="Q337" t="s">
        <v>2640</v>
      </c>
    </row>
    <row r="338" spans="1:17" ht="39" customHeight="1" x14ac:dyDescent="0.3">
      <c r="A338" s="17" t="s">
        <v>2641</v>
      </c>
      <c r="B338" s="18" t="s">
        <v>2657</v>
      </c>
      <c r="C338" s="18" t="s">
        <v>2660</v>
      </c>
      <c r="D338" s="18" t="s">
        <v>2661</v>
      </c>
      <c r="E338" s="18" t="s">
        <v>2662</v>
      </c>
      <c r="F338" s="18" t="s">
        <v>2663</v>
      </c>
      <c r="G338" s="18" t="s">
        <v>2664</v>
      </c>
      <c r="H338" s="17" t="s">
        <v>2665</v>
      </c>
      <c r="I338" s="17" t="s">
        <v>2666</v>
      </c>
      <c r="J338" s="18" t="s">
        <v>2666</v>
      </c>
      <c r="K338" s="18" t="s">
        <v>2667</v>
      </c>
      <c r="L338" s="23">
        <v>2</v>
      </c>
      <c r="M338" s="23">
        <v>5</v>
      </c>
      <c r="N338" s="24">
        <f t="shared" si="5"/>
        <v>5</v>
      </c>
      <c r="O338" s="17" t="s">
        <v>27</v>
      </c>
      <c r="P338" s="18" t="s">
        <v>2668</v>
      </c>
      <c r="Q338" t="s">
        <v>2669</v>
      </c>
    </row>
    <row r="339" spans="1:17" ht="39" customHeight="1" x14ac:dyDescent="0.3">
      <c r="A339" s="17" t="s">
        <v>2643</v>
      </c>
      <c r="B339" s="18" t="s">
        <v>2670</v>
      </c>
      <c r="C339" s="18" t="s">
        <v>2671</v>
      </c>
      <c r="D339" s="18" t="s">
        <v>2672</v>
      </c>
      <c r="E339" s="18" t="s">
        <v>2673</v>
      </c>
      <c r="F339" s="18" t="s">
        <v>2674</v>
      </c>
      <c r="G339" s="18" t="s">
        <v>2675</v>
      </c>
      <c r="H339" s="17" t="s">
        <v>2676</v>
      </c>
      <c r="I339" s="17" t="s">
        <v>2677</v>
      </c>
      <c r="J339" s="18" t="s">
        <v>2678</v>
      </c>
      <c r="K339" s="18" t="s">
        <v>2679</v>
      </c>
      <c r="L339" s="23">
        <v>2.4</v>
      </c>
      <c r="M339" s="23">
        <v>6.5</v>
      </c>
      <c r="N339" s="24">
        <f t="shared" si="5"/>
        <v>6.5</v>
      </c>
      <c r="O339" s="17" t="s">
        <v>27</v>
      </c>
      <c r="P339" s="18" t="s">
        <v>2680</v>
      </c>
      <c r="Q339" t="s">
        <v>2681</v>
      </c>
    </row>
    <row r="340" spans="1:17" ht="39" customHeight="1" x14ac:dyDescent="0.3">
      <c r="A340" s="17" t="s">
        <v>2644</v>
      </c>
      <c r="B340" s="18" t="s">
        <v>2682</v>
      </c>
      <c r="C340" s="18" t="s">
        <v>2683</v>
      </c>
      <c r="D340" s="18" t="s">
        <v>2684</v>
      </c>
      <c r="E340" s="18" t="s">
        <v>2685</v>
      </c>
      <c r="F340" s="18" t="s">
        <v>2663</v>
      </c>
      <c r="G340" s="18" t="s">
        <v>2686</v>
      </c>
      <c r="H340" s="17" t="s">
        <v>2665</v>
      </c>
      <c r="I340" s="17" t="s">
        <v>2666</v>
      </c>
      <c r="J340" s="18" t="s">
        <v>2666</v>
      </c>
      <c r="K340" s="18" t="s">
        <v>2667</v>
      </c>
      <c r="L340" s="23">
        <v>2.5</v>
      </c>
      <c r="M340" s="23">
        <v>5</v>
      </c>
      <c r="N340" s="24">
        <f t="shared" si="5"/>
        <v>5</v>
      </c>
      <c r="O340" s="17" t="s">
        <v>27</v>
      </c>
      <c r="P340" s="18" t="s">
        <v>2687</v>
      </c>
      <c r="Q340" t="s">
        <v>2688</v>
      </c>
    </row>
    <row r="341" spans="1:17" ht="39" customHeight="1" x14ac:dyDescent="0.3">
      <c r="A341" s="17" t="s">
        <v>2651</v>
      </c>
      <c r="B341" s="18" t="s">
        <v>2645</v>
      </c>
      <c r="C341" s="18" t="s">
        <v>2646</v>
      </c>
      <c r="D341" s="18" t="s">
        <v>2530</v>
      </c>
      <c r="E341" s="18" t="s">
        <v>2647</v>
      </c>
      <c r="F341" s="18" t="s">
        <v>1147</v>
      </c>
      <c r="G341" s="18" t="s">
        <v>2648</v>
      </c>
      <c r="H341" s="17" t="s">
        <v>63</v>
      </c>
      <c r="I341" s="17" t="s">
        <v>2064</v>
      </c>
      <c r="J341" s="18" t="s">
        <v>2064</v>
      </c>
      <c r="K341" s="18" t="s">
        <v>1754</v>
      </c>
      <c r="L341" s="23">
        <v>2.5</v>
      </c>
      <c r="M341" s="23">
        <v>5</v>
      </c>
      <c r="N341" s="24">
        <f t="shared" si="5"/>
        <v>5</v>
      </c>
      <c r="O341" s="17" t="s">
        <v>27</v>
      </c>
      <c r="P341" s="18" t="s">
        <v>2649</v>
      </c>
      <c r="Q341" t="s">
        <v>2650</v>
      </c>
    </row>
    <row r="342" spans="1:17" ht="39" customHeight="1" x14ac:dyDescent="0.3">
      <c r="A342" s="17" t="s">
        <v>2656</v>
      </c>
      <c r="B342" s="18" t="s">
        <v>2528</v>
      </c>
      <c r="C342" s="18" t="s">
        <v>2652</v>
      </c>
      <c r="D342" s="18" t="s">
        <v>2530</v>
      </c>
      <c r="E342" s="18" t="s">
        <v>2531</v>
      </c>
      <c r="F342" s="18" t="s">
        <v>1147</v>
      </c>
      <c r="G342" s="18" t="s">
        <v>2653</v>
      </c>
      <c r="H342" s="17" t="s">
        <v>63</v>
      </c>
      <c r="I342" s="17" t="s">
        <v>2064</v>
      </c>
      <c r="J342" s="18" t="s">
        <v>2064</v>
      </c>
      <c r="K342" s="18" t="s">
        <v>1754</v>
      </c>
      <c r="L342" s="23">
        <v>3</v>
      </c>
      <c r="M342" s="23">
        <v>6</v>
      </c>
      <c r="N342" s="24">
        <f t="shared" si="5"/>
        <v>6</v>
      </c>
      <c r="O342" s="17" t="s">
        <v>27</v>
      </c>
      <c r="P342" s="18" t="s">
        <v>2654</v>
      </c>
      <c r="Q342" t="s">
        <v>2655</v>
      </c>
    </row>
    <row r="343" spans="1:17" ht="39" customHeight="1" x14ac:dyDescent="0.3">
      <c r="A343" s="17"/>
      <c r="B343" s="18"/>
      <c r="C343" s="18"/>
      <c r="D343" s="18"/>
      <c r="E343" s="18"/>
      <c r="F343" s="18"/>
      <c r="G343" s="18"/>
      <c r="H343" s="17"/>
      <c r="I343" s="17"/>
      <c r="J343" s="18"/>
      <c r="K343" s="18"/>
      <c r="L343" s="23"/>
      <c r="M343" s="23"/>
      <c r="N343" s="24">
        <f t="shared" si="5"/>
        <v>0</v>
      </c>
      <c r="O343" s="17"/>
      <c r="P343" s="18"/>
    </row>
    <row r="344" spans="1:17" ht="39" customHeight="1" x14ac:dyDescent="0.3">
      <c r="A344" s="17" t="s">
        <v>2689</v>
      </c>
      <c r="B344" s="18" t="s">
        <v>2690</v>
      </c>
      <c r="C344" s="18" t="s">
        <v>2691</v>
      </c>
      <c r="D344" s="18" t="s">
        <v>2692</v>
      </c>
      <c r="E344" s="18" t="s">
        <v>2693</v>
      </c>
      <c r="F344" s="18" t="s">
        <v>1768</v>
      </c>
      <c r="G344" s="18" t="s">
        <v>2694</v>
      </c>
      <c r="H344" s="17" t="s">
        <v>23</v>
      </c>
      <c r="I344" s="17" t="s">
        <v>2695</v>
      </c>
      <c r="J344" s="18" t="s">
        <v>1967</v>
      </c>
      <c r="K344" s="18" t="s">
        <v>2696</v>
      </c>
      <c r="L344" s="23">
        <v>4</v>
      </c>
      <c r="M344" s="23">
        <v>10</v>
      </c>
      <c r="N344" s="24">
        <f t="shared" si="5"/>
        <v>10</v>
      </c>
      <c r="O344" s="17" t="s">
        <v>27</v>
      </c>
      <c r="P344" s="18" t="s">
        <v>2697</v>
      </c>
      <c r="Q344" t="s">
        <v>2698</v>
      </c>
    </row>
    <row r="345" spans="1:17" ht="39" customHeight="1" x14ac:dyDescent="0.3">
      <c r="A345" s="17" t="s">
        <v>2699</v>
      </c>
      <c r="B345" s="18" t="s">
        <v>2700</v>
      </c>
      <c r="C345" s="18" t="s">
        <v>2701</v>
      </c>
      <c r="D345" s="18" t="s">
        <v>2142</v>
      </c>
      <c r="E345" s="18" t="s">
        <v>2702</v>
      </c>
      <c r="F345" s="18" t="s">
        <v>2703</v>
      </c>
      <c r="G345" s="18" t="s">
        <v>2704</v>
      </c>
      <c r="H345" s="17" t="s">
        <v>23</v>
      </c>
      <c r="I345" s="17" t="s">
        <v>2705</v>
      </c>
      <c r="J345" s="18" t="s">
        <v>2706</v>
      </c>
      <c r="K345" s="18" t="s">
        <v>2707</v>
      </c>
      <c r="L345" s="23">
        <v>5</v>
      </c>
      <c r="M345" s="23">
        <v>10</v>
      </c>
      <c r="N345" s="24">
        <f t="shared" si="5"/>
        <v>10</v>
      </c>
      <c r="O345" s="17" t="s">
        <v>27</v>
      </c>
      <c r="P345" s="18" t="s">
        <v>2708</v>
      </c>
      <c r="Q345" t="s">
        <v>2709</v>
      </c>
    </row>
    <row r="346" spans="1:17" ht="39" customHeight="1" x14ac:dyDescent="0.3">
      <c r="A346" s="17" t="s">
        <v>2710</v>
      </c>
      <c r="B346" s="18" t="s">
        <v>2711</v>
      </c>
      <c r="C346" s="18" t="s">
        <v>2712</v>
      </c>
      <c r="D346" s="18" t="s">
        <v>2543</v>
      </c>
      <c r="E346" s="18" t="s">
        <v>2713</v>
      </c>
      <c r="F346" s="18" t="s">
        <v>1147</v>
      </c>
      <c r="G346" s="18" t="s">
        <v>2714</v>
      </c>
      <c r="H346" s="17" t="s">
        <v>63</v>
      </c>
      <c r="I346" s="17" t="s">
        <v>2064</v>
      </c>
      <c r="J346" s="18" t="s">
        <v>2064</v>
      </c>
      <c r="K346" s="18" t="s">
        <v>1754</v>
      </c>
      <c r="L346" s="23">
        <v>3</v>
      </c>
      <c r="M346" s="23">
        <v>20</v>
      </c>
      <c r="N346" s="24">
        <f t="shared" si="5"/>
        <v>20</v>
      </c>
      <c r="O346" s="17" t="s">
        <v>27</v>
      </c>
      <c r="P346" s="18" t="s">
        <v>2715</v>
      </c>
      <c r="Q346" t="s">
        <v>2642</v>
      </c>
    </row>
    <row r="347" spans="1:17" ht="39" customHeight="1" x14ac:dyDescent="0.3">
      <c r="A347" s="17" t="s">
        <v>2716</v>
      </c>
      <c r="B347" s="18" t="s">
        <v>2717</v>
      </c>
      <c r="C347" s="18" t="s">
        <v>2718</v>
      </c>
      <c r="D347" s="18" t="s">
        <v>2719</v>
      </c>
      <c r="E347" s="18" t="s">
        <v>2720</v>
      </c>
      <c r="F347" s="18" t="s">
        <v>2721</v>
      </c>
      <c r="G347" s="18" t="s">
        <v>2722</v>
      </c>
      <c r="H347" s="17" t="s">
        <v>2723</v>
      </c>
      <c r="I347" s="17" t="s">
        <v>2724</v>
      </c>
      <c r="J347" s="18" t="s">
        <v>2724</v>
      </c>
      <c r="K347" s="18" t="s">
        <v>2725</v>
      </c>
      <c r="L347" s="23">
        <v>9</v>
      </c>
      <c r="M347" s="23">
        <v>20</v>
      </c>
      <c r="N347" s="24">
        <f t="shared" si="5"/>
        <v>20</v>
      </c>
      <c r="O347" s="17" t="s">
        <v>27</v>
      </c>
      <c r="P347" s="18" t="s">
        <v>2726</v>
      </c>
      <c r="Q347" t="s">
        <v>2727</v>
      </c>
    </row>
    <row r="348" spans="1:17" ht="39" customHeight="1" x14ac:dyDescent="0.3">
      <c r="A348" s="17" t="s">
        <v>2728</v>
      </c>
      <c r="B348" s="18" t="s">
        <v>2729</v>
      </c>
      <c r="C348" s="18" t="s">
        <v>2730</v>
      </c>
      <c r="D348" s="18" t="s">
        <v>2731</v>
      </c>
      <c r="E348" s="18" t="s">
        <v>2732</v>
      </c>
      <c r="F348" s="18" t="s">
        <v>2721</v>
      </c>
      <c r="G348" s="18" t="s">
        <v>2733</v>
      </c>
      <c r="H348" s="17" t="s">
        <v>2723</v>
      </c>
      <c r="I348" s="17" t="s">
        <v>2724</v>
      </c>
      <c r="J348" s="18" t="s">
        <v>2724</v>
      </c>
      <c r="K348" s="18" t="s">
        <v>2725</v>
      </c>
      <c r="L348" s="23">
        <v>3</v>
      </c>
      <c r="M348" s="23">
        <v>6</v>
      </c>
      <c r="N348" s="24">
        <f t="shared" si="5"/>
        <v>6</v>
      </c>
      <c r="O348" s="17" t="s">
        <v>27</v>
      </c>
      <c r="P348" s="18" t="s">
        <v>2734</v>
      </c>
      <c r="Q348" t="s">
        <v>2735</v>
      </c>
    </row>
    <row r="349" spans="1:17" ht="39" customHeight="1" x14ac:dyDescent="0.3">
      <c r="A349" s="17" t="s">
        <v>2736</v>
      </c>
      <c r="B349" s="18" t="s">
        <v>2737</v>
      </c>
      <c r="C349" s="18" t="s">
        <v>2738</v>
      </c>
      <c r="D349" s="18" t="s">
        <v>2739</v>
      </c>
      <c r="E349" s="18" t="s">
        <v>2740</v>
      </c>
      <c r="F349" s="18" t="s">
        <v>2741</v>
      </c>
      <c r="G349" s="18" t="s">
        <v>2742</v>
      </c>
      <c r="H349" s="17" t="s">
        <v>2723</v>
      </c>
      <c r="I349" s="17" t="s">
        <v>2724</v>
      </c>
      <c r="J349" s="18" t="s">
        <v>2724</v>
      </c>
      <c r="K349" s="18" t="s">
        <v>2725</v>
      </c>
      <c r="L349" s="23">
        <v>3</v>
      </c>
      <c r="M349" s="23">
        <v>6</v>
      </c>
      <c r="N349" s="24">
        <f t="shared" si="5"/>
        <v>6</v>
      </c>
      <c r="O349" s="17" t="s">
        <v>27</v>
      </c>
      <c r="P349" s="18" t="s">
        <v>2743</v>
      </c>
      <c r="Q349" t="s">
        <v>2744</v>
      </c>
    </row>
    <row r="350" spans="1:17" ht="39" customHeight="1" x14ac:dyDescent="0.3">
      <c r="A350" s="17" t="s">
        <v>2745</v>
      </c>
      <c r="B350" s="18" t="s">
        <v>2746</v>
      </c>
      <c r="C350" s="18" t="s">
        <v>2747</v>
      </c>
      <c r="D350" s="18" t="s">
        <v>2748</v>
      </c>
      <c r="E350" s="18" t="s">
        <v>2749</v>
      </c>
      <c r="F350" s="18" t="s">
        <v>1147</v>
      </c>
      <c r="G350" s="18" t="s">
        <v>2750</v>
      </c>
      <c r="H350" s="17" t="s">
        <v>63</v>
      </c>
      <c r="I350" s="17" t="s">
        <v>2064</v>
      </c>
      <c r="J350" s="18" t="s">
        <v>2064</v>
      </c>
      <c r="K350" s="18" t="s">
        <v>1754</v>
      </c>
      <c r="L350" s="23">
        <v>3</v>
      </c>
      <c r="M350" s="23">
        <v>7</v>
      </c>
      <c r="N350" s="24">
        <f t="shared" si="5"/>
        <v>7</v>
      </c>
      <c r="O350" s="17" t="s">
        <v>27</v>
      </c>
      <c r="P350" s="18" t="s">
        <v>2751</v>
      </c>
      <c r="Q350" t="s">
        <v>2659</v>
      </c>
    </row>
    <row r="351" spans="1:17" ht="39" customHeight="1" x14ac:dyDescent="0.3">
      <c r="A351" s="17" t="s">
        <v>2752</v>
      </c>
      <c r="B351" s="18" t="s">
        <v>2753</v>
      </c>
      <c r="C351" s="18" t="s">
        <v>2754</v>
      </c>
      <c r="D351" s="18" t="s">
        <v>2755</v>
      </c>
      <c r="E351" s="18" t="s">
        <v>2756</v>
      </c>
      <c r="F351" s="18" t="s">
        <v>2622</v>
      </c>
      <c r="G351" s="18" t="s">
        <v>2757</v>
      </c>
      <c r="H351" s="17" t="s">
        <v>63</v>
      </c>
      <c r="I351" s="17" t="s">
        <v>2758</v>
      </c>
      <c r="J351" s="18" t="s">
        <v>2064</v>
      </c>
      <c r="K351" s="18" t="s">
        <v>1754</v>
      </c>
      <c r="L351" s="23">
        <v>3</v>
      </c>
      <c r="M351" s="23">
        <v>7</v>
      </c>
      <c r="N351" s="24">
        <f t="shared" si="5"/>
        <v>7</v>
      </c>
      <c r="O351" s="17" t="s">
        <v>27</v>
      </c>
      <c r="P351" s="18" t="s">
        <v>2759</v>
      </c>
      <c r="Q351" t="s">
        <v>2760</v>
      </c>
    </row>
    <row r="352" spans="1:17" ht="39" customHeight="1" x14ac:dyDescent="0.3">
      <c r="A352" s="17" t="s">
        <v>2761</v>
      </c>
      <c r="B352" s="18" t="s">
        <v>2762</v>
      </c>
      <c r="C352" s="18" t="s">
        <v>2763</v>
      </c>
      <c r="D352" s="18" t="s">
        <v>2543</v>
      </c>
      <c r="E352" s="18" t="s">
        <v>2764</v>
      </c>
      <c r="F352" s="18" t="s">
        <v>1147</v>
      </c>
      <c r="G352" s="18" t="s">
        <v>2765</v>
      </c>
      <c r="H352" s="17" t="s">
        <v>63</v>
      </c>
      <c r="I352" s="17" t="s">
        <v>2064</v>
      </c>
      <c r="J352" s="18" t="s">
        <v>2064</v>
      </c>
      <c r="K352" s="18" t="s">
        <v>1754</v>
      </c>
      <c r="L352" s="23">
        <v>5</v>
      </c>
      <c r="M352" s="23">
        <v>7</v>
      </c>
      <c r="N352" s="24">
        <f t="shared" si="5"/>
        <v>7</v>
      </c>
      <c r="O352" s="17" t="s">
        <v>27</v>
      </c>
      <c r="P352" s="18" t="s">
        <v>2766</v>
      </c>
      <c r="Q352" t="s">
        <v>2767</v>
      </c>
    </row>
    <row r="353" spans="1:17" ht="39" customHeight="1" x14ac:dyDescent="0.3">
      <c r="A353" s="17" t="s">
        <v>2768</v>
      </c>
      <c r="B353" s="18" t="s">
        <v>2769</v>
      </c>
      <c r="C353" s="18" t="s">
        <v>2770</v>
      </c>
      <c r="D353" s="18" t="s">
        <v>2530</v>
      </c>
      <c r="E353" s="18" t="s">
        <v>2771</v>
      </c>
      <c r="F353" s="18" t="s">
        <v>1147</v>
      </c>
      <c r="G353" s="18" t="s">
        <v>2772</v>
      </c>
      <c r="H353" s="17" t="s">
        <v>63</v>
      </c>
      <c r="I353" s="17" t="s">
        <v>2064</v>
      </c>
      <c r="J353" s="18" t="s">
        <v>2064</v>
      </c>
      <c r="K353" s="18" t="s">
        <v>1754</v>
      </c>
      <c r="L353" s="23">
        <v>3</v>
      </c>
      <c r="M353" s="23">
        <v>10</v>
      </c>
      <c r="N353" s="24">
        <f t="shared" si="5"/>
        <v>10</v>
      </c>
      <c r="O353" s="17" t="s">
        <v>27</v>
      </c>
      <c r="P353" s="18" t="s">
        <v>2773</v>
      </c>
      <c r="Q353" t="s">
        <v>2774</v>
      </c>
    </row>
    <row r="354" spans="1:17" ht="39" customHeight="1" x14ac:dyDescent="0.3">
      <c r="A354" s="17" t="s">
        <v>2775</v>
      </c>
      <c r="B354" s="18" t="s">
        <v>2059</v>
      </c>
      <c r="C354" s="18" t="s">
        <v>2536</v>
      </c>
      <c r="D354" s="18" t="s">
        <v>2061</v>
      </c>
      <c r="E354" s="18" t="s">
        <v>2776</v>
      </c>
      <c r="F354" s="18" t="s">
        <v>1147</v>
      </c>
      <c r="G354" s="18" t="s">
        <v>2777</v>
      </c>
      <c r="H354" s="17" t="s">
        <v>63</v>
      </c>
      <c r="I354" s="17" t="s">
        <v>2064</v>
      </c>
      <c r="J354" s="18" t="s">
        <v>2064</v>
      </c>
      <c r="K354" s="18" t="s">
        <v>1754</v>
      </c>
      <c r="L354" s="23">
        <v>5</v>
      </c>
      <c r="M354" s="23">
        <v>10</v>
      </c>
      <c r="N354" s="24">
        <f t="shared" si="5"/>
        <v>10</v>
      </c>
      <c r="O354" s="17" t="s">
        <v>27</v>
      </c>
      <c r="P354" s="18" t="s">
        <v>2778</v>
      </c>
      <c r="Q354" t="s">
        <v>2767</v>
      </c>
    </row>
    <row r="355" spans="1:17" ht="39" customHeight="1" x14ac:dyDescent="0.3">
      <c r="A355" s="17" t="s">
        <v>2779</v>
      </c>
      <c r="B355" s="18" t="s">
        <v>2780</v>
      </c>
      <c r="C355" s="18" t="s">
        <v>2781</v>
      </c>
      <c r="D355" s="18" t="s">
        <v>2658</v>
      </c>
      <c r="E355" s="18" t="s">
        <v>2782</v>
      </c>
      <c r="F355" s="18" t="s">
        <v>1147</v>
      </c>
      <c r="G355" s="18" t="s">
        <v>2783</v>
      </c>
      <c r="H355" s="17" t="s">
        <v>63</v>
      </c>
      <c r="I355" s="17" t="s">
        <v>2064</v>
      </c>
      <c r="J355" s="18" t="s">
        <v>2064</v>
      </c>
      <c r="K355" s="18" t="s">
        <v>1754</v>
      </c>
      <c r="L355" s="23">
        <v>3.5</v>
      </c>
      <c r="M355" s="23">
        <v>7</v>
      </c>
      <c r="N355" s="24">
        <f t="shared" si="5"/>
        <v>7</v>
      </c>
      <c r="O355" s="17" t="s">
        <v>27</v>
      </c>
      <c r="P355" s="18" t="s">
        <v>2784</v>
      </c>
      <c r="Q355" t="s">
        <v>2785</v>
      </c>
    </row>
    <row r="356" spans="1:17" ht="39" customHeight="1" x14ac:dyDescent="0.3">
      <c r="A356" s="17" t="s">
        <v>2786</v>
      </c>
      <c r="B356" s="18" t="s">
        <v>2787</v>
      </c>
      <c r="C356" s="18" t="s">
        <v>2788</v>
      </c>
      <c r="D356" s="18" t="s">
        <v>2789</v>
      </c>
      <c r="E356" s="18" t="s">
        <v>2790</v>
      </c>
      <c r="F356" s="18" t="s">
        <v>2791</v>
      </c>
      <c r="G356" s="18" t="s">
        <v>2792</v>
      </c>
      <c r="H356" s="17" t="s">
        <v>23</v>
      </c>
      <c r="I356" s="17" t="s">
        <v>2793</v>
      </c>
      <c r="J356" s="18" t="s">
        <v>2794</v>
      </c>
      <c r="K356" s="18" t="s">
        <v>2795</v>
      </c>
      <c r="L356" s="23">
        <v>3.5</v>
      </c>
      <c r="M356" s="23">
        <v>7</v>
      </c>
      <c r="N356" s="24">
        <f t="shared" si="5"/>
        <v>7</v>
      </c>
      <c r="O356" s="17" t="s">
        <v>27</v>
      </c>
      <c r="P356" s="18" t="s">
        <v>2796</v>
      </c>
      <c r="Q356" t="s">
        <v>2797</v>
      </c>
    </row>
    <row r="357" spans="1:17" ht="39" customHeight="1" x14ac:dyDescent="0.3">
      <c r="A357" s="17" t="s">
        <v>2798</v>
      </c>
      <c r="B357" s="18" t="s">
        <v>2799</v>
      </c>
      <c r="C357" s="18" t="s">
        <v>2800</v>
      </c>
      <c r="D357" s="18" t="s">
        <v>2801</v>
      </c>
      <c r="E357" s="18" t="s">
        <v>2802</v>
      </c>
      <c r="F357" s="18" t="s">
        <v>1147</v>
      </c>
      <c r="G357" s="18" t="s">
        <v>2803</v>
      </c>
      <c r="H357" s="17" t="s">
        <v>63</v>
      </c>
      <c r="I357" s="17" t="s">
        <v>2064</v>
      </c>
      <c r="J357" s="18" t="s">
        <v>2064</v>
      </c>
      <c r="K357" s="18" t="s">
        <v>1754</v>
      </c>
      <c r="L357" s="23">
        <v>2</v>
      </c>
      <c r="M357" s="23">
        <v>7</v>
      </c>
      <c r="N357" s="24">
        <f t="shared" si="5"/>
        <v>7</v>
      </c>
      <c r="O357" s="17" t="s">
        <v>27</v>
      </c>
      <c r="P357" s="18" t="s">
        <v>2804</v>
      </c>
      <c r="Q357" t="s">
        <v>2785</v>
      </c>
    </row>
    <row r="358" spans="1:17" ht="39" customHeight="1" x14ac:dyDescent="0.3">
      <c r="A358" s="17" t="s">
        <v>2805</v>
      </c>
      <c r="B358" s="18" t="s">
        <v>2806</v>
      </c>
      <c r="C358" s="18" t="s">
        <v>2807</v>
      </c>
      <c r="D358" s="18" t="s">
        <v>2808</v>
      </c>
      <c r="E358" s="18" t="s">
        <v>2809</v>
      </c>
      <c r="F358" s="18" t="s">
        <v>1147</v>
      </c>
      <c r="G358" s="18" t="s">
        <v>2810</v>
      </c>
      <c r="H358" s="17" t="s">
        <v>63</v>
      </c>
      <c r="I358" s="17" t="s">
        <v>2064</v>
      </c>
      <c r="J358" s="18" t="s">
        <v>2064</v>
      </c>
      <c r="K358" s="18" t="s">
        <v>1754</v>
      </c>
      <c r="L358" s="23">
        <v>3</v>
      </c>
      <c r="M358" s="23">
        <v>7</v>
      </c>
      <c r="N358" s="24">
        <f t="shared" si="5"/>
        <v>7</v>
      </c>
      <c r="O358" s="17" t="s">
        <v>27</v>
      </c>
      <c r="P358" s="18" t="s">
        <v>2811</v>
      </c>
      <c r="Q358" t="s">
        <v>2785</v>
      </c>
    </row>
    <row r="359" spans="1:17" ht="39" customHeight="1" x14ac:dyDescent="0.3">
      <c r="A359" s="17" t="s">
        <v>2812</v>
      </c>
      <c r="B359" s="18" t="s">
        <v>2813</v>
      </c>
      <c r="C359" s="18" t="s">
        <v>2814</v>
      </c>
      <c r="D359" s="18" t="s">
        <v>2808</v>
      </c>
      <c r="E359" s="18" t="s">
        <v>2815</v>
      </c>
      <c r="F359" s="18" t="s">
        <v>1147</v>
      </c>
      <c r="G359" s="18" t="s">
        <v>2816</v>
      </c>
      <c r="H359" s="17" t="s">
        <v>63</v>
      </c>
      <c r="I359" s="17" t="s">
        <v>2064</v>
      </c>
      <c r="J359" s="18" t="s">
        <v>2064</v>
      </c>
      <c r="K359" s="18" t="s">
        <v>1754</v>
      </c>
      <c r="L359" s="23">
        <v>2.5</v>
      </c>
      <c r="M359" s="23">
        <v>10</v>
      </c>
      <c r="N359" s="24">
        <f t="shared" si="5"/>
        <v>10</v>
      </c>
      <c r="O359" s="17" t="s">
        <v>27</v>
      </c>
      <c r="P359" s="18" t="s">
        <v>2817</v>
      </c>
      <c r="Q359" t="s">
        <v>2818</v>
      </c>
    </row>
    <row r="360" spans="1:17" s="16" customFormat="1" ht="39" customHeight="1" x14ac:dyDescent="0.3">
      <c r="A360" s="17" t="s">
        <v>2819</v>
      </c>
      <c r="B360" s="18" t="s">
        <v>2059</v>
      </c>
      <c r="C360" s="18" t="s">
        <v>2536</v>
      </c>
      <c r="D360" s="18" t="s">
        <v>2061</v>
      </c>
      <c r="E360" s="18" t="s">
        <v>2776</v>
      </c>
      <c r="F360" s="18" t="s">
        <v>1147</v>
      </c>
      <c r="G360" s="18" t="s">
        <v>2777</v>
      </c>
      <c r="H360" s="17" t="s">
        <v>63</v>
      </c>
      <c r="I360" s="17" t="s">
        <v>2064</v>
      </c>
      <c r="J360" s="18" t="s">
        <v>2064</v>
      </c>
      <c r="K360" s="18" t="s">
        <v>1754</v>
      </c>
      <c r="L360" s="23">
        <v>5</v>
      </c>
      <c r="M360" s="23">
        <v>10</v>
      </c>
      <c r="N360" s="24">
        <f t="shared" si="5"/>
        <v>10</v>
      </c>
      <c r="O360" s="17" t="s">
        <v>27</v>
      </c>
      <c r="P360" s="18" t="s">
        <v>2778</v>
      </c>
      <c r="Q360" t="s">
        <v>2818</v>
      </c>
    </row>
    <row r="361" spans="1:17" s="16" customFormat="1" ht="39" customHeight="1" x14ac:dyDescent="0.3">
      <c r="A361" s="17" t="s">
        <v>2820</v>
      </c>
      <c r="B361" s="18" t="s">
        <v>2821</v>
      </c>
      <c r="C361" s="18" t="s">
        <v>2822</v>
      </c>
      <c r="D361" s="18" t="s">
        <v>2530</v>
      </c>
      <c r="E361" s="18" t="s">
        <v>2823</v>
      </c>
      <c r="F361" s="18" t="s">
        <v>2824</v>
      </c>
      <c r="G361" s="18" t="s">
        <v>2825</v>
      </c>
      <c r="H361" s="17" t="s">
        <v>23</v>
      </c>
      <c r="I361" s="17" t="s">
        <v>2826</v>
      </c>
      <c r="J361" s="18" t="s">
        <v>2827</v>
      </c>
      <c r="K361" s="18" t="s">
        <v>2828</v>
      </c>
      <c r="L361" s="23">
        <v>4</v>
      </c>
      <c r="M361" s="23">
        <v>8</v>
      </c>
      <c r="N361" s="24">
        <f t="shared" si="5"/>
        <v>8</v>
      </c>
      <c r="O361" s="17" t="s">
        <v>27</v>
      </c>
      <c r="P361" s="18" t="s">
        <v>2829</v>
      </c>
      <c r="Q361" t="s">
        <v>2830</v>
      </c>
    </row>
    <row r="362" spans="1:17" s="16" customFormat="1" ht="39" customHeight="1" x14ac:dyDescent="0.3">
      <c r="A362" s="17" t="s">
        <v>2831</v>
      </c>
      <c r="B362" s="18" t="s">
        <v>2832</v>
      </c>
      <c r="C362" s="18" t="s">
        <v>2833</v>
      </c>
      <c r="D362" s="18" t="s">
        <v>2530</v>
      </c>
      <c r="E362" s="18" t="s">
        <v>2834</v>
      </c>
      <c r="F362" s="18" t="s">
        <v>1147</v>
      </c>
      <c r="G362" s="18" t="s">
        <v>2835</v>
      </c>
      <c r="H362" s="17" t="s">
        <v>63</v>
      </c>
      <c r="I362" s="17" t="s">
        <v>2064</v>
      </c>
      <c r="J362" s="18" t="s">
        <v>2064</v>
      </c>
      <c r="K362" s="18" t="s">
        <v>1754</v>
      </c>
      <c r="L362" s="23">
        <v>3</v>
      </c>
      <c r="M362" s="23">
        <v>7</v>
      </c>
      <c r="N362" s="24">
        <f t="shared" si="5"/>
        <v>7</v>
      </c>
      <c r="O362" s="17" t="s">
        <v>27</v>
      </c>
      <c r="P362" s="18" t="s">
        <v>2836</v>
      </c>
      <c r="Q362" t="s">
        <v>2785</v>
      </c>
    </row>
    <row r="363" spans="1:17" ht="39" customHeight="1" x14ac:dyDescent="0.3">
      <c r="A363" s="17" t="s">
        <v>2844</v>
      </c>
      <c r="B363" s="18" t="s">
        <v>2845</v>
      </c>
      <c r="C363" s="18" t="s">
        <v>2846</v>
      </c>
      <c r="D363" s="18" t="s">
        <v>2847</v>
      </c>
      <c r="E363" s="18" t="s">
        <v>2848</v>
      </c>
      <c r="F363" s="18" t="s">
        <v>2791</v>
      </c>
      <c r="G363" s="18" t="s">
        <v>2849</v>
      </c>
      <c r="H363" s="17" t="s">
        <v>23</v>
      </c>
      <c r="I363" s="17" t="s">
        <v>2850</v>
      </c>
      <c r="J363" s="18" t="s">
        <v>2851</v>
      </c>
      <c r="K363" s="18" t="s">
        <v>2852</v>
      </c>
      <c r="L363" s="23">
        <v>3.5</v>
      </c>
      <c r="M363" s="23">
        <v>7</v>
      </c>
      <c r="N363" s="24">
        <f t="shared" si="5"/>
        <v>7</v>
      </c>
      <c r="O363" s="17" t="s">
        <v>27</v>
      </c>
      <c r="P363" s="18" t="s">
        <v>2853</v>
      </c>
      <c r="Q363" t="s">
        <v>2854</v>
      </c>
    </row>
    <row r="364" spans="1:17" ht="39" customHeight="1" x14ac:dyDescent="0.3">
      <c r="A364" s="17" t="s">
        <v>2855</v>
      </c>
      <c r="B364" s="18" t="s">
        <v>2856</v>
      </c>
      <c r="C364" s="18" t="s">
        <v>2857</v>
      </c>
      <c r="D364" s="18" t="s">
        <v>2858</v>
      </c>
      <c r="E364" s="18" t="s">
        <v>2859</v>
      </c>
      <c r="F364" s="18" t="s">
        <v>2860</v>
      </c>
      <c r="G364" s="18" t="s">
        <v>2861</v>
      </c>
      <c r="H364" s="17" t="s">
        <v>2862</v>
      </c>
      <c r="I364" s="17" t="s">
        <v>2863</v>
      </c>
      <c r="J364" s="18" t="s">
        <v>2863</v>
      </c>
      <c r="K364" s="18" t="s">
        <v>2864</v>
      </c>
      <c r="L364" s="23">
        <v>3.5</v>
      </c>
      <c r="M364" s="23">
        <v>7</v>
      </c>
      <c r="N364" s="24">
        <f t="shared" si="5"/>
        <v>7</v>
      </c>
      <c r="O364" s="17" t="s">
        <v>27</v>
      </c>
      <c r="P364" s="18" t="s">
        <v>2865</v>
      </c>
      <c r="Q364" t="s">
        <v>2866</v>
      </c>
    </row>
    <row r="365" spans="1:17" ht="39" customHeight="1" x14ac:dyDescent="0.3">
      <c r="A365" s="17" t="s">
        <v>2867</v>
      </c>
      <c r="B365" s="18" t="s">
        <v>2769</v>
      </c>
      <c r="C365" s="18" t="s">
        <v>2868</v>
      </c>
      <c r="D365" s="18" t="s">
        <v>2869</v>
      </c>
      <c r="E365" s="18" t="s">
        <v>2870</v>
      </c>
      <c r="F365" s="18" t="s">
        <v>2860</v>
      </c>
      <c r="G365" s="18" t="s">
        <v>2871</v>
      </c>
      <c r="H365" s="17" t="s">
        <v>2862</v>
      </c>
      <c r="I365" s="17" t="s">
        <v>2863</v>
      </c>
      <c r="J365" s="18" t="s">
        <v>2863</v>
      </c>
      <c r="K365" s="18" t="s">
        <v>2864</v>
      </c>
      <c r="L365" s="23">
        <v>2.5</v>
      </c>
      <c r="M365" s="23">
        <v>5</v>
      </c>
      <c r="N365" s="24">
        <f t="shared" si="5"/>
        <v>5</v>
      </c>
      <c r="O365" s="17" t="s">
        <v>27</v>
      </c>
      <c r="P365" s="18" t="s">
        <v>2872</v>
      </c>
      <c r="Q365" t="s">
        <v>2866</v>
      </c>
    </row>
    <row r="366" spans="1:17" ht="39" customHeight="1" x14ac:dyDescent="0.3">
      <c r="A366" s="17" t="s">
        <v>2873</v>
      </c>
      <c r="B366" s="18" t="s">
        <v>2874</v>
      </c>
      <c r="C366" s="18" t="s">
        <v>2875</v>
      </c>
      <c r="D366" s="18" t="s">
        <v>2295</v>
      </c>
      <c r="E366" s="18" t="s">
        <v>2876</v>
      </c>
      <c r="F366" s="18" t="s">
        <v>2877</v>
      </c>
      <c r="G366" s="18" t="s">
        <v>2878</v>
      </c>
      <c r="H366" s="17" t="s">
        <v>23</v>
      </c>
      <c r="I366" s="17" t="s">
        <v>2879</v>
      </c>
      <c r="J366" s="18" t="s">
        <v>2880</v>
      </c>
      <c r="K366" s="18" t="s">
        <v>2881</v>
      </c>
      <c r="L366" s="23">
        <v>3.5</v>
      </c>
      <c r="M366" s="23">
        <v>7</v>
      </c>
      <c r="N366" s="24">
        <f t="shared" si="5"/>
        <v>7</v>
      </c>
      <c r="O366" s="17" t="s">
        <v>27</v>
      </c>
      <c r="P366" s="18" t="s">
        <v>2882</v>
      </c>
      <c r="Q366" t="s">
        <v>2883</v>
      </c>
    </row>
    <row r="367" spans="1:17" ht="39" customHeight="1" x14ac:dyDescent="0.3">
      <c r="A367" s="17" t="s">
        <v>2884</v>
      </c>
      <c r="B367" s="18" t="s">
        <v>2885</v>
      </c>
      <c r="C367" s="18" t="s">
        <v>2886</v>
      </c>
      <c r="D367" s="18" t="s">
        <v>2295</v>
      </c>
      <c r="E367" s="18" t="s">
        <v>2887</v>
      </c>
      <c r="F367" s="18" t="s">
        <v>2888</v>
      </c>
      <c r="G367" s="18" t="s">
        <v>2889</v>
      </c>
      <c r="H367" s="17" t="s">
        <v>23</v>
      </c>
      <c r="I367" s="17" t="s">
        <v>2890</v>
      </c>
      <c r="J367" s="18" t="s">
        <v>2891</v>
      </c>
      <c r="K367" s="18" t="s">
        <v>2892</v>
      </c>
      <c r="L367" s="23">
        <v>4</v>
      </c>
      <c r="M367" s="23">
        <v>8</v>
      </c>
      <c r="N367" s="24">
        <f t="shared" si="5"/>
        <v>8</v>
      </c>
      <c r="O367" s="17" t="s">
        <v>27</v>
      </c>
      <c r="P367" s="18" t="s">
        <v>2893</v>
      </c>
      <c r="Q367" t="s">
        <v>2894</v>
      </c>
    </row>
    <row r="368" spans="1:17" ht="39" customHeight="1" x14ac:dyDescent="0.3">
      <c r="A368" s="17" t="s">
        <v>2895</v>
      </c>
      <c r="B368" s="18" t="s">
        <v>2896</v>
      </c>
      <c r="C368" s="18" t="s">
        <v>2897</v>
      </c>
      <c r="D368" s="18" t="s">
        <v>2295</v>
      </c>
      <c r="E368" s="18" t="s">
        <v>2898</v>
      </c>
      <c r="F368" s="18" t="s">
        <v>2791</v>
      </c>
      <c r="G368" s="18" t="s">
        <v>2899</v>
      </c>
      <c r="H368" s="17" t="s">
        <v>23</v>
      </c>
      <c r="I368" s="17" t="s">
        <v>2900</v>
      </c>
      <c r="J368" s="18" t="s">
        <v>2901</v>
      </c>
      <c r="K368" s="18" t="s">
        <v>2902</v>
      </c>
      <c r="L368" s="23">
        <v>3.5</v>
      </c>
      <c r="M368" s="23">
        <v>7</v>
      </c>
      <c r="N368" s="24">
        <f t="shared" si="5"/>
        <v>7</v>
      </c>
      <c r="O368" s="17" t="s">
        <v>27</v>
      </c>
      <c r="P368" s="18" t="s">
        <v>2903</v>
      </c>
      <c r="Q368" t="s">
        <v>2904</v>
      </c>
    </row>
    <row r="369" spans="1:17" ht="39" customHeight="1" x14ac:dyDescent="0.3">
      <c r="A369" s="17" t="s">
        <v>2905</v>
      </c>
      <c r="B369" s="18" t="s">
        <v>2906</v>
      </c>
      <c r="C369" s="18" t="s">
        <v>225</v>
      </c>
      <c r="D369" s="18" t="s">
        <v>2295</v>
      </c>
      <c r="E369" s="18" t="s">
        <v>2907</v>
      </c>
      <c r="F369" s="18" t="s">
        <v>2877</v>
      </c>
      <c r="G369" s="18" t="s">
        <v>2908</v>
      </c>
      <c r="H369" s="17" t="s">
        <v>23</v>
      </c>
      <c r="I369" s="17" t="s">
        <v>2909</v>
      </c>
      <c r="J369" s="18" t="s">
        <v>2910</v>
      </c>
      <c r="K369" s="22" t="s">
        <v>2911</v>
      </c>
      <c r="L369" s="23">
        <v>4</v>
      </c>
      <c r="M369" s="23">
        <v>8</v>
      </c>
      <c r="N369" s="24">
        <f t="shared" si="5"/>
        <v>8</v>
      </c>
      <c r="O369" s="17" t="s">
        <v>27</v>
      </c>
      <c r="P369" s="18" t="s">
        <v>2912</v>
      </c>
      <c r="Q369" t="s">
        <v>2913</v>
      </c>
    </row>
    <row r="370" spans="1:17" ht="39" customHeight="1" x14ac:dyDescent="0.3">
      <c r="A370" s="17" t="s">
        <v>2914</v>
      </c>
      <c r="B370" s="18" t="s">
        <v>2915</v>
      </c>
      <c r="C370" s="18" t="s">
        <v>2916</v>
      </c>
      <c r="D370" s="18" t="s">
        <v>639</v>
      </c>
      <c r="E370" s="18" t="s">
        <v>2917</v>
      </c>
      <c r="F370" s="18" t="s">
        <v>1147</v>
      </c>
      <c r="G370" s="18" t="s">
        <v>2918</v>
      </c>
      <c r="H370" s="17" t="s">
        <v>63</v>
      </c>
      <c r="I370" s="17"/>
      <c r="J370" s="18" t="s">
        <v>2919</v>
      </c>
      <c r="K370" s="18"/>
      <c r="L370" s="23">
        <v>3.5</v>
      </c>
      <c r="M370" s="23">
        <v>7</v>
      </c>
      <c r="N370" s="24">
        <f t="shared" si="5"/>
        <v>7</v>
      </c>
      <c r="O370" s="17" t="s">
        <v>27</v>
      </c>
      <c r="P370" s="18" t="s">
        <v>2920</v>
      </c>
      <c r="Q370" t="s">
        <v>2921</v>
      </c>
    </row>
    <row r="371" spans="1:17" ht="39" customHeight="1" x14ac:dyDescent="0.3">
      <c r="A371" s="17" t="s">
        <v>2922</v>
      </c>
      <c r="B371" s="18" t="s">
        <v>2923</v>
      </c>
      <c r="C371" s="18" t="s">
        <v>2924</v>
      </c>
      <c r="D371" s="18" t="s">
        <v>2925</v>
      </c>
      <c r="E371" s="18" t="s">
        <v>2926</v>
      </c>
      <c r="F371" s="18" t="s">
        <v>2877</v>
      </c>
      <c r="G371" s="18" t="s">
        <v>2927</v>
      </c>
      <c r="H371" s="17" t="s">
        <v>23</v>
      </c>
      <c r="I371" s="17" t="s">
        <v>2928</v>
      </c>
      <c r="J371" s="18" t="s">
        <v>2929</v>
      </c>
      <c r="K371" s="22" t="s">
        <v>2930</v>
      </c>
      <c r="L371" s="23">
        <v>3.5</v>
      </c>
      <c r="M371" s="23">
        <v>7</v>
      </c>
      <c r="N371" s="24">
        <f t="shared" si="5"/>
        <v>7</v>
      </c>
      <c r="O371" s="17" t="s">
        <v>27</v>
      </c>
      <c r="P371" s="18" t="s">
        <v>2931</v>
      </c>
      <c r="Q371" t="s">
        <v>2932</v>
      </c>
    </row>
    <row r="372" spans="1:17" ht="39" customHeight="1" x14ac:dyDescent="0.3">
      <c r="A372" s="17" t="s">
        <v>2933</v>
      </c>
      <c r="B372" s="18" t="s">
        <v>2934</v>
      </c>
      <c r="C372" s="18" t="s">
        <v>2935</v>
      </c>
      <c r="D372" s="18" t="s">
        <v>2936</v>
      </c>
      <c r="E372" s="18" t="s">
        <v>2937</v>
      </c>
      <c r="F372" s="18" t="s">
        <v>1147</v>
      </c>
      <c r="G372" s="18" t="s">
        <v>2938</v>
      </c>
      <c r="H372" s="17" t="s">
        <v>63</v>
      </c>
      <c r="I372" s="17" t="s">
        <v>2064</v>
      </c>
      <c r="J372" s="18" t="s">
        <v>2064</v>
      </c>
      <c r="K372" s="18" t="s">
        <v>1754</v>
      </c>
      <c r="L372" s="23">
        <v>15</v>
      </c>
      <c r="M372" s="23">
        <v>22</v>
      </c>
      <c r="N372" s="24">
        <f t="shared" si="5"/>
        <v>22</v>
      </c>
      <c r="O372" s="17" t="s">
        <v>27</v>
      </c>
      <c r="P372" s="18" t="s">
        <v>2939</v>
      </c>
      <c r="Q372" t="s">
        <v>2940</v>
      </c>
    </row>
    <row r="373" spans="1:17" ht="39" customHeight="1" x14ac:dyDescent="0.3">
      <c r="A373" s="17" t="s">
        <v>2941</v>
      </c>
      <c r="B373" s="18" t="s">
        <v>2942</v>
      </c>
      <c r="C373" s="18" t="s">
        <v>2943</v>
      </c>
      <c r="D373" s="18" t="s">
        <v>2944</v>
      </c>
      <c r="E373" s="18" t="s">
        <v>2945</v>
      </c>
      <c r="F373" s="18" t="s">
        <v>2877</v>
      </c>
      <c r="G373" s="18" t="s">
        <v>2946</v>
      </c>
      <c r="H373" s="17" t="s">
        <v>23</v>
      </c>
      <c r="I373" s="17" t="s">
        <v>2947</v>
      </c>
      <c r="J373" s="18" t="s">
        <v>2948</v>
      </c>
      <c r="K373" s="18" t="s">
        <v>2949</v>
      </c>
      <c r="L373" s="23">
        <v>3</v>
      </c>
      <c r="M373" s="23">
        <v>6</v>
      </c>
      <c r="N373" s="24">
        <f t="shared" si="5"/>
        <v>6</v>
      </c>
      <c r="O373" s="17" t="s">
        <v>27</v>
      </c>
      <c r="P373" s="18" t="s">
        <v>2950</v>
      </c>
      <c r="Q373" t="s">
        <v>2951</v>
      </c>
    </row>
    <row r="374" spans="1:17" ht="39" customHeight="1" x14ac:dyDescent="0.3">
      <c r="A374" s="17" t="s">
        <v>2952</v>
      </c>
      <c r="B374" s="18" t="s">
        <v>2953</v>
      </c>
      <c r="C374" s="18" t="s">
        <v>2954</v>
      </c>
      <c r="D374" s="18" t="s">
        <v>2955</v>
      </c>
      <c r="E374" s="18" t="s">
        <v>2956</v>
      </c>
      <c r="F374" s="18" t="s">
        <v>1147</v>
      </c>
      <c r="G374" s="18" t="s">
        <v>2957</v>
      </c>
      <c r="H374" s="17" t="s">
        <v>63</v>
      </c>
      <c r="I374" s="17" t="s">
        <v>2064</v>
      </c>
      <c r="J374" s="18" t="s">
        <v>2064</v>
      </c>
      <c r="K374" s="18" t="s">
        <v>1754</v>
      </c>
      <c r="L374" s="23">
        <v>7</v>
      </c>
      <c r="M374" s="23">
        <v>9</v>
      </c>
      <c r="N374" s="24">
        <f t="shared" si="5"/>
        <v>9</v>
      </c>
      <c r="O374" s="17" t="s">
        <v>27</v>
      </c>
      <c r="P374" s="18" t="s">
        <v>2958</v>
      </c>
      <c r="Q374" t="s">
        <v>2940</v>
      </c>
    </row>
    <row r="375" spans="1:17" ht="39" customHeight="1" x14ac:dyDescent="0.3">
      <c r="A375" s="17" t="s">
        <v>2959</v>
      </c>
      <c r="B375" s="18" t="s">
        <v>2960</v>
      </c>
      <c r="C375" s="18" t="s">
        <v>2961</v>
      </c>
      <c r="D375" s="18" t="s">
        <v>2962</v>
      </c>
      <c r="E375" s="18" t="s">
        <v>2963</v>
      </c>
      <c r="F375" s="18" t="s">
        <v>2877</v>
      </c>
      <c r="G375" s="18" t="s">
        <v>2964</v>
      </c>
      <c r="H375" s="17" t="s">
        <v>23</v>
      </c>
      <c r="I375" s="17" t="s">
        <v>2965</v>
      </c>
      <c r="J375" s="18" t="s">
        <v>2966</v>
      </c>
      <c r="K375" s="22" t="s">
        <v>2967</v>
      </c>
      <c r="L375" s="23">
        <v>3.5</v>
      </c>
      <c r="M375" s="23">
        <v>7</v>
      </c>
      <c r="N375" s="24">
        <f t="shared" si="5"/>
        <v>7</v>
      </c>
      <c r="O375" s="17" t="s">
        <v>27</v>
      </c>
      <c r="P375" s="18" t="s">
        <v>2968</v>
      </c>
      <c r="Q375" t="s">
        <v>2969</v>
      </c>
    </row>
    <row r="376" spans="1:17" ht="39" customHeight="1" x14ac:dyDescent="0.3">
      <c r="A376" s="17" t="s">
        <v>2970</v>
      </c>
      <c r="B376" s="18" t="s">
        <v>2971</v>
      </c>
      <c r="C376" s="18" t="s">
        <v>2972</v>
      </c>
      <c r="D376" s="18" t="s">
        <v>2530</v>
      </c>
      <c r="E376" s="18" t="s">
        <v>2973</v>
      </c>
      <c r="F376" s="18" t="s">
        <v>2877</v>
      </c>
      <c r="G376" s="18" t="s">
        <v>2974</v>
      </c>
      <c r="H376" s="17" t="s">
        <v>23</v>
      </c>
      <c r="I376" s="17" t="s">
        <v>2975</v>
      </c>
      <c r="J376" s="18" t="s">
        <v>2976</v>
      </c>
      <c r="K376" s="22" t="s">
        <v>2977</v>
      </c>
      <c r="L376" s="23">
        <v>3.5</v>
      </c>
      <c r="M376" s="23">
        <v>7</v>
      </c>
      <c r="N376" s="24">
        <f t="shared" si="5"/>
        <v>7</v>
      </c>
      <c r="O376" s="17" t="s">
        <v>27</v>
      </c>
      <c r="P376" s="18" t="s">
        <v>2978</v>
      </c>
      <c r="Q376" t="s">
        <v>2979</v>
      </c>
    </row>
    <row r="377" spans="1:17" ht="39" customHeight="1" x14ac:dyDescent="0.3">
      <c r="A377" s="17" t="s">
        <v>2980</v>
      </c>
      <c r="B377" s="18" t="s">
        <v>2981</v>
      </c>
      <c r="C377" s="18" t="s">
        <v>2982</v>
      </c>
      <c r="D377" s="18" t="s">
        <v>2983</v>
      </c>
      <c r="E377" s="18" t="s">
        <v>2984</v>
      </c>
      <c r="F377" s="18" t="s">
        <v>2985</v>
      </c>
      <c r="G377" s="18" t="s">
        <v>2986</v>
      </c>
      <c r="H377" s="17" t="s">
        <v>63</v>
      </c>
      <c r="I377" s="17" t="s">
        <v>2064</v>
      </c>
      <c r="J377" s="18" t="s">
        <v>2064</v>
      </c>
      <c r="K377" s="22" t="s">
        <v>1754</v>
      </c>
      <c r="L377" s="23">
        <v>3</v>
      </c>
      <c r="M377" s="23">
        <v>6</v>
      </c>
      <c r="N377" s="24">
        <f t="shared" si="5"/>
        <v>6</v>
      </c>
      <c r="O377" s="17" t="s">
        <v>27</v>
      </c>
      <c r="P377" s="18" t="s">
        <v>2987</v>
      </c>
      <c r="Q377" t="s">
        <v>2988</v>
      </c>
    </row>
    <row r="378" spans="1:17" ht="39" customHeight="1" x14ac:dyDescent="0.3">
      <c r="A378" s="17" t="s">
        <v>2989</v>
      </c>
      <c r="B378" s="18" t="s">
        <v>2990</v>
      </c>
      <c r="C378" s="18" t="s">
        <v>2991</v>
      </c>
      <c r="D378" s="18" t="s">
        <v>2070</v>
      </c>
      <c r="E378" s="18" t="s">
        <v>2992</v>
      </c>
      <c r="F378" s="18" t="s">
        <v>1147</v>
      </c>
      <c r="G378" s="18" t="s">
        <v>2993</v>
      </c>
      <c r="H378" s="17" t="s">
        <v>63</v>
      </c>
      <c r="I378" s="17" t="s">
        <v>3013</v>
      </c>
      <c r="J378" s="18" t="s">
        <v>65</v>
      </c>
      <c r="K378" s="22" t="s">
        <v>66</v>
      </c>
      <c r="L378" s="23">
        <v>3.5</v>
      </c>
      <c r="M378" s="23">
        <v>6</v>
      </c>
      <c r="N378" s="24">
        <f t="shared" si="5"/>
        <v>6</v>
      </c>
      <c r="O378" s="17" t="s">
        <v>27</v>
      </c>
      <c r="P378" s="18" t="s">
        <v>3014</v>
      </c>
      <c r="Q378" t="s">
        <v>3015</v>
      </c>
    </row>
    <row r="379" spans="1:17" ht="39" customHeight="1" x14ac:dyDescent="0.3">
      <c r="A379" s="17" t="s">
        <v>2994</v>
      </c>
      <c r="B379" s="18" t="s">
        <v>2995</v>
      </c>
      <c r="C379" s="18" t="s">
        <v>2996</v>
      </c>
      <c r="D379" s="18" t="s">
        <v>2997</v>
      </c>
      <c r="E379" s="18" t="s">
        <v>2998</v>
      </c>
      <c r="F379" s="18" t="s">
        <v>1147</v>
      </c>
      <c r="G379" s="18" t="s">
        <v>3025</v>
      </c>
      <c r="H379" s="17" t="s">
        <v>63</v>
      </c>
      <c r="I379" s="17" t="s">
        <v>3016</v>
      </c>
      <c r="J379" s="18" t="s">
        <v>65</v>
      </c>
      <c r="K379" s="22" t="s">
        <v>66</v>
      </c>
      <c r="L379" s="23">
        <v>8</v>
      </c>
      <c r="M379" s="23">
        <v>13</v>
      </c>
      <c r="N379" s="24">
        <f t="shared" si="5"/>
        <v>13</v>
      </c>
      <c r="O379" s="17" t="s">
        <v>27</v>
      </c>
      <c r="P379" s="18" t="s">
        <v>3017</v>
      </c>
      <c r="Q379" t="s">
        <v>3015</v>
      </c>
    </row>
    <row r="380" spans="1:17" ht="39" customHeight="1" x14ac:dyDescent="0.3">
      <c r="A380" s="17" t="s">
        <v>2999</v>
      </c>
      <c r="B380" s="18" t="s">
        <v>3000</v>
      </c>
      <c r="C380" s="18" t="s">
        <v>3001</v>
      </c>
      <c r="D380" s="18" t="s">
        <v>3002</v>
      </c>
      <c r="E380" s="18" t="s">
        <v>3003</v>
      </c>
      <c r="F380" s="18" t="s">
        <v>1147</v>
      </c>
      <c r="G380" s="18" t="s">
        <v>3004</v>
      </c>
      <c r="H380" s="17" t="s">
        <v>63</v>
      </c>
      <c r="I380" s="17" t="s">
        <v>3018</v>
      </c>
      <c r="J380" s="18" t="s">
        <v>65</v>
      </c>
      <c r="K380" s="22" t="s">
        <v>66</v>
      </c>
      <c r="L380" s="23">
        <v>3</v>
      </c>
      <c r="M380" s="23">
        <v>6</v>
      </c>
      <c r="N380" s="24">
        <f t="shared" si="5"/>
        <v>6</v>
      </c>
      <c r="O380" s="17" t="s">
        <v>27</v>
      </c>
      <c r="P380" s="18" t="s">
        <v>3019</v>
      </c>
      <c r="Q380" t="s">
        <v>3020</v>
      </c>
    </row>
    <row r="381" spans="1:17" ht="39" customHeight="1" x14ac:dyDescent="0.3">
      <c r="A381" s="17" t="s">
        <v>3005</v>
      </c>
      <c r="B381" s="18" t="s">
        <v>3006</v>
      </c>
      <c r="C381" s="18" t="s">
        <v>3007</v>
      </c>
      <c r="D381" s="18" t="s">
        <v>2061</v>
      </c>
      <c r="E381" s="18" t="s">
        <v>3008</v>
      </c>
      <c r="F381" s="18" t="s">
        <v>1147</v>
      </c>
      <c r="G381" s="18" t="s">
        <v>3026</v>
      </c>
      <c r="H381" s="17" t="s">
        <v>63</v>
      </c>
      <c r="I381" s="17" t="s">
        <v>3021</v>
      </c>
      <c r="J381" s="18" t="s">
        <v>65</v>
      </c>
      <c r="K381" s="22" t="s">
        <v>66</v>
      </c>
      <c r="L381" s="23">
        <v>5</v>
      </c>
      <c r="M381" s="23">
        <v>10</v>
      </c>
      <c r="N381" s="24">
        <f t="shared" si="5"/>
        <v>10</v>
      </c>
      <c r="O381" s="17" t="s">
        <v>27</v>
      </c>
      <c r="P381" s="18" t="s">
        <v>3022</v>
      </c>
      <c r="Q381" t="s">
        <v>3023</v>
      </c>
    </row>
    <row r="382" spans="1:17" ht="39" customHeight="1" x14ac:dyDescent="0.3">
      <c r="A382" s="17" t="s">
        <v>3009</v>
      </c>
      <c r="B382" s="18" t="s">
        <v>3010</v>
      </c>
      <c r="C382" s="18" t="s">
        <v>3011</v>
      </c>
      <c r="D382" s="18" t="s">
        <v>2488</v>
      </c>
      <c r="E382" s="18" t="s">
        <v>3012</v>
      </c>
      <c r="F382" s="18" t="s">
        <v>1147</v>
      </c>
      <c r="G382" s="18" t="s">
        <v>3027</v>
      </c>
      <c r="H382" s="17" t="s">
        <v>63</v>
      </c>
      <c r="I382" s="17" t="s">
        <v>3018</v>
      </c>
      <c r="J382" s="18" t="s">
        <v>65</v>
      </c>
      <c r="K382" s="22" t="s">
        <v>66</v>
      </c>
      <c r="L382" s="23">
        <v>3</v>
      </c>
      <c r="M382" s="23">
        <v>6</v>
      </c>
      <c r="N382" s="24">
        <f t="shared" si="5"/>
        <v>6</v>
      </c>
      <c r="O382" s="17" t="s">
        <v>27</v>
      </c>
      <c r="P382" s="18" t="s">
        <v>3024</v>
      </c>
      <c r="Q382" t="s">
        <v>3015</v>
      </c>
    </row>
    <row r="383" spans="1:17" ht="39" customHeight="1" x14ac:dyDescent="0.3">
      <c r="A383" s="17" t="s">
        <v>3028</v>
      </c>
      <c r="B383" s="18" t="s">
        <v>3029</v>
      </c>
      <c r="C383" s="18" t="s">
        <v>3030</v>
      </c>
      <c r="D383" s="18" t="s">
        <v>3031</v>
      </c>
      <c r="E383" s="18" t="s">
        <v>3032</v>
      </c>
      <c r="F383" s="18" t="s">
        <v>1697</v>
      </c>
      <c r="G383" s="18" t="s">
        <v>3033</v>
      </c>
      <c r="H383" s="17" t="s">
        <v>63</v>
      </c>
      <c r="I383" s="17" t="s">
        <v>3065</v>
      </c>
      <c r="J383" s="18" t="s">
        <v>65</v>
      </c>
      <c r="K383" s="22" t="s">
        <v>66</v>
      </c>
      <c r="L383" s="23">
        <v>2.5</v>
      </c>
      <c r="M383" s="23">
        <v>5</v>
      </c>
      <c r="N383" s="24">
        <f t="shared" si="5"/>
        <v>5</v>
      </c>
      <c r="O383" s="17" t="s">
        <v>27</v>
      </c>
      <c r="P383" s="18" t="s">
        <v>3034</v>
      </c>
      <c r="Q383" t="s">
        <v>3047</v>
      </c>
    </row>
    <row r="384" spans="1:17" ht="39" customHeight="1" x14ac:dyDescent="0.3">
      <c r="A384" s="17" t="s">
        <v>3035</v>
      </c>
      <c r="B384" s="18" t="s">
        <v>3036</v>
      </c>
      <c r="C384" s="18" t="s">
        <v>3037</v>
      </c>
      <c r="D384" s="18" t="s">
        <v>3038</v>
      </c>
      <c r="E384" s="18" t="s">
        <v>3039</v>
      </c>
      <c r="F384" s="18" t="s">
        <v>3040</v>
      </c>
      <c r="G384" s="18" t="s">
        <v>3041</v>
      </c>
      <c r="H384" s="17" t="s">
        <v>63</v>
      </c>
      <c r="I384" s="17" t="s">
        <v>3018</v>
      </c>
      <c r="J384" s="18" t="s">
        <v>65</v>
      </c>
      <c r="K384" s="22" t="s">
        <v>66</v>
      </c>
      <c r="L384" s="23">
        <v>2</v>
      </c>
      <c r="M384" s="23">
        <v>4</v>
      </c>
      <c r="N384" s="24">
        <f t="shared" si="5"/>
        <v>4</v>
      </c>
      <c r="O384" s="17" t="s">
        <v>27</v>
      </c>
      <c r="P384" s="18" t="s">
        <v>3042</v>
      </c>
      <c r="Q384" t="s">
        <v>3048</v>
      </c>
    </row>
    <row r="385" spans="1:17" ht="39" customHeight="1" x14ac:dyDescent="0.3">
      <c r="A385" s="17" t="s">
        <v>3043</v>
      </c>
      <c r="B385" s="18" t="s">
        <v>3036</v>
      </c>
      <c r="C385" s="18" t="s">
        <v>3044</v>
      </c>
      <c r="D385" s="18" t="s">
        <v>3038</v>
      </c>
      <c r="E385" s="18" t="s">
        <v>3039</v>
      </c>
      <c r="F385" s="18" t="s">
        <v>3040</v>
      </c>
      <c r="G385" s="18" t="s">
        <v>3045</v>
      </c>
      <c r="H385" s="17" t="s">
        <v>63</v>
      </c>
      <c r="I385" s="17" t="s">
        <v>3018</v>
      </c>
      <c r="J385" s="18" t="s">
        <v>65</v>
      </c>
      <c r="K385" s="22" t="s">
        <v>66</v>
      </c>
      <c r="L385" s="23">
        <v>2</v>
      </c>
      <c r="M385" s="23">
        <v>4</v>
      </c>
      <c r="N385" s="24">
        <f t="shared" si="5"/>
        <v>4</v>
      </c>
      <c r="O385" s="17" t="s">
        <v>27</v>
      </c>
      <c r="P385" s="18" t="s">
        <v>3046</v>
      </c>
      <c r="Q385" t="s">
        <v>3049</v>
      </c>
    </row>
    <row r="386" spans="1:17" ht="39" customHeight="1" x14ac:dyDescent="0.3">
      <c r="A386" s="17" t="s">
        <v>3050</v>
      </c>
      <c r="B386" s="18" t="s">
        <v>3051</v>
      </c>
      <c r="C386" s="18" t="s">
        <v>3052</v>
      </c>
      <c r="D386" s="18" t="s">
        <v>3053</v>
      </c>
      <c r="E386" s="18" t="s">
        <v>3054</v>
      </c>
      <c r="F386" s="18" t="s">
        <v>1147</v>
      </c>
      <c r="G386" s="18" t="s">
        <v>3055</v>
      </c>
      <c r="H386" s="17" t="s">
        <v>63</v>
      </c>
      <c r="I386" s="27" t="s">
        <v>3066</v>
      </c>
      <c r="J386" s="26" t="s">
        <v>65</v>
      </c>
      <c r="K386" s="22" t="s">
        <v>66</v>
      </c>
      <c r="L386" s="23">
        <v>3</v>
      </c>
      <c r="M386" s="23">
        <v>6</v>
      </c>
      <c r="N386" s="24">
        <f t="shared" ref="N386:N420" si="6">MAX(L386,M386)</f>
        <v>6</v>
      </c>
      <c r="O386" s="17" t="s">
        <v>27</v>
      </c>
      <c r="P386" s="18" t="s">
        <v>3067</v>
      </c>
      <c r="Q386" t="s">
        <v>3015</v>
      </c>
    </row>
    <row r="387" spans="1:17" ht="39" customHeight="1" x14ac:dyDescent="0.3">
      <c r="A387" s="17" t="s">
        <v>3056</v>
      </c>
      <c r="B387" s="18" t="s">
        <v>3057</v>
      </c>
      <c r="C387" s="18" t="s">
        <v>3058</v>
      </c>
      <c r="D387" s="18" t="s">
        <v>2351</v>
      </c>
      <c r="E387" s="18" t="s">
        <v>3059</v>
      </c>
      <c r="F387" s="18" t="s">
        <v>1147</v>
      </c>
      <c r="G387" s="18" t="s">
        <v>3068</v>
      </c>
      <c r="H387" s="17" t="s">
        <v>63</v>
      </c>
      <c r="I387" s="17" t="s">
        <v>3066</v>
      </c>
      <c r="J387" s="18" t="s">
        <v>65</v>
      </c>
      <c r="K387" s="22" t="s">
        <v>66</v>
      </c>
      <c r="L387" s="23">
        <v>3</v>
      </c>
      <c r="M387" s="23">
        <v>6</v>
      </c>
      <c r="N387" s="24">
        <f t="shared" si="6"/>
        <v>6</v>
      </c>
      <c r="O387" s="17" t="s">
        <v>27</v>
      </c>
      <c r="P387" s="18" t="s">
        <v>3069</v>
      </c>
      <c r="Q387" t="s">
        <v>3015</v>
      </c>
    </row>
    <row r="388" spans="1:17" ht="39" customHeight="1" x14ac:dyDescent="0.3">
      <c r="A388" s="17" t="s">
        <v>3060</v>
      </c>
      <c r="B388" s="18" t="s">
        <v>3061</v>
      </c>
      <c r="C388" s="18" t="s">
        <v>3062</v>
      </c>
      <c r="D388" s="18" t="s">
        <v>3063</v>
      </c>
      <c r="E388" s="18" t="s">
        <v>3064</v>
      </c>
      <c r="F388" s="18" t="s">
        <v>1147</v>
      </c>
      <c r="G388" s="18" t="s">
        <v>3070</v>
      </c>
      <c r="H388" s="17" t="s">
        <v>63</v>
      </c>
      <c r="I388" s="27" t="s">
        <v>3066</v>
      </c>
      <c r="J388" s="26" t="s">
        <v>65</v>
      </c>
      <c r="K388" s="22" t="s">
        <v>66</v>
      </c>
      <c r="L388" s="23">
        <v>3.5</v>
      </c>
      <c r="M388" s="23">
        <v>7</v>
      </c>
      <c r="N388" s="24">
        <f t="shared" si="6"/>
        <v>7</v>
      </c>
      <c r="O388" s="17" t="s">
        <v>27</v>
      </c>
      <c r="P388" s="18" t="s">
        <v>3071</v>
      </c>
      <c r="Q388" t="s">
        <v>3015</v>
      </c>
    </row>
    <row r="389" spans="1:17" ht="39" customHeight="1" x14ac:dyDescent="0.3">
      <c r="A389" s="17" t="s">
        <v>3163</v>
      </c>
      <c r="B389" s="18" t="s">
        <v>3164</v>
      </c>
      <c r="C389" s="18" t="s">
        <v>3165</v>
      </c>
      <c r="D389" s="18" t="s">
        <v>3166</v>
      </c>
      <c r="E389" s="18" t="s">
        <v>3167</v>
      </c>
      <c r="F389" s="18" t="s">
        <v>1697</v>
      </c>
      <c r="G389" s="18" t="s">
        <v>3173</v>
      </c>
      <c r="H389" s="17" t="s">
        <v>63</v>
      </c>
      <c r="I389" s="17"/>
      <c r="J389" s="18"/>
      <c r="K389" s="22"/>
      <c r="L389" s="23">
        <v>3</v>
      </c>
      <c r="M389" s="23">
        <v>6</v>
      </c>
      <c r="N389" s="24">
        <f t="shared" si="6"/>
        <v>6</v>
      </c>
      <c r="O389" s="17" t="s">
        <v>27</v>
      </c>
      <c r="P389" s="18" t="s">
        <v>3174</v>
      </c>
      <c r="Q389" t="s">
        <v>3121</v>
      </c>
    </row>
    <row r="390" spans="1:17" ht="39" customHeight="1" x14ac:dyDescent="0.3">
      <c r="A390" s="17" t="s">
        <v>3168</v>
      </c>
      <c r="B390" s="18" t="s">
        <v>3169</v>
      </c>
      <c r="C390" s="18" t="s">
        <v>3170</v>
      </c>
      <c r="D390" s="18" t="s">
        <v>3171</v>
      </c>
      <c r="E390" s="18" t="s">
        <v>3172</v>
      </c>
      <c r="F390" s="18" t="s">
        <v>1768</v>
      </c>
      <c r="G390" s="18" t="s">
        <v>3175</v>
      </c>
      <c r="H390" s="17" t="s">
        <v>23</v>
      </c>
      <c r="I390" s="27" t="s">
        <v>3209</v>
      </c>
      <c r="J390" s="31" t="s">
        <v>3210</v>
      </c>
      <c r="K390" s="22" t="s">
        <v>3176</v>
      </c>
      <c r="L390" s="23">
        <v>3.5</v>
      </c>
      <c r="M390" s="23">
        <v>7</v>
      </c>
      <c r="N390" s="24">
        <f t="shared" si="6"/>
        <v>7</v>
      </c>
      <c r="O390" s="17" t="s">
        <v>27</v>
      </c>
      <c r="P390" s="18" t="s">
        <v>3177</v>
      </c>
      <c r="Q390" t="s">
        <v>3178</v>
      </c>
    </row>
    <row r="391" spans="1:17" ht="39" customHeight="1" x14ac:dyDescent="0.3">
      <c r="A391" s="17" t="s">
        <v>3072</v>
      </c>
      <c r="B391" s="18" t="s">
        <v>3073</v>
      </c>
      <c r="C391" s="18" t="s">
        <v>3074</v>
      </c>
      <c r="D391" s="18" t="s">
        <v>3075</v>
      </c>
      <c r="E391" s="18" t="s">
        <v>3076</v>
      </c>
      <c r="F391" s="18" t="s">
        <v>1768</v>
      </c>
      <c r="G391" s="18" t="s">
        <v>3077</v>
      </c>
      <c r="H391" s="17" t="s">
        <v>23</v>
      </c>
      <c r="I391" s="17">
        <v>1936</v>
      </c>
      <c r="J391" s="18" t="s">
        <v>3138</v>
      </c>
      <c r="K391" s="22" t="s">
        <v>3078</v>
      </c>
      <c r="L391" s="23">
        <v>3</v>
      </c>
      <c r="M391" s="23">
        <v>6</v>
      </c>
      <c r="N391" s="24">
        <f t="shared" si="6"/>
        <v>6</v>
      </c>
      <c r="O391" s="17" t="s">
        <v>27</v>
      </c>
      <c r="P391" s="18" t="s">
        <v>3139</v>
      </c>
      <c r="Q391" t="s">
        <v>3140</v>
      </c>
    </row>
    <row r="392" spans="1:17" ht="39" customHeight="1" x14ac:dyDescent="0.3">
      <c r="A392" s="17" t="s">
        <v>3079</v>
      </c>
      <c r="B392" s="18" t="s">
        <v>3080</v>
      </c>
      <c r="C392" s="18" t="s">
        <v>3081</v>
      </c>
      <c r="D392" s="18" t="s">
        <v>2530</v>
      </c>
      <c r="E392" s="18" t="s">
        <v>3082</v>
      </c>
      <c r="F392" s="18" t="s">
        <v>1147</v>
      </c>
      <c r="G392" s="18" t="s">
        <v>3083</v>
      </c>
      <c r="H392" s="17" t="s">
        <v>63</v>
      </c>
      <c r="I392" s="17" t="s">
        <v>3141</v>
      </c>
      <c r="J392" s="18" t="s">
        <v>65</v>
      </c>
      <c r="K392" s="22" t="s">
        <v>66</v>
      </c>
      <c r="L392" s="23">
        <v>3</v>
      </c>
      <c r="M392" s="23">
        <v>6</v>
      </c>
      <c r="N392" s="24">
        <f t="shared" si="6"/>
        <v>6</v>
      </c>
      <c r="O392" s="17" t="s">
        <v>27</v>
      </c>
      <c r="P392" s="18" t="s">
        <v>3142</v>
      </c>
      <c r="Q392" t="s">
        <v>3015</v>
      </c>
    </row>
    <row r="393" spans="1:17" ht="39" customHeight="1" x14ac:dyDescent="0.3">
      <c r="A393" s="17" t="s">
        <v>3084</v>
      </c>
      <c r="B393" s="18" t="s">
        <v>3085</v>
      </c>
      <c r="C393" s="18" t="s">
        <v>3086</v>
      </c>
      <c r="D393" s="18" t="s">
        <v>2142</v>
      </c>
      <c r="E393" s="18" t="s">
        <v>3087</v>
      </c>
      <c r="F393" s="18" t="s">
        <v>1768</v>
      </c>
      <c r="G393" s="18" t="s">
        <v>3088</v>
      </c>
      <c r="H393" s="17" t="s">
        <v>23</v>
      </c>
      <c r="I393" s="17">
        <v>1903</v>
      </c>
      <c r="J393" s="18" t="s">
        <v>3143</v>
      </c>
      <c r="K393" s="22" t="s">
        <v>265</v>
      </c>
      <c r="L393" s="23">
        <v>3.5</v>
      </c>
      <c r="M393" s="23">
        <v>7</v>
      </c>
      <c r="N393" s="24">
        <f t="shared" si="6"/>
        <v>7</v>
      </c>
      <c r="O393" s="17" t="s">
        <v>27</v>
      </c>
      <c r="P393" s="18" t="s">
        <v>3144</v>
      </c>
      <c r="Q393" t="s">
        <v>3145</v>
      </c>
    </row>
    <row r="394" spans="1:17" ht="39" customHeight="1" x14ac:dyDescent="0.3">
      <c r="A394" s="17" t="s">
        <v>3089</v>
      </c>
      <c r="B394" s="18" t="s">
        <v>3090</v>
      </c>
      <c r="C394" s="18" t="s">
        <v>3091</v>
      </c>
      <c r="D394" s="18" t="s">
        <v>2142</v>
      </c>
      <c r="E394" s="18" t="s">
        <v>3092</v>
      </c>
      <c r="F394" s="18" t="s">
        <v>1147</v>
      </c>
      <c r="G394" s="18" t="s">
        <v>3093</v>
      </c>
      <c r="H394" s="17" t="s">
        <v>63</v>
      </c>
      <c r="I394" s="17" t="s">
        <v>3018</v>
      </c>
      <c r="J394" s="18" t="s">
        <v>65</v>
      </c>
      <c r="K394" s="22" t="s">
        <v>66</v>
      </c>
      <c r="L394" s="23">
        <v>3</v>
      </c>
      <c r="M394" s="23">
        <v>6</v>
      </c>
      <c r="N394" s="24">
        <f t="shared" si="6"/>
        <v>6</v>
      </c>
      <c r="O394" s="17" t="s">
        <v>27</v>
      </c>
      <c r="P394" s="18" t="s">
        <v>3146</v>
      </c>
      <c r="Q394" t="s">
        <v>3147</v>
      </c>
    </row>
    <row r="395" spans="1:17" ht="39" customHeight="1" x14ac:dyDescent="0.3">
      <c r="A395" s="17" t="s">
        <v>3094</v>
      </c>
      <c r="B395" s="18" t="s">
        <v>3095</v>
      </c>
      <c r="C395" s="18" t="s">
        <v>3096</v>
      </c>
      <c r="D395" s="18" t="s">
        <v>3097</v>
      </c>
      <c r="E395" s="18" t="s">
        <v>3098</v>
      </c>
      <c r="F395" s="18" t="s">
        <v>1768</v>
      </c>
      <c r="G395" s="18" t="s">
        <v>3099</v>
      </c>
      <c r="H395" s="17" t="s">
        <v>23</v>
      </c>
      <c r="I395" s="27">
        <v>1976</v>
      </c>
      <c r="J395" s="26" t="s">
        <v>3148</v>
      </c>
      <c r="K395" s="22" t="s">
        <v>3100</v>
      </c>
      <c r="L395" s="23">
        <v>3</v>
      </c>
      <c r="M395" s="23">
        <v>6</v>
      </c>
      <c r="N395" s="24">
        <f t="shared" si="6"/>
        <v>6</v>
      </c>
      <c r="O395" s="17" t="s">
        <v>27</v>
      </c>
      <c r="P395" s="18" t="s">
        <v>3149</v>
      </c>
      <c r="Q395" t="s">
        <v>3150</v>
      </c>
    </row>
    <row r="396" spans="1:17" ht="39" customHeight="1" x14ac:dyDescent="0.3">
      <c r="A396" s="17" t="s">
        <v>3101</v>
      </c>
      <c r="B396" s="18" t="s">
        <v>3102</v>
      </c>
      <c r="C396" s="18" t="s">
        <v>3103</v>
      </c>
      <c r="D396" s="18" t="s">
        <v>2088</v>
      </c>
      <c r="E396" s="18" t="s">
        <v>3104</v>
      </c>
      <c r="F396" s="18" t="s">
        <v>1697</v>
      </c>
      <c r="G396" s="18" t="s">
        <v>3151</v>
      </c>
      <c r="H396" s="17" t="s">
        <v>63</v>
      </c>
      <c r="I396" s="17" t="s">
        <v>561</v>
      </c>
      <c r="J396" s="18" t="s">
        <v>65</v>
      </c>
      <c r="K396" s="22" t="s">
        <v>66</v>
      </c>
      <c r="L396" s="23">
        <v>3</v>
      </c>
      <c r="M396" s="23">
        <v>6</v>
      </c>
      <c r="N396" s="24">
        <f t="shared" si="6"/>
        <v>6</v>
      </c>
      <c r="O396" s="17" t="s">
        <v>27</v>
      </c>
      <c r="P396" s="18" t="s">
        <v>3152</v>
      </c>
      <c r="Q396" t="s">
        <v>3153</v>
      </c>
    </row>
    <row r="397" spans="1:17" ht="39" customHeight="1" x14ac:dyDescent="0.3">
      <c r="A397" s="17" t="s">
        <v>3105</v>
      </c>
      <c r="B397" s="18" t="s">
        <v>3106</v>
      </c>
      <c r="C397" s="18" t="s">
        <v>3107</v>
      </c>
      <c r="D397" s="18" t="s">
        <v>3108</v>
      </c>
      <c r="E397" s="18" t="s">
        <v>3109</v>
      </c>
      <c r="F397" s="18" t="s">
        <v>1697</v>
      </c>
      <c r="G397" s="18" t="s">
        <v>3154</v>
      </c>
      <c r="H397" s="17" t="s">
        <v>63</v>
      </c>
      <c r="I397" s="17" t="s">
        <v>3155</v>
      </c>
      <c r="J397" s="18" t="s">
        <v>65</v>
      </c>
      <c r="K397" s="22" t="s">
        <v>66</v>
      </c>
      <c r="L397" s="23">
        <v>3</v>
      </c>
      <c r="M397" s="23">
        <v>6</v>
      </c>
      <c r="N397" s="24">
        <f t="shared" si="6"/>
        <v>6</v>
      </c>
      <c r="O397" s="17" t="s">
        <v>27</v>
      </c>
      <c r="P397" s="18" t="s">
        <v>3156</v>
      </c>
      <c r="Q397" t="s">
        <v>3157</v>
      </c>
    </row>
    <row r="398" spans="1:17" ht="39" customHeight="1" x14ac:dyDescent="0.3">
      <c r="A398" s="17" t="s">
        <v>3110</v>
      </c>
      <c r="B398" s="18" t="s">
        <v>3111</v>
      </c>
      <c r="C398" s="18" t="s">
        <v>3112</v>
      </c>
      <c r="D398" s="18" t="s">
        <v>3113</v>
      </c>
      <c r="E398" s="18" t="s">
        <v>3114</v>
      </c>
      <c r="F398" s="18" t="s">
        <v>1147</v>
      </c>
      <c r="G398" s="18" t="s">
        <v>3158</v>
      </c>
      <c r="H398" s="17" t="s">
        <v>63</v>
      </c>
      <c r="I398" s="25" t="s">
        <v>3013</v>
      </c>
      <c r="J398" s="26" t="s">
        <v>65</v>
      </c>
      <c r="K398" s="22" t="s">
        <v>66</v>
      </c>
      <c r="L398" s="23">
        <v>3.5</v>
      </c>
      <c r="M398" s="23">
        <v>7</v>
      </c>
      <c r="N398" s="24">
        <f t="shared" si="6"/>
        <v>7</v>
      </c>
      <c r="O398" s="17" t="s">
        <v>27</v>
      </c>
      <c r="P398" s="18" t="s">
        <v>3159</v>
      </c>
      <c r="Q398" t="s">
        <v>3160</v>
      </c>
    </row>
    <row r="399" spans="1:17" ht="39" customHeight="1" x14ac:dyDescent="0.3">
      <c r="A399" s="17" t="s">
        <v>3115</v>
      </c>
      <c r="B399" s="18" t="s">
        <v>3116</v>
      </c>
      <c r="C399" s="18" t="s">
        <v>3117</v>
      </c>
      <c r="D399" s="18" t="s">
        <v>2658</v>
      </c>
      <c r="E399" s="18" t="s">
        <v>3118</v>
      </c>
      <c r="F399" s="18" t="s">
        <v>1697</v>
      </c>
      <c r="G399" s="18" t="s">
        <v>3119</v>
      </c>
      <c r="H399" s="17" t="s">
        <v>63</v>
      </c>
      <c r="I399" s="17" t="s">
        <v>3141</v>
      </c>
      <c r="J399" s="18" t="s">
        <v>65</v>
      </c>
      <c r="K399" s="22" t="s">
        <v>66</v>
      </c>
      <c r="L399" s="23">
        <v>3</v>
      </c>
      <c r="M399" s="23">
        <v>6</v>
      </c>
      <c r="N399" s="24">
        <f t="shared" si="6"/>
        <v>6</v>
      </c>
      <c r="O399" s="17" t="s">
        <v>27</v>
      </c>
      <c r="P399" s="18" t="s">
        <v>3120</v>
      </c>
      <c r="Q399" t="s">
        <v>3121</v>
      </c>
    </row>
    <row r="400" spans="1:17" ht="39" customHeight="1" x14ac:dyDescent="0.3">
      <c r="A400" s="17" t="s">
        <v>3122</v>
      </c>
      <c r="B400" s="18" t="s">
        <v>3123</v>
      </c>
      <c r="C400" s="18" t="s">
        <v>3124</v>
      </c>
      <c r="D400" s="18" t="s">
        <v>2142</v>
      </c>
      <c r="E400" s="18" t="s">
        <v>3125</v>
      </c>
      <c r="F400" s="18" t="s">
        <v>1768</v>
      </c>
      <c r="G400" s="18" t="s">
        <v>3126</v>
      </c>
      <c r="H400" s="17" t="s">
        <v>23</v>
      </c>
      <c r="I400" s="27" t="s">
        <v>3162</v>
      </c>
      <c r="J400" s="26" t="s">
        <v>3161</v>
      </c>
      <c r="K400" s="22" t="s">
        <v>3127</v>
      </c>
      <c r="L400" s="23">
        <v>3.5</v>
      </c>
      <c r="M400" s="23">
        <v>7</v>
      </c>
      <c r="N400" s="24">
        <f t="shared" si="6"/>
        <v>7</v>
      </c>
      <c r="O400" s="17" t="s">
        <v>27</v>
      </c>
      <c r="P400" s="18" t="s">
        <v>3128</v>
      </c>
      <c r="Q400" t="s">
        <v>3129</v>
      </c>
    </row>
    <row r="401" spans="1:17" ht="39" customHeight="1" x14ac:dyDescent="0.3">
      <c r="A401" s="17" t="s">
        <v>3130</v>
      </c>
      <c r="B401" s="18" t="s">
        <v>3131</v>
      </c>
      <c r="C401" s="18" t="s">
        <v>3132</v>
      </c>
      <c r="D401" s="18" t="s">
        <v>3133</v>
      </c>
      <c r="E401" s="18" t="s">
        <v>3134</v>
      </c>
      <c r="F401" s="18" t="s">
        <v>1697</v>
      </c>
      <c r="G401" s="18" t="s">
        <v>3135</v>
      </c>
      <c r="H401" s="17" t="s">
        <v>63</v>
      </c>
      <c r="I401" s="25" t="s">
        <v>3066</v>
      </c>
      <c r="J401" s="26" t="s">
        <v>65</v>
      </c>
      <c r="K401" s="22" t="s">
        <v>66</v>
      </c>
      <c r="L401" s="23">
        <v>3</v>
      </c>
      <c r="M401" s="23">
        <v>6</v>
      </c>
      <c r="N401" s="24">
        <f t="shared" si="6"/>
        <v>6</v>
      </c>
      <c r="O401" s="17" t="s">
        <v>27</v>
      </c>
      <c r="P401" s="18" t="s">
        <v>3136</v>
      </c>
      <c r="Q401" t="s">
        <v>3137</v>
      </c>
    </row>
    <row r="402" spans="1:17" ht="39" customHeight="1" x14ac:dyDescent="0.3">
      <c r="A402" s="17" t="s">
        <v>3179</v>
      </c>
      <c r="B402" s="18" t="s">
        <v>3006</v>
      </c>
      <c r="C402" s="18" t="s">
        <v>3007</v>
      </c>
      <c r="D402" s="18" t="s">
        <v>2061</v>
      </c>
      <c r="E402" s="18" t="s">
        <v>3008</v>
      </c>
      <c r="F402" s="18" t="s">
        <v>1147</v>
      </c>
      <c r="G402" s="18" t="s">
        <v>3026</v>
      </c>
      <c r="H402" s="17" t="s">
        <v>63</v>
      </c>
      <c r="I402" s="25"/>
      <c r="J402" s="26"/>
      <c r="K402" s="22"/>
      <c r="L402" s="23">
        <v>3.5</v>
      </c>
      <c r="M402" s="23">
        <v>7</v>
      </c>
      <c r="N402" s="24">
        <f t="shared" si="6"/>
        <v>7</v>
      </c>
      <c r="O402" s="17" t="s">
        <v>27</v>
      </c>
      <c r="P402" s="18" t="s">
        <v>3180</v>
      </c>
      <c r="Q402" t="s">
        <v>3023</v>
      </c>
    </row>
    <row r="403" spans="1:17" ht="39" customHeight="1" x14ac:dyDescent="0.3">
      <c r="A403" s="17" t="s">
        <v>3219</v>
      </c>
      <c r="B403" s="18" t="s">
        <v>3220</v>
      </c>
      <c r="C403" s="18" t="s">
        <v>3221</v>
      </c>
      <c r="D403" s="18" t="s">
        <v>3222</v>
      </c>
      <c r="E403" s="18" t="s">
        <v>3223</v>
      </c>
      <c r="F403" s="18" t="s">
        <v>1147</v>
      </c>
      <c r="G403" s="18" t="s">
        <v>3274</v>
      </c>
      <c r="H403" s="17" t="s">
        <v>63</v>
      </c>
      <c r="I403" s="25" t="s">
        <v>3018</v>
      </c>
      <c r="J403" s="26" t="s">
        <v>65</v>
      </c>
      <c r="K403" s="22" t="s">
        <v>66</v>
      </c>
      <c r="L403" s="23">
        <v>3.5</v>
      </c>
      <c r="M403" s="23">
        <v>7</v>
      </c>
      <c r="N403" s="24">
        <f t="shared" si="6"/>
        <v>7</v>
      </c>
      <c r="O403" s="17" t="s">
        <v>27</v>
      </c>
      <c r="P403" s="18" t="s">
        <v>3275</v>
      </c>
      <c r="Q403" t="s">
        <v>3147</v>
      </c>
    </row>
    <row r="404" spans="1:17" ht="39" customHeight="1" x14ac:dyDescent="0.3">
      <c r="A404" s="17" t="s">
        <v>3224</v>
      </c>
      <c r="B404" s="18" t="s">
        <v>3225</v>
      </c>
      <c r="C404" s="18" t="s">
        <v>3226</v>
      </c>
      <c r="D404" s="18" t="s">
        <v>2186</v>
      </c>
      <c r="E404" s="18" t="s">
        <v>3227</v>
      </c>
      <c r="F404" s="18" t="s">
        <v>1768</v>
      </c>
      <c r="G404" s="18" t="s">
        <v>3228</v>
      </c>
      <c r="H404" s="17" t="s">
        <v>23</v>
      </c>
      <c r="I404" s="25">
        <v>1939</v>
      </c>
      <c r="J404" s="26" t="s">
        <v>3276</v>
      </c>
      <c r="K404" s="22" t="s">
        <v>3277</v>
      </c>
      <c r="L404" s="23">
        <v>3.5</v>
      </c>
      <c r="M404" s="23">
        <v>7</v>
      </c>
      <c r="N404" s="24">
        <f t="shared" si="6"/>
        <v>7</v>
      </c>
      <c r="O404" s="17" t="s">
        <v>27</v>
      </c>
      <c r="P404" s="18" t="s">
        <v>3278</v>
      </c>
      <c r="Q404" t="s">
        <v>3279</v>
      </c>
    </row>
    <row r="405" spans="1:17" ht="39" customHeight="1" x14ac:dyDescent="0.3">
      <c r="A405" s="17" t="s">
        <v>3229</v>
      </c>
      <c r="B405" s="18" t="s">
        <v>3230</v>
      </c>
      <c r="C405" s="18" t="s">
        <v>3231</v>
      </c>
      <c r="D405" s="18" t="s">
        <v>3097</v>
      </c>
      <c r="E405" s="18" t="s">
        <v>3232</v>
      </c>
      <c r="F405" s="18" t="s">
        <v>1768</v>
      </c>
      <c r="G405" s="18" t="s">
        <v>3233</v>
      </c>
      <c r="H405" s="17" t="s">
        <v>23</v>
      </c>
      <c r="I405" s="25">
        <v>1925</v>
      </c>
      <c r="J405" s="26" t="s">
        <v>3280</v>
      </c>
      <c r="K405" s="22" t="s">
        <v>3234</v>
      </c>
      <c r="L405" s="23">
        <v>3</v>
      </c>
      <c r="M405" s="23">
        <v>6</v>
      </c>
      <c r="N405" s="24">
        <f t="shared" si="6"/>
        <v>6</v>
      </c>
      <c r="O405" s="17" t="s">
        <v>27</v>
      </c>
      <c r="P405" s="18" t="s">
        <v>3235</v>
      </c>
      <c r="Q405" t="s">
        <v>3236</v>
      </c>
    </row>
    <row r="406" spans="1:17" ht="39" customHeight="1" x14ac:dyDescent="0.3">
      <c r="A406" s="17" t="s">
        <v>3237</v>
      </c>
      <c r="B406" s="18" t="s">
        <v>3238</v>
      </c>
      <c r="C406" s="18" t="s">
        <v>3239</v>
      </c>
      <c r="D406" s="18" t="s">
        <v>3240</v>
      </c>
      <c r="E406" s="18" t="s">
        <v>3241</v>
      </c>
      <c r="F406" s="18" t="s">
        <v>1768</v>
      </c>
      <c r="G406" s="18" t="s">
        <v>3242</v>
      </c>
      <c r="H406" s="17" t="s">
        <v>23</v>
      </c>
      <c r="I406" s="25">
        <v>1942</v>
      </c>
      <c r="J406" s="26" t="s">
        <v>3281</v>
      </c>
      <c r="K406" s="22" t="s">
        <v>3243</v>
      </c>
      <c r="L406" s="23">
        <v>3.5</v>
      </c>
      <c r="M406" s="23">
        <v>7</v>
      </c>
      <c r="N406" s="24">
        <f t="shared" si="6"/>
        <v>7</v>
      </c>
      <c r="O406" s="17" t="s">
        <v>27</v>
      </c>
      <c r="P406" s="18" t="s">
        <v>3244</v>
      </c>
      <c r="Q406" t="s">
        <v>3245</v>
      </c>
    </row>
    <row r="407" spans="1:17" ht="39" customHeight="1" x14ac:dyDescent="0.3">
      <c r="A407" s="17" t="s">
        <v>3246</v>
      </c>
      <c r="B407" s="18" t="s">
        <v>2737</v>
      </c>
      <c r="C407" s="18" t="s">
        <v>3247</v>
      </c>
      <c r="D407" s="18" t="s">
        <v>2507</v>
      </c>
      <c r="E407" s="18" t="s">
        <v>3248</v>
      </c>
      <c r="F407" s="18" t="s">
        <v>1697</v>
      </c>
      <c r="G407" s="18" t="s">
        <v>3249</v>
      </c>
      <c r="H407" s="17" t="s">
        <v>63</v>
      </c>
      <c r="I407" s="25" t="s">
        <v>3141</v>
      </c>
      <c r="J407" s="26" t="s">
        <v>65</v>
      </c>
      <c r="K407" s="22" t="s">
        <v>66</v>
      </c>
      <c r="L407" s="23">
        <v>3</v>
      </c>
      <c r="M407" s="23">
        <v>6</v>
      </c>
      <c r="N407" s="24">
        <f t="shared" si="6"/>
        <v>6</v>
      </c>
      <c r="O407" s="17" t="s">
        <v>27</v>
      </c>
      <c r="P407" s="18" t="s">
        <v>3250</v>
      </c>
      <c r="Q407" t="s">
        <v>3251</v>
      </c>
    </row>
    <row r="408" spans="1:17" ht="39" customHeight="1" x14ac:dyDescent="0.3">
      <c r="A408" s="17" t="s">
        <v>3252</v>
      </c>
      <c r="B408" s="18" t="s">
        <v>3253</v>
      </c>
      <c r="C408" s="18" t="s">
        <v>3254</v>
      </c>
      <c r="D408" s="18" t="s">
        <v>2801</v>
      </c>
      <c r="E408" s="18" t="s">
        <v>3255</v>
      </c>
      <c r="F408" s="18" t="s">
        <v>1697</v>
      </c>
      <c r="G408" s="18" t="s">
        <v>3256</v>
      </c>
      <c r="H408" s="17" t="s">
        <v>63</v>
      </c>
      <c r="I408" s="25" t="s">
        <v>3018</v>
      </c>
      <c r="J408" s="26" t="s">
        <v>65</v>
      </c>
      <c r="K408" s="22" t="s">
        <v>66</v>
      </c>
      <c r="L408" s="23">
        <v>3</v>
      </c>
      <c r="M408" s="23">
        <v>6</v>
      </c>
      <c r="N408" s="24">
        <f t="shared" si="6"/>
        <v>6</v>
      </c>
      <c r="O408" s="17" t="s">
        <v>27</v>
      </c>
      <c r="P408" s="18" t="s">
        <v>3257</v>
      </c>
      <c r="Q408" t="s">
        <v>3157</v>
      </c>
    </row>
    <row r="409" spans="1:17" ht="39" customHeight="1" x14ac:dyDescent="0.3">
      <c r="A409" s="17" t="s">
        <v>3258</v>
      </c>
      <c r="B409" s="18" t="s">
        <v>3259</v>
      </c>
      <c r="C409" s="18" t="s">
        <v>3260</v>
      </c>
      <c r="D409" s="18" t="s">
        <v>3261</v>
      </c>
      <c r="E409" s="18" t="s">
        <v>3262</v>
      </c>
      <c r="F409" s="18" t="s">
        <v>1768</v>
      </c>
      <c r="G409" s="18" t="s">
        <v>3263</v>
      </c>
      <c r="H409" s="17" t="s">
        <v>23</v>
      </c>
      <c r="I409" s="25" t="s">
        <v>3018</v>
      </c>
      <c r="J409" s="26"/>
      <c r="K409" s="22" t="s">
        <v>3264</v>
      </c>
      <c r="L409" s="23">
        <v>3</v>
      </c>
      <c r="M409" s="23">
        <v>6</v>
      </c>
      <c r="N409" s="24">
        <f t="shared" si="6"/>
        <v>6</v>
      </c>
      <c r="O409" s="17" t="s">
        <v>27</v>
      </c>
      <c r="P409" s="18" t="s">
        <v>3265</v>
      </c>
      <c r="Q409" t="s">
        <v>3266</v>
      </c>
    </row>
    <row r="410" spans="1:17" ht="39" customHeight="1" x14ac:dyDescent="0.3">
      <c r="A410" s="17" t="s">
        <v>3267</v>
      </c>
      <c r="B410" s="18" t="s">
        <v>3268</v>
      </c>
      <c r="C410" s="18" t="s">
        <v>3269</v>
      </c>
      <c r="D410" s="18" t="s">
        <v>3270</v>
      </c>
      <c r="E410" s="18" t="s">
        <v>3271</v>
      </c>
      <c r="F410" s="18" t="s">
        <v>1697</v>
      </c>
      <c r="G410" s="18" t="s">
        <v>3272</v>
      </c>
      <c r="H410" s="17" t="s">
        <v>63</v>
      </c>
      <c r="I410" s="25" t="s">
        <v>3018</v>
      </c>
      <c r="J410" s="26" t="s">
        <v>65</v>
      </c>
      <c r="K410" s="22" t="s">
        <v>66</v>
      </c>
      <c r="L410" s="23">
        <v>3</v>
      </c>
      <c r="M410" s="23">
        <v>6</v>
      </c>
      <c r="N410" s="24">
        <f t="shared" si="6"/>
        <v>6</v>
      </c>
      <c r="O410" s="17" t="s">
        <v>27</v>
      </c>
      <c r="P410" s="18" t="s">
        <v>3273</v>
      </c>
      <c r="Q410" t="s">
        <v>3251</v>
      </c>
    </row>
    <row r="411" spans="1:17" ht="39" customHeight="1" x14ac:dyDescent="0.3">
      <c r="A411" s="17" t="s">
        <v>3520</v>
      </c>
      <c r="B411" s="18" t="s">
        <v>3521</v>
      </c>
      <c r="C411" s="18" t="s">
        <v>3522</v>
      </c>
      <c r="D411" s="18" t="s">
        <v>3222</v>
      </c>
      <c r="E411" s="18" t="s">
        <v>3523</v>
      </c>
      <c r="F411" s="18" t="s">
        <v>1697</v>
      </c>
      <c r="G411" s="18" t="s">
        <v>3524</v>
      </c>
      <c r="H411" s="17" t="s">
        <v>63</v>
      </c>
      <c r="I411" s="25"/>
      <c r="J411" s="26"/>
      <c r="K411" s="22"/>
      <c r="L411" s="23">
        <v>3</v>
      </c>
      <c r="M411" s="23">
        <v>6</v>
      </c>
      <c r="N411" s="24">
        <f t="shared" si="6"/>
        <v>6</v>
      </c>
      <c r="O411" s="17" t="s">
        <v>27</v>
      </c>
      <c r="P411" s="18" t="s">
        <v>3525</v>
      </c>
      <c r="Q411" t="s">
        <v>3121</v>
      </c>
    </row>
    <row r="412" spans="1:17" ht="39" customHeight="1" x14ac:dyDescent="0.3">
      <c r="A412" s="17" t="s">
        <v>3526</v>
      </c>
      <c r="B412" s="18" t="s">
        <v>3527</v>
      </c>
      <c r="C412" s="18" t="s">
        <v>2392</v>
      </c>
      <c r="D412" s="18" t="s">
        <v>3528</v>
      </c>
      <c r="E412" s="18" t="s">
        <v>3529</v>
      </c>
      <c r="F412" s="18" t="s">
        <v>1768</v>
      </c>
      <c r="G412" s="18" t="s">
        <v>3530</v>
      </c>
      <c r="H412" s="17" t="s">
        <v>23</v>
      </c>
      <c r="I412" s="25">
        <v>16354</v>
      </c>
      <c r="J412" s="26">
        <v>16354</v>
      </c>
      <c r="K412" s="22" t="s">
        <v>3531</v>
      </c>
      <c r="L412" s="23">
        <v>3.5</v>
      </c>
      <c r="M412" s="23">
        <v>7</v>
      </c>
      <c r="N412" s="24">
        <f t="shared" si="6"/>
        <v>7</v>
      </c>
      <c r="O412" s="17" t="s">
        <v>27</v>
      </c>
      <c r="P412" s="18" t="s">
        <v>3532</v>
      </c>
      <c r="Q412" t="s">
        <v>3533</v>
      </c>
    </row>
    <row r="413" spans="1:17" ht="39" customHeight="1" x14ac:dyDescent="0.3">
      <c r="A413" s="17" t="s">
        <v>3534</v>
      </c>
      <c r="B413" s="18" t="s">
        <v>3535</v>
      </c>
      <c r="C413" s="18" t="s">
        <v>3536</v>
      </c>
      <c r="D413" s="18" t="s">
        <v>3537</v>
      </c>
      <c r="E413" s="18" t="s">
        <v>3538</v>
      </c>
      <c r="F413" s="18" t="s">
        <v>1768</v>
      </c>
      <c r="G413" s="18" t="s">
        <v>3539</v>
      </c>
      <c r="H413" s="17" t="s">
        <v>23</v>
      </c>
      <c r="I413" s="25">
        <v>17692</v>
      </c>
      <c r="J413" s="26">
        <v>17692</v>
      </c>
      <c r="K413" s="22" t="s">
        <v>3540</v>
      </c>
      <c r="L413" s="23">
        <v>3</v>
      </c>
      <c r="M413" s="23">
        <v>6</v>
      </c>
      <c r="N413" s="24">
        <f t="shared" si="6"/>
        <v>6</v>
      </c>
      <c r="O413" s="17" t="s">
        <v>27</v>
      </c>
      <c r="P413" s="18" t="s">
        <v>3541</v>
      </c>
      <c r="Q413" t="s">
        <v>3542</v>
      </c>
    </row>
    <row r="414" spans="1:17" ht="39" customHeight="1" x14ac:dyDescent="0.3">
      <c r="A414" s="17" t="s">
        <v>3543</v>
      </c>
      <c r="B414" s="18" t="s">
        <v>3544</v>
      </c>
      <c r="C414" s="18" t="s">
        <v>3545</v>
      </c>
      <c r="D414" s="18" t="s">
        <v>2088</v>
      </c>
      <c r="E414" s="18" t="s">
        <v>3546</v>
      </c>
      <c r="F414" s="18" t="s">
        <v>1147</v>
      </c>
      <c r="G414" s="18" t="s">
        <v>3547</v>
      </c>
      <c r="H414" s="17" t="s">
        <v>63</v>
      </c>
      <c r="I414" s="25"/>
      <c r="J414" s="26"/>
      <c r="K414" s="22"/>
      <c r="L414" s="23">
        <v>3</v>
      </c>
      <c r="M414" s="23">
        <v>6</v>
      </c>
      <c r="N414" s="24">
        <f t="shared" si="6"/>
        <v>6</v>
      </c>
      <c r="O414" s="17" t="s">
        <v>27</v>
      </c>
      <c r="P414" s="18" t="s">
        <v>3548</v>
      </c>
      <c r="Q414" t="s">
        <v>3015</v>
      </c>
    </row>
    <row r="415" spans="1:17" ht="39" customHeight="1" x14ac:dyDescent="0.3">
      <c r="A415" s="17" t="s">
        <v>3549</v>
      </c>
      <c r="B415" s="18" t="s">
        <v>3550</v>
      </c>
      <c r="C415" s="18" t="s">
        <v>3551</v>
      </c>
      <c r="D415" s="18" t="s">
        <v>3270</v>
      </c>
      <c r="E415" s="18" t="s">
        <v>3552</v>
      </c>
      <c r="F415" s="18" t="s">
        <v>1697</v>
      </c>
      <c r="G415" s="18" t="s">
        <v>3553</v>
      </c>
      <c r="H415" s="17" t="s">
        <v>63</v>
      </c>
      <c r="I415" s="25"/>
      <c r="J415" s="26"/>
      <c r="K415" s="22"/>
      <c r="L415" s="23">
        <v>3</v>
      </c>
      <c r="M415" s="23">
        <v>6</v>
      </c>
      <c r="N415" s="59">
        <f t="shared" si="6"/>
        <v>6</v>
      </c>
      <c r="O415" s="17" t="s">
        <v>27</v>
      </c>
      <c r="P415" s="18" t="s">
        <v>3554</v>
      </c>
      <c r="Q415" t="s">
        <v>3251</v>
      </c>
    </row>
    <row r="416" spans="1:17" ht="39" customHeight="1" x14ac:dyDescent="0.3">
      <c r="A416" s="17" t="s">
        <v>3555</v>
      </c>
      <c r="B416" s="18" t="s">
        <v>3556</v>
      </c>
      <c r="C416" s="18" t="s">
        <v>3557</v>
      </c>
      <c r="D416" s="18" t="s">
        <v>3558</v>
      </c>
      <c r="E416" s="18" t="s">
        <v>3559</v>
      </c>
      <c r="F416" s="18" t="s">
        <v>1768</v>
      </c>
      <c r="G416" s="18" t="s">
        <v>3560</v>
      </c>
      <c r="H416" s="17" t="s">
        <v>23</v>
      </c>
      <c r="I416" s="25">
        <v>16566</v>
      </c>
      <c r="J416" s="26">
        <v>16566</v>
      </c>
      <c r="K416" s="22" t="s">
        <v>3561</v>
      </c>
      <c r="L416" s="23">
        <v>3.5</v>
      </c>
      <c r="M416" s="23">
        <v>7</v>
      </c>
      <c r="N416" s="59">
        <f t="shared" si="6"/>
        <v>7</v>
      </c>
      <c r="O416" s="17" t="s">
        <v>27</v>
      </c>
      <c r="P416" s="18" t="s">
        <v>3562</v>
      </c>
      <c r="Q416" t="s">
        <v>3563</v>
      </c>
    </row>
    <row r="417" spans="1:17" ht="39" customHeight="1" x14ac:dyDescent="0.3">
      <c r="A417" s="17" t="s">
        <v>3564</v>
      </c>
      <c r="B417" s="18" t="s">
        <v>3565</v>
      </c>
      <c r="C417" s="18" t="s">
        <v>3566</v>
      </c>
      <c r="D417" s="18" t="s">
        <v>3567</v>
      </c>
      <c r="E417" s="18" t="s">
        <v>3568</v>
      </c>
      <c r="F417" s="18" t="s">
        <v>1147</v>
      </c>
      <c r="G417" s="18" t="s">
        <v>3569</v>
      </c>
      <c r="H417" s="17" t="s">
        <v>63</v>
      </c>
      <c r="I417" s="25"/>
      <c r="J417" s="26"/>
      <c r="K417" s="22"/>
      <c r="L417" s="23">
        <v>3.5</v>
      </c>
      <c r="M417" s="23">
        <v>7</v>
      </c>
      <c r="N417" s="59">
        <f t="shared" si="6"/>
        <v>7</v>
      </c>
      <c r="O417" s="17" t="s">
        <v>27</v>
      </c>
      <c r="P417" s="18" t="s">
        <v>3570</v>
      </c>
      <c r="Q417" t="s">
        <v>3147</v>
      </c>
    </row>
    <row r="418" spans="1:17" ht="39" customHeight="1" x14ac:dyDescent="0.3">
      <c r="A418" s="17" t="s">
        <v>3571</v>
      </c>
      <c r="B418" s="18" t="s">
        <v>3572</v>
      </c>
      <c r="C418" s="18" t="s">
        <v>3573</v>
      </c>
      <c r="D418" s="18" t="s">
        <v>3574</v>
      </c>
      <c r="E418" s="18" t="s">
        <v>3575</v>
      </c>
      <c r="F418" s="18" t="s">
        <v>1697</v>
      </c>
      <c r="G418" s="18" t="s">
        <v>3576</v>
      </c>
      <c r="H418" s="17" t="s">
        <v>63</v>
      </c>
      <c r="I418" s="25"/>
      <c r="J418" s="26"/>
      <c r="K418" s="22"/>
      <c r="L418" s="23">
        <v>4</v>
      </c>
      <c r="M418" s="23">
        <v>8</v>
      </c>
      <c r="N418" s="59">
        <f t="shared" si="6"/>
        <v>8</v>
      </c>
      <c r="O418" s="17" t="s">
        <v>27</v>
      </c>
      <c r="P418" s="18" t="s">
        <v>3577</v>
      </c>
      <c r="Q418" t="s">
        <v>3578</v>
      </c>
    </row>
    <row r="419" spans="1:17" ht="39" customHeight="1" x14ac:dyDescent="0.3">
      <c r="A419" s="17" t="s">
        <v>3579</v>
      </c>
      <c r="B419" s="18" t="s">
        <v>3580</v>
      </c>
      <c r="C419" s="18" t="s">
        <v>3581</v>
      </c>
      <c r="D419" s="18" t="s">
        <v>2088</v>
      </c>
      <c r="E419" s="18" t="s">
        <v>3582</v>
      </c>
      <c r="F419" s="18" t="s">
        <v>1768</v>
      </c>
      <c r="G419" s="18" t="s">
        <v>3583</v>
      </c>
      <c r="H419" s="17" t="s">
        <v>23</v>
      </c>
      <c r="I419" s="25">
        <v>15724</v>
      </c>
      <c r="J419" s="26">
        <v>15724</v>
      </c>
      <c r="K419" s="22" t="s">
        <v>3584</v>
      </c>
      <c r="L419" s="23">
        <v>4.5</v>
      </c>
      <c r="M419" s="23">
        <v>9</v>
      </c>
      <c r="N419" s="59">
        <f t="shared" si="6"/>
        <v>9</v>
      </c>
      <c r="O419" s="17" t="s">
        <v>27</v>
      </c>
      <c r="P419" s="18" t="s">
        <v>3585</v>
      </c>
      <c r="Q419" t="s">
        <v>3586</v>
      </c>
    </row>
    <row r="420" spans="1:17" ht="39" customHeight="1" x14ac:dyDescent="0.3">
      <c r="A420" s="17" t="s">
        <v>3587</v>
      </c>
      <c r="B420" s="18" t="s">
        <v>3588</v>
      </c>
      <c r="C420" s="18" t="s">
        <v>3589</v>
      </c>
      <c r="D420" s="18" t="s">
        <v>2507</v>
      </c>
      <c r="E420" s="18" t="s">
        <v>3590</v>
      </c>
      <c r="F420" s="18" t="s">
        <v>3591</v>
      </c>
      <c r="G420" s="18" t="s">
        <v>3592</v>
      </c>
      <c r="H420" s="17" t="s">
        <v>63</v>
      </c>
      <c r="I420" s="25"/>
      <c r="J420" s="26"/>
      <c r="K420" s="22"/>
      <c r="L420" s="23">
        <v>3</v>
      </c>
      <c r="M420" s="23">
        <v>6</v>
      </c>
      <c r="N420" s="59">
        <f t="shared" si="6"/>
        <v>6</v>
      </c>
      <c r="O420" s="17" t="s">
        <v>27</v>
      </c>
      <c r="P420" s="18" t="s">
        <v>3593</v>
      </c>
      <c r="Q420" t="s">
        <v>3594</v>
      </c>
    </row>
    <row r="421" spans="1:17" ht="39" customHeight="1" x14ac:dyDescent="0.3">
      <c r="A421" s="17" t="s">
        <v>3619</v>
      </c>
      <c r="B421" s="18" t="s">
        <v>3620</v>
      </c>
      <c r="C421" s="18" t="s">
        <v>3621</v>
      </c>
      <c r="D421" s="18" t="s">
        <v>2295</v>
      </c>
      <c r="E421" s="18" t="s">
        <v>3622</v>
      </c>
      <c r="F421" s="18" t="s">
        <v>3623</v>
      </c>
      <c r="G421" s="18" t="s">
        <v>3624</v>
      </c>
      <c r="H421" s="17" t="s">
        <v>23</v>
      </c>
      <c r="I421" s="25">
        <v>20002</v>
      </c>
      <c r="J421" s="26">
        <v>20002</v>
      </c>
      <c r="K421" s="22" t="s">
        <v>3625</v>
      </c>
      <c r="L421" s="23">
        <v>3.5</v>
      </c>
      <c r="M421" s="23">
        <v>7</v>
      </c>
      <c r="N421" s="24">
        <f>MAX(L419,M419)</f>
        <v>9</v>
      </c>
      <c r="O421" s="17" t="s">
        <v>27</v>
      </c>
      <c r="P421" s="18" t="s">
        <v>3626</v>
      </c>
      <c r="Q421" t="s">
        <v>3627</v>
      </c>
    </row>
    <row r="422" spans="1:17" ht="39" customHeight="1" x14ac:dyDescent="0.3">
      <c r="A422" s="17" t="s">
        <v>3628</v>
      </c>
      <c r="B422" s="18" t="s">
        <v>3629</v>
      </c>
      <c r="C422" s="18" t="s">
        <v>3630</v>
      </c>
      <c r="D422" s="18" t="s">
        <v>3631</v>
      </c>
      <c r="E422" s="18" t="s">
        <v>3632</v>
      </c>
      <c r="F422" s="18" t="s">
        <v>1768</v>
      </c>
      <c r="G422" s="18" t="s">
        <v>3633</v>
      </c>
      <c r="H422" s="17" t="s">
        <v>23</v>
      </c>
      <c r="I422" s="25">
        <v>3064</v>
      </c>
      <c r="J422" s="26">
        <v>3064</v>
      </c>
      <c r="K422" s="22" t="s">
        <v>3634</v>
      </c>
      <c r="L422" s="23">
        <v>4</v>
      </c>
      <c r="M422" s="23">
        <v>8</v>
      </c>
      <c r="N422" s="24">
        <f>MAX(L420,M420)</f>
        <v>6</v>
      </c>
      <c r="O422" s="17" t="s">
        <v>27</v>
      </c>
      <c r="P422" s="18" t="s">
        <v>3635</v>
      </c>
      <c r="Q422" t="s">
        <v>3636</v>
      </c>
    </row>
    <row r="423" spans="1:17" ht="39" customHeight="1" x14ac:dyDescent="0.3">
      <c r="A423" s="17" t="s">
        <v>3595</v>
      </c>
      <c r="B423" s="18" t="s">
        <v>3596</v>
      </c>
      <c r="C423" s="18" t="s">
        <v>3597</v>
      </c>
      <c r="D423" s="18" t="s">
        <v>3598</v>
      </c>
      <c r="E423" s="18" t="s">
        <v>3599</v>
      </c>
      <c r="F423" s="18" t="s">
        <v>1697</v>
      </c>
      <c r="G423" s="18" t="s">
        <v>3600</v>
      </c>
      <c r="H423" s="17" t="s">
        <v>63</v>
      </c>
      <c r="I423" s="25"/>
      <c r="J423" s="26"/>
      <c r="K423" s="22"/>
      <c r="L423" s="23">
        <v>3</v>
      </c>
      <c r="M423" s="23">
        <v>6</v>
      </c>
      <c r="N423" s="24">
        <f t="shared" ref="N423:N454" si="7">MAX(L423,M423)</f>
        <v>6</v>
      </c>
      <c r="O423" s="17" t="s">
        <v>27</v>
      </c>
      <c r="P423" s="18" t="s">
        <v>3601</v>
      </c>
      <c r="Q423" t="s">
        <v>3602</v>
      </c>
    </row>
    <row r="424" spans="1:17" ht="39" customHeight="1" x14ac:dyDescent="0.3">
      <c r="A424" s="17" t="s">
        <v>3603</v>
      </c>
      <c r="B424" s="18" t="s">
        <v>3604</v>
      </c>
      <c r="C424" s="18" t="s">
        <v>3605</v>
      </c>
      <c r="D424" s="18" t="s">
        <v>3606</v>
      </c>
      <c r="E424" s="18" t="s">
        <v>3607</v>
      </c>
      <c r="F424" s="18" t="s">
        <v>1768</v>
      </c>
      <c r="G424" s="18" t="s">
        <v>3608</v>
      </c>
      <c r="H424" s="17" t="s">
        <v>23</v>
      </c>
      <c r="I424" s="25">
        <v>4669</v>
      </c>
      <c r="J424" s="26">
        <v>4669</v>
      </c>
      <c r="K424" s="22" t="s">
        <v>3609</v>
      </c>
      <c r="L424" s="23">
        <v>3.5</v>
      </c>
      <c r="M424" s="23">
        <v>7</v>
      </c>
      <c r="N424" s="24">
        <f t="shared" si="7"/>
        <v>7</v>
      </c>
      <c r="O424" s="17" t="s">
        <v>27</v>
      </c>
      <c r="P424" s="18" t="s">
        <v>3610</v>
      </c>
      <c r="Q424" t="s">
        <v>3611</v>
      </c>
    </row>
    <row r="425" spans="1:17" ht="39" customHeight="1" x14ac:dyDescent="0.3">
      <c r="A425" s="17" t="s">
        <v>3612</v>
      </c>
      <c r="B425" s="18" t="s">
        <v>3613</v>
      </c>
      <c r="C425" s="18" t="s">
        <v>3614</v>
      </c>
      <c r="D425" s="18" t="s">
        <v>3031</v>
      </c>
      <c r="E425" s="18" t="s">
        <v>3615</v>
      </c>
      <c r="F425" s="18" t="s">
        <v>1147</v>
      </c>
      <c r="G425" s="18" t="s">
        <v>3616</v>
      </c>
      <c r="H425" s="17" t="s">
        <v>63</v>
      </c>
      <c r="I425" s="25"/>
      <c r="J425" s="26"/>
      <c r="K425" s="22"/>
      <c r="L425" s="23">
        <v>4</v>
      </c>
      <c r="M425" s="23">
        <v>8</v>
      </c>
      <c r="N425" s="24">
        <f t="shared" si="7"/>
        <v>8</v>
      </c>
      <c r="O425" s="17" t="s">
        <v>27</v>
      </c>
      <c r="P425" s="18" t="s">
        <v>3617</v>
      </c>
      <c r="Q425" t="s">
        <v>3618</v>
      </c>
    </row>
    <row r="426" spans="1:17" ht="39" customHeight="1" x14ac:dyDescent="0.3">
      <c r="A426" s="17" t="s">
        <v>3645</v>
      </c>
      <c r="B426" s="18" t="s">
        <v>3638</v>
      </c>
      <c r="C426" s="18" t="s">
        <v>3639</v>
      </c>
      <c r="D426" s="18" t="s">
        <v>3640</v>
      </c>
      <c r="E426" s="18" t="s">
        <v>3641</v>
      </c>
      <c r="F426" s="18" t="s">
        <v>3591</v>
      </c>
      <c r="G426" s="18" t="s">
        <v>3642</v>
      </c>
      <c r="H426" s="17" t="s">
        <v>63</v>
      </c>
      <c r="I426" s="25"/>
      <c r="J426" s="26"/>
      <c r="K426" s="22"/>
      <c r="L426" s="23">
        <v>4.5</v>
      </c>
      <c r="M426" s="23">
        <v>9</v>
      </c>
      <c r="N426" s="24">
        <f t="shared" si="7"/>
        <v>9</v>
      </c>
      <c r="O426" s="17" t="s">
        <v>27</v>
      </c>
      <c r="P426" s="18" t="s">
        <v>3643</v>
      </c>
      <c r="Q426" t="s">
        <v>3644</v>
      </c>
    </row>
    <row r="427" spans="1:17" ht="39" customHeight="1" x14ac:dyDescent="0.3">
      <c r="A427" s="17" t="s">
        <v>3637</v>
      </c>
      <c r="B427" s="18" t="s">
        <v>3646</v>
      </c>
      <c r="C427" s="18" t="s">
        <v>3647</v>
      </c>
      <c r="D427" s="18" t="s">
        <v>2061</v>
      </c>
      <c r="E427" s="18" t="s">
        <v>3648</v>
      </c>
      <c r="F427" s="18" t="s">
        <v>1697</v>
      </c>
      <c r="G427" s="18" t="s">
        <v>3649</v>
      </c>
      <c r="H427" s="17" t="s">
        <v>63</v>
      </c>
      <c r="I427" s="25"/>
      <c r="J427" s="26"/>
      <c r="K427" s="22"/>
      <c r="L427" s="23">
        <v>3</v>
      </c>
      <c r="M427" s="23">
        <v>6</v>
      </c>
      <c r="N427" s="24">
        <f t="shared" si="7"/>
        <v>6</v>
      </c>
      <c r="O427" s="17" t="s">
        <v>27</v>
      </c>
      <c r="P427" s="18" t="s">
        <v>3650</v>
      </c>
      <c r="Q427" t="s">
        <v>3651</v>
      </c>
    </row>
    <row r="428" spans="1:17" ht="39" customHeight="1" x14ac:dyDescent="0.3">
      <c r="A428" s="17" t="s">
        <v>3652</v>
      </c>
      <c r="B428" s="18" t="s">
        <v>3653</v>
      </c>
      <c r="C428" s="18" t="s">
        <v>3654</v>
      </c>
      <c r="D428" s="18" t="s">
        <v>3655</v>
      </c>
      <c r="E428" s="18" t="s">
        <v>3656</v>
      </c>
      <c r="F428" s="18" t="s">
        <v>1697</v>
      </c>
      <c r="G428" s="18" t="s">
        <v>3657</v>
      </c>
      <c r="H428" s="17" t="s">
        <v>63</v>
      </c>
      <c r="I428" s="25"/>
      <c r="J428" s="26"/>
      <c r="K428" s="22"/>
      <c r="L428" s="23">
        <v>3.5</v>
      </c>
      <c r="M428" s="23">
        <v>7</v>
      </c>
      <c r="N428" s="24">
        <f t="shared" si="7"/>
        <v>7</v>
      </c>
      <c r="O428" s="17" t="s">
        <v>27</v>
      </c>
      <c r="P428" s="18" t="s">
        <v>3658</v>
      </c>
      <c r="Q428" t="s">
        <v>3659</v>
      </c>
    </row>
    <row r="429" spans="1:17" ht="39" customHeight="1" x14ac:dyDescent="0.3">
      <c r="A429" s="17" t="s">
        <v>3660</v>
      </c>
      <c r="B429" s="18" t="s">
        <v>3661</v>
      </c>
      <c r="C429" s="18" t="s">
        <v>3662</v>
      </c>
      <c r="D429" s="18" t="s">
        <v>3270</v>
      </c>
      <c r="E429" s="18" t="s">
        <v>3663</v>
      </c>
      <c r="F429" s="18" t="s">
        <v>1697</v>
      </c>
      <c r="G429" s="18" t="s">
        <v>3664</v>
      </c>
      <c r="H429" s="17" t="s">
        <v>63</v>
      </c>
      <c r="I429" s="25"/>
      <c r="J429" s="26"/>
      <c r="K429" s="22"/>
      <c r="L429" s="23">
        <v>3.5</v>
      </c>
      <c r="M429" s="23">
        <v>7</v>
      </c>
      <c r="N429" s="24">
        <f t="shared" si="7"/>
        <v>7</v>
      </c>
      <c r="O429" s="17" t="s">
        <v>27</v>
      </c>
      <c r="P429" s="18" t="s">
        <v>3665</v>
      </c>
      <c r="Q429" t="s">
        <v>3666</v>
      </c>
    </row>
    <row r="430" spans="1:17" ht="39" customHeight="1" x14ac:dyDescent="0.3">
      <c r="A430" s="17" t="s">
        <v>3667</v>
      </c>
      <c r="B430" s="18" t="s">
        <v>3668</v>
      </c>
      <c r="C430" s="18" t="s">
        <v>3669</v>
      </c>
      <c r="D430" s="18" t="s">
        <v>3670</v>
      </c>
      <c r="E430" s="18" t="s">
        <v>3671</v>
      </c>
      <c r="F430" s="18" t="s">
        <v>3623</v>
      </c>
      <c r="G430" s="18" t="s">
        <v>3672</v>
      </c>
      <c r="H430" s="17" t="s">
        <v>23</v>
      </c>
      <c r="I430" s="25">
        <v>16236</v>
      </c>
      <c r="J430" s="26">
        <v>16236</v>
      </c>
      <c r="K430" s="22" t="s">
        <v>3673</v>
      </c>
      <c r="L430" s="23">
        <v>3.5</v>
      </c>
      <c r="M430" s="23">
        <v>7</v>
      </c>
      <c r="N430" s="24">
        <f t="shared" si="7"/>
        <v>7</v>
      </c>
      <c r="O430" s="17" t="s">
        <v>27</v>
      </c>
      <c r="P430" s="18" t="s">
        <v>3674</v>
      </c>
      <c r="Q430" t="s">
        <v>3675</v>
      </c>
    </row>
    <row r="431" spans="1:17" ht="39" customHeight="1" x14ac:dyDescent="0.3">
      <c r="A431" s="17" t="s">
        <v>3676</v>
      </c>
      <c r="B431" s="18" t="s">
        <v>3677</v>
      </c>
      <c r="C431" s="18" t="s">
        <v>3678</v>
      </c>
      <c r="D431" s="18" t="s">
        <v>3679</v>
      </c>
      <c r="E431" s="18" t="s">
        <v>3680</v>
      </c>
      <c r="F431" s="18" t="s">
        <v>1697</v>
      </c>
      <c r="G431" s="18" t="s">
        <v>3681</v>
      </c>
      <c r="H431" s="17" t="s">
        <v>63</v>
      </c>
      <c r="I431" s="25"/>
      <c r="J431" s="26"/>
      <c r="K431" s="22"/>
      <c r="L431" s="23">
        <v>3</v>
      </c>
      <c r="M431" s="23">
        <v>6</v>
      </c>
      <c r="N431" s="24">
        <f t="shared" si="7"/>
        <v>6</v>
      </c>
      <c r="O431" s="17" t="s">
        <v>27</v>
      </c>
      <c r="P431" s="18" t="s">
        <v>3682</v>
      </c>
      <c r="Q431" t="s">
        <v>3683</v>
      </c>
    </row>
    <row r="432" spans="1:17" ht="39" customHeight="1" x14ac:dyDescent="0.3">
      <c r="A432" s="17" t="s">
        <v>3684</v>
      </c>
      <c r="B432" s="18" t="s">
        <v>3685</v>
      </c>
      <c r="C432" s="18" t="s">
        <v>3686</v>
      </c>
      <c r="D432" s="18" t="s">
        <v>3687</v>
      </c>
      <c r="E432" s="18" t="s">
        <v>3688</v>
      </c>
      <c r="F432" s="18" t="s">
        <v>1768</v>
      </c>
      <c r="G432" s="18" t="s">
        <v>3689</v>
      </c>
      <c r="H432" s="17" t="s">
        <v>23</v>
      </c>
      <c r="I432" s="25"/>
      <c r="J432" s="26"/>
      <c r="K432" s="22" t="s">
        <v>3690</v>
      </c>
      <c r="L432" s="23">
        <v>3.5</v>
      </c>
      <c r="M432" s="23">
        <v>7</v>
      </c>
      <c r="N432" s="24">
        <f t="shared" si="7"/>
        <v>7</v>
      </c>
      <c r="O432" s="17" t="s">
        <v>27</v>
      </c>
      <c r="P432" s="18" t="s">
        <v>3691</v>
      </c>
      <c r="Q432" t="s">
        <v>3692</v>
      </c>
    </row>
    <row r="433" spans="1:17" ht="39" customHeight="1" x14ac:dyDescent="0.3">
      <c r="A433" s="17" t="s">
        <v>3693</v>
      </c>
      <c r="B433" s="18" t="s">
        <v>3694</v>
      </c>
      <c r="C433" s="18" t="s">
        <v>3695</v>
      </c>
      <c r="D433" s="18" t="s">
        <v>3696</v>
      </c>
      <c r="E433" s="18" t="s">
        <v>3697</v>
      </c>
      <c r="F433" s="18" t="s">
        <v>1768</v>
      </c>
      <c r="G433" s="18" t="s">
        <v>3698</v>
      </c>
      <c r="H433" s="17" t="s">
        <v>23</v>
      </c>
      <c r="I433" s="25">
        <v>6012</v>
      </c>
      <c r="J433" s="26">
        <v>6012</v>
      </c>
      <c r="K433" s="22" t="s">
        <v>3699</v>
      </c>
      <c r="L433" s="23">
        <v>4</v>
      </c>
      <c r="M433" s="23">
        <v>8</v>
      </c>
      <c r="N433" s="24">
        <f t="shared" si="7"/>
        <v>8</v>
      </c>
      <c r="O433" s="17" t="s">
        <v>27</v>
      </c>
      <c r="P433" s="18" t="s">
        <v>3700</v>
      </c>
      <c r="Q433" t="s">
        <v>3701</v>
      </c>
    </row>
    <row r="434" spans="1:17" ht="39" customHeight="1" x14ac:dyDescent="0.3">
      <c r="A434" s="17" t="s">
        <v>3702</v>
      </c>
      <c r="B434" s="18" t="s">
        <v>3703</v>
      </c>
      <c r="C434" s="18" t="s">
        <v>3704</v>
      </c>
      <c r="D434" s="18" t="s">
        <v>2088</v>
      </c>
      <c r="E434" s="18" t="s">
        <v>3705</v>
      </c>
      <c r="F434" s="18" t="s">
        <v>1768</v>
      </c>
      <c r="G434" s="18" t="s">
        <v>3706</v>
      </c>
      <c r="H434" s="17" t="s">
        <v>23</v>
      </c>
      <c r="I434" s="25"/>
      <c r="J434" s="26"/>
      <c r="K434" s="22" t="s">
        <v>3707</v>
      </c>
      <c r="L434" s="23">
        <v>3.5</v>
      </c>
      <c r="M434" s="23">
        <v>7</v>
      </c>
      <c r="N434" s="24">
        <f t="shared" si="7"/>
        <v>7</v>
      </c>
      <c r="O434" s="17" t="s">
        <v>27</v>
      </c>
      <c r="P434" s="18" t="s">
        <v>3708</v>
      </c>
      <c r="Q434" t="s">
        <v>3709</v>
      </c>
    </row>
    <row r="435" spans="1:17" ht="39" customHeight="1" x14ac:dyDescent="0.3">
      <c r="A435" s="17" t="s">
        <v>3710</v>
      </c>
      <c r="B435" s="18" t="s">
        <v>3711</v>
      </c>
      <c r="C435" s="18" t="s">
        <v>3712</v>
      </c>
      <c r="D435" s="18" t="s">
        <v>3713</v>
      </c>
      <c r="E435" s="18" t="s">
        <v>3714</v>
      </c>
      <c r="F435" s="18" t="s">
        <v>1147</v>
      </c>
      <c r="G435" s="18" t="s">
        <v>3715</v>
      </c>
      <c r="H435" s="17" t="s">
        <v>63</v>
      </c>
      <c r="I435" s="25"/>
      <c r="J435" s="26"/>
      <c r="K435" s="22"/>
      <c r="L435" s="23">
        <v>3.5</v>
      </c>
      <c r="M435" s="23">
        <v>7</v>
      </c>
      <c r="N435" s="24">
        <f t="shared" si="7"/>
        <v>7</v>
      </c>
      <c r="O435" s="17" t="s">
        <v>27</v>
      </c>
      <c r="P435" s="18" t="s">
        <v>3716</v>
      </c>
      <c r="Q435" t="s">
        <v>3717</v>
      </c>
    </row>
    <row r="436" spans="1:17" ht="39" customHeight="1" x14ac:dyDescent="0.3">
      <c r="A436" s="17" t="s">
        <v>3718</v>
      </c>
      <c r="B436" s="18" t="s">
        <v>3719</v>
      </c>
      <c r="C436" s="18" t="s">
        <v>3720</v>
      </c>
      <c r="D436" s="18" t="s">
        <v>3721</v>
      </c>
      <c r="E436" s="18" t="s">
        <v>3722</v>
      </c>
      <c r="F436" s="18" t="s">
        <v>3623</v>
      </c>
      <c r="G436" s="18" t="s">
        <v>3723</v>
      </c>
      <c r="H436" s="17" t="s">
        <v>3724</v>
      </c>
      <c r="I436" s="25">
        <v>4852</v>
      </c>
      <c r="J436" s="26">
        <v>4852</v>
      </c>
      <c r="K436" s="22" t="s">
        <v>3725</v>
      </c>
      <c r="L436" s="23">
        <v>3.5</v>
      </c>
      <c r="M436" s="23">
        <v>7</v>
      </c>
      <c r="N436" s="24">
        <f t="shared" si="7"/>
        <v>7</v>
      </c>
      <c r="O436" s="17" t="s">
        <v>27</v>
      </c>
      <c r="P436" s="18" t="s">
        <v>3726</v>
      </c>
      <c r="Q436" t="s">
        <v>3727</v>
      </c>
    </row>
    <row r="437" spans="1:17" ht="39" customHeight="1" x14ac:dyDescent="0.3">
      <c r="A437" s="17" t="s">
        <v>3728</v>
      </c>
      <c r="B437" s="18" t="s">
        <v>3729</v>
      </c>
      <c r="C437" s="18" t="s">
        <v>3730</v>
      </c>
      <c r="D437" s="18" t="s">
        <v>3731</v>
      </c>
      <c r="E437" s="18" t="s">
        <v>3732</v>
      </c>
      <c r="F437" s="18" t="s">
        <v>1768</v>
      </c>
      <c r="G437" s="18" t="s">
        <v>3733</v>
      </c>
      <c r="H437" s="17" t="s">
        <v>23</v>
      </c>
      <c r="I437" s="25">
        <v>3429</v>
      </c>
      <c r="J437" s="26">
        <v>3429</v>
      </c>
      <c r="K437" s="22" t="s">
        <v>3734</v>
      </c>
      <c r="L437" s="23">
        <v>8</v>
      </c>
      <c r="M437" s="23">
        <v>16</v>
      </c>
      <c r="N437" s="24">
        <f t="shared" si="7"/>
        <v>16</v>
      </c>
      <c r="O437" s="17" t="s">
        <v>27</v>
      </c>
      <c r="P437" s="18" t="s">
        <v>3735</v>
      </c>
      <c r="Q437" t="s">
        <v>3736</v>
      </c>
    </row>
    <row r="438" spans="1:17" ht="39" customHeight="1" x14ac:dyDescent="0.3">
      <c r="A438" s="17" t="s">
        <v>3737</v>
      </c>
      <c r="B438" s="18" t="s">
        <v>3738</v>
      </c>
      <c r="C438" s="18" t="s">
        <v>3739</v>
      </c>
      <c r="D438" s="18" t="s">
        <v>3740</v>
      </c>
      <c r="E438" s="18" t="s">
        <v>3741</v>
      </c>
      <c r="F438" s="18" t="s">
        <v>1697</v>
      </c>
      <c r="G438" s="18" t="s">
        <v>3742</v>
      </c>
      <c r="H438" s="17" t="s">
        <v>63</v>
      </c>
      <c r="I438" s="25"/>
      <c r="J438" s="26"/>
      <c r="K438" s="22"/>
      <c r="L438" s="23">
        <v>3.5</v>
      </c>
      <c r="M438" s="23">
        <v>7</v>
      </c>
      <c r="N438" s="24">
        <f t="shared" si="7"/>
        <v>7</v>
      </c>
      <c r="O438" s="17" t="s">
        <v>27</v>
      </c>
      <c r="P438" s="18" t="s">
        <v>3743</v>
      </c>
      <c r="Q438" t="s">
        <v>3744</v>
      </c>
    </row>
    <row r="439" spans="1:17" ht="39" customHeight="1" x14ac:dyDescent="0.3">
      <c r="A439" s="17" t="s">
        <v>3745</v>
      </c>
      <c r="B439" s="18" t="s">
        <v>3746</v>
      </c>
      <c r="C439" s="18" t="s">
        <v>3747</v>
      </c>
      <c r="D439" s="18" t="s">
        <v>2142</v>
      </c>
      <c r="E439" s="18" t="s">
        <v>3748</v>
      </c>
      <c r="F439" s="18" t="s">
        <v>1768</v>
      </c>
      <c r="G439" s="18" t="s">
        <v>3749</v>
      </c>
      <c r="H439" s="17" t="s">
        <v>23</v>
      </c>
      <c r="I439" s="25">
        <v>5332</v>
      </c>
      <c r="J439" s="26">
        <v>5332</v>
      </c>
      <c r="K439" s="22" t="s">
        <v>3750</v>
      </c>
      <c r="L439" s="23">
        <v>7</v>
      </c>
      <c r="M439" s="23">
        <v>14</v>
      </c>
      <c r="N439" s="24">
        <f t="shared" si="7"/>
        <v>14</v>
      </c>
      <c r="O439" s="17" t="s">
        <v>27</v>
      </c>
      <c r="P439" s="18" t="s">
        <v>3751</v>
      </c>
      <c r="Q439" t="s">
        <v>3752</v>
      </c>
    </row>
    <row r="440" spans="1:17" ht="39" customHeight="1" x14ac:dyDescent="0.3">
      <c r="A440" s="17" t="s">
        <v>3753</v>
      </c>
      <c r="B440" s="18" t="s">
        <v>3754</v>
      </c>
      <c r="C440" s="18" t="s">
        <v>3755</v>
      </c>
      <c r="D440" s="18" t="s">
        <v>3756</v>
      </c>
      <c r="E440" s="18" t="s">
        <v>3757</v>
      </c>
      <c r="F440" s="18" t="s">
        <v>1147</v>
      </c>
      <c r="G440" s="18" t="s">
        <v>3758</v>
      </c>
      <c r="H440" s="17" t="s">
        <v>63</v>
      </c>
      <c r="I440" s="25"/>
      <c r="J440" s="26"/>
      <c r="K440" s="22"/>
      <c r="L440" s="23">
        <v>3.5</v>
      </c>
      <c r="M440" s="23">
        <v>7</v>
      </c>
      <c r="N440" s="24">
        <f t="shared" si="7"/>
        <v>7</v>
      </c>
      <c r="O440" s="17" t="s">
        <v>27</v>
      </c>
      <c r="P440" s="18" t="s">
        <v>3759</v>
      </c>
      <c r="Q440" t="s">
        <v>3760</v>
      </c>
    </row>
    <row r="441" spans="1:17" ht="39" customHeight="1" x14ac:dyDescent="0.3">
      <c r="A441" s="17" t="s">
        <v>3761</v>
      </c>
      <c r="B441" s="18" t="s">
        <v>3762</v>
      </c>
      <c r="C441" s="18" t="s">
        <v>3763</v>
      </c>
      <c r="D441" s="18" t="s">
        <v>3764</v>
      </c>
      <c r="E441" s="18" t="s">
        <v>3765</v>
      </c>
      <c r="F441" s="18" t="s">
        <v>1147</v>
      </c>
      <c r="G441" s="18" t="s">
        <v>3766</v>
      </c>
      <c r="H441" s="17" t="s">
        <v>63</v>
      </c>
      <c r="I441" s="25"/>
      <c r="J441" s="26"/>
      <c r="K441" s="22"/>
      <c r="L441" s="23">
        <v>3.5</v>
      </c>
      <c r="M441" s="23">
        <v>7</v>
      </c>
      <c r="N441" s="24">
        <f t="shared" si="7"/>
        <v>7</v>
      </c>
      <c r="O441" s="17" t="s">
        <v>27</v>
      </c>
      <c r="P441" s="18" t="s">
        <v>3767</v>
      </c>
      <c r="Q441" t="s">
        <v>3768</v>
      </c>
    </row>
    <row r="442" spans="1:17" ht="39" customHeight="1" x14ac:dyDescent="0.3">
      <c r="A442" s="17" t="s">
        <v>3769</v>
      </c>
      <c r="B442" s="18" t="s">
        <v>3036</v>
      </c>
      <c r="C442" s="18" t="s">
        <v>3772</v>
      </c>
      <c r="D442" s="18" t="s">
        <v>3788</v>
      </c>
      <c r="E442" s="18" t="s">
        <v>3773</v>
      </c>
      <c r="F442" s="18" t="s">
        <v>1697</v>
      </c>
      <c r="G442" s="18" t="s">
        <v>3774</v>
      </c>
      <c r="H442" s="17" t="s">
        <v>63</v>
      </c>
      <c r="I442" s="25"/>
      <c r="J442" s="26"/>
      <c r="K442" s="22"/>
      <c r="L442" s="23">
        <v>3.5</v>
      </c>
      <c r="M442" s="23">
        <v>7</v>
      </c>
      <c r="N442" s="24">
        <f t="shared" si="7"/>
        <v>7</v>
      </c>
      <c r="O442" s="17" t="s">
        <v>27</v>
      </c>
      <c r="P442" s="18" t="s">
        <v>3775</v>
      </c>
      <c r="Q442" t="s">
        <v>3744</v>
      </c>
    </row>
    <row r="443" spans="1:17" ht="39" customHeight="1" x14ac:dyDescent="0.3">
      <c r="A443" s="17" t="s">
        <v>3770</v>
      </c>
      <c r="B443" s="18" t="s">
        <v>3776</v>
      </c>
      <c r="C443" s="18" t="s">
        <v>3777</v>
      </c>
      <c r="D443" s="18" t="s">
        <v>3789</v>
      </c>
      <c r="E443" s="18" t="s">
        <v>3778</v>
      </c>
      <c r="F443" s="18" t="s">
        <v>1768</v>
      </c>
      <c r="G443" s="18" t="s">
        <v>3779</v>
      </c>
      <c r="H443" s="17" t="s">
        <v>23</v>
      </c>
      <c r="I443" s="25" t="s">
        <v>3780</v>
      </c>
      <c r="J443" s="26" t="s">
        <v>3780</v>
      </c>
      <c r="K443" s="22" t="s">
        <v>3781</v>
      </c>
      <c r="L443" s="23">
        <v>3.5</v>
      </c>
      <c r="M443" s="23">
        <v>7</v>
      </c>
      <c r="N443" s="24">
        <f t="shared" si="7"/>
        <v>7</v>
      </c>
      <c r="O443" s="17" t="s">
        <v>27</v>
      </c>
      <c r="P443" s="18" t="s">
        <v>3782</v>
      </c>
      <c r="Q443" t="s">
        <v>3752</v>
      </c>
    </row>
    <row r="444" spans="1:17" ht="39" customHeight="1" x14ac:dyDescent="0.3">
      <c r="A444" s="17" t="s">
        <v>3771</v>
      </c>
      <c r="B444" s="18" t="s">
        <v>3783</v>
      </c>
      <c r="C444" s="18" t="s">
        <v>3784</v>
      </c>
      <c r="D444" s="18" t="s">
        <v>2530</v>
      </c>
      <c r="E444" s="18" t="s">
        <v>3785</v>
      </c>
      <c r="F444" s="18" t="s">
        <v>1147</v>
      </c>
      <c r="G444" s="18" t="s">
        <v>3786</v>
      </c>
      <c r="H444" s="17" t="s">
        <v>63</v>
      </c>
      <c r="I444" s="25"/>
      <c r="J444" s="26"/>
      <c r="K444" s="22"/>
      <c r="L444" s="23">
        <v>3.5</v>
      </c>
      <c r="M444" s="23">
        <v>7</v>
      </c>
      <c r="N444" s="24">
        <f t="shared" si="7"/>
        <v>7</v>
      </c>
      <c r="O444" s="17" t="s">
        <v>27</v>
      </c>
      <c r="P444" s="18" t="s">
        <v>3787</v>
      </c>
      <c r="Q444" t="s">
        <v>3760</v>
      </c>
    </row>
    <row r="445" spans="1:17" ht="39" customHeight="1" x14ac:dyDescent="0.3">
      <c r="A445" s="17" t="s">
        <v>3790</v>
      </c>
      <c r="B445" s="18" t="s">
        <v>4072</v>
      </c>
      <c r="C445" s="18" t="s">
        <v>4073</v>
      </c>
      <c r="D445" s="18" t="s">
        <v>4071</v>
      </c>
      <c r="E445" s="18" t="s">
        <v>4074</v>
      </c>
      <c r="F445" s="18" t="s">
        <v>4075</v>
      </c>
      <c r="G445" s="18" t="s">
        <v>4076</v>
      </c>
      <c r="H445" s="17" t="s">
        <v>63</v>
      </c>
      <c r="I445" s="25"/>
      <c r="J445" s="26"/>
      <c r="K445" s="22"/>
      <c r="L445" s="23">
        <v>4</v>
      </c>
      <c r="M445" s="23">
        <v>8</v>
      </c>
      <c r="N445" s="24">
        <f t="shared" si="7"/>
        <v>8</v>
      </c>
      <c r="O445" s="17" t="s">
        <v>27</v>
      </c>
      <c r="P445" s="18" t="s">
        <v>4077</v>
      </c>
      <c r="Q445" t="s">
        <v>4078</v>
      </c>
    </row>
    <row r="446" spans="1:17" ht="39" customHeight="1" x14ac:dyDescent="0.3">
      <c r="A446" s="17" t="s">
        <v>3791</v>
      </c>
      <c r="B446" s="18" t="s">
        <v>3792</v>
      </c>
      <c r="C446" s="18" t="s">
        <v>3793</v>
      </c>
      <c r="D446" s="18" t="s">
        <v>3794</v>
      </c>
      <c r="E446" s="18" t="s">
        <v>3795</v>
      </c>
      <c r="F446" s="18" t="s">
        <v>1697</v>
      </c>
      <c r="G446" s="18" t="s">
        <v>3796</v>
      </c>
      <c r="H446" s="17" t="s">
        <v>63</v>
      </c>
      <c r="I446" s="25"/>
      <c r="J446" s="26"/>
      <c r="K446" s="22"/>
      <c r="L446" s="23">
        <v>3</v>
      </c>
      <c r="M446" s="23">
        <v>6</v>
      </c>
      <c r="N446" s="24">
        <f t="shared" si="7"/>
        <v>6</v>
      </c>
      <c r="O446" s="17" t="s">
        <v>27</v>
      </c>
      <c r="P446" s="18" t="s">
        <v>3797</v>
      </c>
      <c r="Q446" t="s">
        <v>3744</v>
      </c>
    </row>
    <row r="447" spans="1:17" ht="39" customHeight="1" x14ac:dyDescent="0.3">
      <c r="A447" s="17" t="s">
        <v>3798</v>
      </c>
      <c r="B447" s="18" t="s">
        <v>3799</v>
      </c>
      <c r="C447" s="18" t="s">
        <v>3800</v>
      </c>
      <c r="D447" s="18" t="s">
        <v>2142</v>
      </c>
      <c r="E447" s="18" t="s">
        <v>3801</v>
      </c>
      <c r="F447" s="18" t="s">
        <v>1768</v>
      </c>
      <c r="G447" s="18" t="s">
        <v>3802</v>
      </c>
      <c r="H447" s="17" t="s">
        <v>23</v>
      </c>
      <c r="I447" s="25">
        <v>3321</v>
      </c>
      <c r="J447" s="26">
        <v>3321</v>
      </c>
      <c r="K447" s="22" t="s">
        <v>3803</v>
      </c>
      <c r="L447" s="23">
        <v>5</v>
      </c>
      <c r="M447" s="23">
        <v>10</v>
      </c>
      <c r="N447" s="24">
        <f t="shared" si="7"/>
        <v>10</v>
      </c>
      <c r="O447" s="17" t="s">
        <v>27</v>
      </c>
      <c r="P447" s="18" t="s">
        <v>3804</v>
      </c>
      <c r="Q447" t="s">
        <v>3736</v>
      </c>
    </row>
    <row r="448" spans="1:17" ht="39" customHeight="1" x14ac:dyDescent="0.3">
      <c r="A448" s="17" t="s">
        <v>3805</v>
      </c>
      <c r="B448" s="18" t="s">
        <v>3806</v>
      </c>
      <c r="C448" s="18" t="s">
        <v>3807</v>
      </c>
      <c r="D448" s="18" t="s">
        <v>3808</v>
      </c>
      <c r="E448" s="18" t="s">
        <v>3809</v>
      </c>
      <c r="F448" s="18" t="s">
        <v>1697</v>
      </c>
      <c r="G448" s="18" t="s">
        <v>3810</v>
      </c>
      <c r="H448" s="17" t="s">
        <v>63</v>
      </c>
      <c r="I448" s="25"/>
      <c r="J448" s="26"/>
      <c r="K448" s="22"/>
      <c r="L448" s="23">
        <v>3.5</v>
      </c>
      <c r="M448" s="23">
        <v>7</v>
      </c>
      <c r="N448" s="24">
        <f t="shared" si="7"/>
        <v>7</v>
      </c>
      <c r="O448" s="17" t="s">
        <v>27</v>
      </c>
      <c r="P448" s="18" t="s">
        <v>3811</v>
      </c>
      <c r="Q448" t="s">
        <v>3744</v>
      </c>
    </row>
    <row r="449" spans="1:17" ht="39" customHeight="1" x14ac:dyDescent="0.3">
      <c r="A449" s="17" t="s">
        <v>3812</v>
      </c>
      <c r="B449" s="18" t="s">
        <v>3813</v>
      </c>
      <c r="C449" s="18" t="s">
        <v>3814</v>
      </c>
      <c r="D449" s="18" t="s">
        <v>3815</v>
      </c>
      <c r="E449" s="18" t="s">
        <v>3816</v>
      </c>
      <c r="F449" s="18" t="s">
        <v>1147</v>
      </c>
      <c r="G449" s="18" t="s">
        <v>3817</v>
      </c>
      <c r="H449" s="17" t="s">
        <v>63</v>
      </c>
      <c r="I449" s="25"/>
      <c r="J449" s="26"/>
      <c r="K449" s="22"/>
      <c r="L449" s="23">
        <v>4.5</v>
      </c>
      <c r="M449" s="23">
        <v>9</v>
      </c>
      <c r="N449" s="24">
        <f t="shared" si="7"/>
        <v>9</v>
      </c>
      <c r="O449" s="17" t="s">
        <v>27</v>
      </c>
      <c r="P449" s="18" t="s">
        <v>3818</v>
      </c>
      <c r="Q449" t="s">
        <v>3760</v>
      </c>
    </row>
    <row r="450" spans="1:17" ht="39" customHeight="1" x14ac:dyDescent="0.3">
      <c r="A450" s="17" t="s">
        <v>3819</v>
      </c>
      <c r="B450" s="18" t="s">
        <v>3820</v>
      </c>
      <c r="C450" s="18" t="s">
        <v>3821</v>
      </c>
      <c r="D450" s="18" t="s">
        <v>3822</v>
      </c>
      <c r="E450" s="18" t="s">
        <v>3823</v>
      </c>
      <c r="F450" s="18" t="s">
        <v>1697</v>
      </c>
      <c r="G450" s="18" t="s">
        <v>3824</v>
      </c>
      <c r="H450" s="17" t="s">
        <v>63</v>
      </c>
      <c r="I450" s="25"/>
      <c r="J450" s="26"/>
      <c r="K450" s="22"/>
      <c r="L450" s="23">
        <v>3.5</v>
      </c>
      <c r="M450" s="23">
        <v>7</v>
      </c>
      <c r="N450" s="24">
        <f t="shared" si="7"/>
        <v>7</v>
      </c>
      <c r="O450" s="17" t="s">
        <v>27</v>
      </c>
      <c r="P450" s="18" t="s">
        <v>3825</v>
      </c>
      <c r="Q450" t="s">
        <v>3744</v>
      </c>
    </row>
    <row r="451" spans="1:17" ht="39" customHeight="1" x14ac:dyDescent="0.3">
      <c r="A451" s="17" t="s">
        <v>3826</v>
      </c>
      <c r="B451" s="18" t="s">
        <v>3832</v>
      </c>
      <c r="C451" s="18" t="s">
        <v>3833</v>
      </c>
      <c r="D451" s="18" t="s">
        <v>2142</v>
      </c>
      <c r="E451" s="18" t="s">
        <v>3834</v>
      </c>
      <c r="F451" s="18" t="s">
        <v>1768</v>
      </c>
      <c r="G451" s="18" t="s">
        <v>3835</v>
      </c>
      <c r="H451" s="17" t="s">
        <v>23</v>
      </c>
      <c r="I451" s="25">
        <v>4150</v>
      </c>
      <c r="J451" s="26">
        <v>4150</v>
      </c>
      <c r="K451" s="22" t="s">
        <v>3829</v>
      </c>
      <c r="L451" s="23">
        <v>6</v>
      </c>
      <c r="M451" s="23">
        <v>12</v>
      </c>
      <c r="N451" s="24">
        <f t="shared" si="7"/>
        <v>12</v>
      </c>
      <c r="O451" s="17" t="s">
        <v>27</v>
      </c>
      <c r="P451" s="18" t="s">
        <v>3836</v>
      </c>
      <c r="Q451" t="s">
        <v>3837</v>
      </c>
    </row>
    <row r="452" spans="1:17" ht="39" customHeight="1" x14ac:dyDescent="0.3">
      <c r="A452" s="17" t="s">
        <v>3827</v>
      </c>
      <c r="B452" s="18" t="s">
        <v>3838</v>
      </c>
      <c r="C452" s="18" t="s">
        <v>3839</v>
      </c>
      <c r="D452" s="18" t="s">
        <v>3840</v>
      </c>
      <c r="E452" s="18" t="s">
        <v>3841</v>
      </c>
      <c r="F452" s="18" t="s">
        <v>1768</v>
      </c>
      <c r="G452" s="18" t="s">
        <v>3842</v>
      </c>
      <c r="H452" s="17" t="s">
        <v>23</v>
      </c>
      <c r="I452" s="25">
        <v>653</v>
      </c>
      <c r="J452" s="26">
        <v>653</v>
      </c>
      <c r="K452" s="22" t="s">
        <v>3830</v>
      </c>
      <c r="L452" s="23">
        <v>3.5</v>
      </c>
      <c r="M452" s="23">
        <v>7</v>
      </c>
      <c r="N452" s="24">
        <f t="shared" si="7"/>
        <v>7</v>
      </c>
      <c r="O452" s="17" t="s">
        <v>27</v>
      </c>
      <c r="P452" s="18" t="s">
        <v>3843</v>
      </c>
      <c r="Q452" t="s">
        <v>3736</v>
      </c>
    </row>
    <row r="453" spans="1:17" ht="39" customHeight="1" x14ac:dyDescent="0.3">
      <c r="A453" s="17" t="s">
        <v>3828</v>
      </c>
      <c r="B453" s="18" t="s">
        <v>3844</v>
      </c>
      <c r="C453" s="18" t="s">
        <v>225</v>
      </c>
      <c r="D453" s="18" t="s">
        <v>2142</v>
      </c>
      <c r="E453" s="18" t="s">
        <v>3845</v>
      </c>
      <c r="F453" s="18" t="s">
        <v>1768</v>
      </c>
      <c r="G453" s="18" t="s">
        <v>3846</v>
      </c>
      <c r="H453" s="17" t="s">
        <v>23</v>
      </c>
      <c r="I453" s="25">
        <v>1939</v>
      </c>
      <c r="J453" s="26">
        <v>1939</v>
      </c>
      <c r="K453" s="22" t="s">
        <v>3831</v>
      </c>
      <c r="L453" s="23">
        <v>7</v>
      </c>
      <c r="M453" s="23">
        <v>14</v>
      </c>
      <c r="N453" s="24">
        <f t="shared" si="7"/>
        <v>14</v>
      </c>
      <c r="O453" s="17" t="s">
        <v>27</v>
      </c>
      <c r="P453" s="18" t="s">
        <v>3847</v>
      </c>
      <c r="Q453" t="s">
        <v>3752</v>
      </c>
    </row>
    <row r="454" spans="1:17" ht="39" customHeight="1" x14ac:dyDescent="0.3">
      <c r="A454" s="17" t="s">
        <v>3848</v>
      </c>
      <c r="B454" s="18" t="s">
        <v>3849</v>
      </c>
      <c r="C454" s="18" t="s">
        <v>3850</v>
      </c>
      <c r="D454" s="18" t="s">
        <v>3851</v>
      </c>
      <c r="E454" s="18" t="s">
        <v>3852</v>
      </c>
      <c r="F454" s="18" t="s">
        <v>1768</v>
      </c>
      <c r="G454" s="18" t="s">
        <v>3853</v>
      </c>
      <c r="H454" s="17" t="s">
        <v>23</v>
      </c>
      <c r="I454" s="25">
        <v>2740</v>
      </c>
      <c r="J454" s="26">
        <v>2740</v>
      </c>
      <c r="K454" s="22" t="s">
        <v>3854</v>
      </c>
      <c r="L454" s="23">
        <v>4.5</v>
      </c>
      <c r="M454" s="23">
        <v>9</v>
      </c>
      <c r="N454" s="24">
        <f t="shared" si="7"/>
        <v>9</v>
      </c>
      <c r="O454" s="17" t="s">
        <v>27</v>
      </c>
      <c r="P454" s="18" t="s">
        <v>3855</v>
      </c>
      <c r="Q454" t="s">
        <v>3856</v>
      </c>
    </row>
    <row r="455" spans="1:17" ht="39" customHeight="1" x14ac:dyDescent="0.3">
      <c r="A455" s="17" t="s">
        <v>3857</v>
      </c>
      <c r="B455" s="18" t="s">
        <v>3858</v>
      </c>
      <c r="C455" s="18" t="s">
        <v>3859</v>
      </c>
      <c r="D455" s="18" t="s">
        <v>3860</v>
      </c>
      <c r="E455" s="18" t="s">
        <v>3861</v>
      </c>
      <c r="F455" s="18" t="s">
        <v>1697</v>
      </c>
      <c r="G455" s="18" t="s">
        <v>3862</v>
      </c>
      <c r="H455" s="17" t="s">
        <v>63</v>
      </c>
      <c r="I455" s="25"/>
      <c r="J455" s="26"/>
      <c r="K455" s="22"/>
      <c r="L455" s="23">
        <v>3.5</v>
      </c>
      <c r="M455" s="23">
        <v>7</v>
      </c>
      <c r="N455" s="24">
        <f t="shared" ref="N455:N486" si="8">MAX(L455,M455)</f>
        <v>7</v>
      </c>
      <c r="O455" s="17" t="s">
        <v>27</v>
      </c>
      <c r="P455" s="18" t="s">
        <v>3863</v>
      </c>
      <c r="Q455" t="s">
        <v>3864</v>
      </c>
    </row>
    <row r="456" spans="1:17" ht="39" customHeight="1" x14ac:dyDescent="0.3">
      <c r="A456" s="17" t="s">
        <v>3865</v>
      </c>
      <c r="B456" s="18" t="s">
        <v>3866</v>
      </c>
      <c r="C456" s="18" t="s">
        <v>3867</v>
      </c>
      <c r="D456" s="18" t="s">
        <v>3868</v>
      </c>
      <c r="E456" s="18" t="s">
        <v>3869</v>
      </c>
      <c r="F456" s="18" t="s">
        <v>1147</v>
      </c>
      <c r="G456" s="18" t="s">
        <v>3870</v>
      </c>
      <c r="H456" s="17" t="s">
        <v>63</v>
      </c>
      <c r="I456" s="25"/>
      <c r="J456" s="26"/>
      <c r="K456" s="22"/>
      <c r="L456" s="23">
        <v>3</v>
      </c>
      <c r="M456" s="23">
        <v>6</v>
      </c>
      <c r="N456" s="24">
        <f t="shared" si="8"/>
        <v>6</v>
      </c>
      <c r="O456" s="17" t="s">
        <v>27</v>
      </c>
      <c r="P456" s="18" t="s">
        <v>3871</v>
      </c>
      <c r="Q456" t="s">
        <v>3872</v>
      </c>
    </row>
    <row r="457" spans="1:17" ht="39" customHeight="1" x14ac:dyDescent="0.3">
      <c r="A457" s="17" t="s">
        <v>3873</v>
      </c>
      <c r="B457" s="18" t="s">
        <v>3874</v>
      </c>
      <c r="C457" s="18" t="s">
        <v>3875</v>
      </c>
      <c r="D457" s="18" t="s">
        <v>3876</v>
      </c>
      <c r="E457" s="18" t="s">
        <v>3877</v>
      </c>
      <c r="F457" s="18" t="s">
        <v>1768</v>
      </c>
      <c r="G457" s="18" t="s">
        <v>3878</v>
      </c>
      <c r="H457" s="17" t="s">
        <v>23</v>
      </c>
      <c r="I457" s="25">
        <v>15294</v>
      </c>
      <c r="J457" s="26">
        <v>15294</v>
      </c>
      <c r="K457" s="22" t="s">
        <v>3879</v>
      </c>
      <c r="L457" s="23">
        <v>4.5</v>
      </c>
      <c r="M457" s="23">
        <v>9</v>
      </c>
      <c r="N457" s="24">
        <f t="shared" si="8"/>
        <v>9</v>
      </c>
      <c r="O457" s="17" t="s">
        <v>27</v>
      </c>
      <c r="P457" s="18" t="s">
        <v>3880</v>
      </c>
      <c r="Q457" t="s">
        <v>3881</v>
      </c>
    </row>
    <row r="458" spans="1:17" ht="39" customHeight="1" x14ac:dyDescent="0.3">
      <c r="A458" s="17" t="s">
        <v>3882</v>
      </c>
      <c r="B458" s="18" t="s">
        <v>3883</v>
      </c>
      <c r="C458" s="18" t="s">
        <v>225</v>
      </c>
      <c r="D458" s="18" t="s">
        <v>2530</v>
      </c>
      <c r="E458" s="18" t="s">
        <v>3884</v>
      </c>
      <c r="F458" s="18" t="s">
        <v>1697</v>
      </c>
      <c r="G458" s="18" t="s">
        <v>3885</v>
      </c>
      <c r="H458" s="17" t="s">
        <v>63</v>
      </c>
      <c r="I458" s="25"/>
      <c r="J458" s="26"/>
      <c r="K458" s="22"/>
      <c r="L458" s="23">
        <v>3</v>
      </c>
      <c r="M458" s="23">
        <v>6</v>
      </c>
      <c r="N458" s="24">
        <f t="shared" si="8"/>
        <v>6</v>
      </c>
      <c r="O458" s="17" t="s">
        <v>27</v>
      </c>
      <c r="P458" s="18" t="s">
        <v>3886</v>
      </c>
      <c r="Q458" t="s">
        <v>3887</v>
      </c>
    </row>
    <row r="459" spans="1:17" ht="39" customHeight="1" x14ac:dyDescent="0.3">
      <c r="A459" s="17" t="s">
        <v>3888</v>
      </c>
      <c r="B459" s="18" t="s">
        <v>3889</v>
      </c>
      <c r="C459" s="18" t="s">
        <v>3892</v>
      </c>
      <c r="D459" s="18" t="s">
        <v>2142</v>
      </c>
      <c r="E459" s="18" t="s">
        <v>3893</v>
      </c>
      <c r="F459" s="18" t="s">
        <v>1768</v>
      </c>
      <c r="G459" s="18" t="s">
        <v>3894</v>
      </c>
      <c r="H459" s="17" t="s">
        <v>23</v>
      </c>
      <c r="I459" s="25">
        <v>20195</v>
      </c>
      <c r="J459" s="26">
        <v>20195</v>
      </c>
      <c r="K459" s="22" t="s">
        <v>3895</v>
      </c>
      <c r="L459" s="23">
        <v>3.5</v>
      </c>
      <c r="M459" s="23">
        <v>7</v>
      </c>
      <c r="N459" s="24">
        <f t="shared" si="8"/>
        <v>7</v>
      </c>
      <c r="O459" s="17" t="s">
        <v>27</v>
      </c>
      <c r="P459" s="18" t="s">
        <v>3896</v>
      </c>
      <c r="Q459" t="s">
        <v>3837</v>
      </c>
    </row>
    <row r="460" spans="1:17" ht="39" customHeight="1" x14ac:dyDescent="0.3">
      <c r="A460" s="17" t="s">
        <v>3890</v>
      </c>
      <c r="B460" s="18" t="s">
        <v>3891</v>
      </c>
      <c r="C460" s="18" t="s">
        <v>3897</v>
      </c>
      <c r="D460" s="18" t="s">
        <v>3898</v>
      </c>
      <c r="E460" s="18" t="s">
        <v>3899</v>
      </c>
      <c r="F460" s="18" t="s">
        <v>1768</v>
      </c>
      <c r="G460" s="18" t="s">
        <v>3900</v>
      </c>
      <c r="H460" s="17" t="s">
        <v>23</v>
      </c>
      <c r="I460" s="25"/>
      <c r="J460" s="26" t="s">
        <v>3901</v>
      </c>
      <c r="K460" s="22" t="s">
        <v>3902</v>
      </c>
      <c r="L460" s="23">
        <v>4</v>
      </c>
      <c r="M460" s="23">
        <v>8</v>
      </c>
      <c r="N460" s="24">
        <f t="shared" si="8"/>
        <v>8</v>
      </c>
      <c r="O460" s="17" t="s">
        <v>27</v>
      </c>
      <c r="P460" s="18" t="s">
        <v>3903</v>
      </c>
      <c r="Q460" t="s">
        <v>3904</v>
      </c>
    </row>
    <row r="461" spans="1:17" ht="39" customHeight="1" x14ac:dyDescent="0.3">
      <c r="A461" s="17" t="s">
        <v>3905</v>
      </c>
      <c r="B461" s="18" t="s">
        <v>3906</v>
      </c>
      <c r="C461" s="18" t="s">
        <v>3907</v>
      </c>
      <c r="D461" s="18" t="s">
        <v>3908</v>
      </c>
      <c r="E461" s="18" t="s">
        <v>3909</v>
      </c>
      <c r="F461" s="18" t="s">
        <v>1768</v>
      </c>
      <c r="G461" s="18" t="s">
        <v>3910</v>
      </c>
      <c r="H461" s="17" t="s">
        <v>23</v>
      </c>
      <c r="I461" s="25"/>
      <c r="J461" s="26" t="s">
        <v>3911</v>
      </c>
      <c r="K461" s="22" t="s">
        <v>3912</v>
      </c>
      <c r="L461" s="23">
        <v>6</v>
      </c>
      <c r="M461" s="23">
        <v>12</v>
      </c>
      <c r="N461" s="24">
        <f t="shared" si="8"/>
        <v>12</v>
      </c>
      <c r="O461" s="17" t="s">
        <v>27</v>
      </c>
      <c r="P461" s="18" t="s">
        <v>3913</v>
      </c>
      <c r="Q461" t="s">
        <v>3914</v>
      </c>
    </row>
    <row r="462" spans="1:17" ht="39" customHeight="1" x14ac:dyDescent="0.3">
      <c r="A462" s="17" t="s">
        <v>3915</v>
      </c>
      <c r="B462" s="18" t="s">
        <v>3916</v>
      </c>
      <c r="C462" s="18" t="s">
        <v>3917</v>
      </c>
      <c r="D462" s="18" t="s">
        <v>3918</v>
      </c>
      <c r="E462" s="18" t="s">
        <v>3919</v>
      </c>
      <c r="F462" s="18" t="s">
        <v>1768</v>
      </c>
      <c r="G462" s="18" t="s">
        <v>3920</v>
      </c>
      <c r="H462" s="17" t="s">
        <v>23</v>
      </c>
      <c r="I462" s="25">
        <v>11559</v>
      </c>
      <c r="J462" s="26">
        <v>11559</v>
      </c>
      <c r="K462" s="22" t="s">
        <v>3921</v>
      </c>
      <c r="L462" s="23">
        <v>4</v>
      </c>
      <c r="M462" s="23">
        <v>8</v>
      </c>
      <c r="N462" s="24">
        <f t="shared" si="8"/>
        <v>8</v>
      </c>
      <c r="O462" s="17" t="s">
        <v>27</v>
      </c>
      <c r="P462" s="18" t="s">
        <v>3922</v>
      </c>
      <c r="Q462" t="s">
        <v>3837</v>
      </c>
    </row>
    <row r="463" spans="1:17" ht="39" customHeight="1" x14ac:dyDescent="0.3">
      <c r="A463" s="17" t="s">
        <v>3923</v>
      </c>
      <c r="B463" s="18" t="s">
        <v>3924</v>
      </c>
      <c r="C463" s="18" t="s">
        <v>3925</v>
      </c>
      <c r="D463" s="18" t="s">
        <v>3926</v>
      </c>
      <c r="E463" s="18" t="s">
        <v>3927</v>
      </c>
      <c r="F463" s="18" t="s">
        <v>1697</v>
      </c>
      <c r="G463" s="18" t="s">
        <v>3928</v>
      </c>
      <c r="H463" s="17" t="s">
        <v>63</v>
      </c>
      <c r="I463" s="25"/>
      <c r="J463" s="26"/>
      <c r="K463" s="22"/>
      <c r="L463" s="23">
        <v>4.5</v>
      </c>
      <c r="M463" s="23">
        <v>9</v>
      </c>
      <c r="N463" s="24">
        <f t="shared" si="8"/>
        <v>9</v>
      </c>
      <c r="O463" s="17" t="s">
        <v>27</v>
      </c>
      <c r="P463" s="18" t="s">
        <v>3929</v>
      </c>
      <c r="Q463" t="s">
        <v>3864</v>
      </c>
    </row>
    <row r="464" spans="1:17" ht="39" customHeight="1" x14ac:dyDescent="0.3">
      <c r="A464" s="17" t="s">
        <v>3930</v>
      </c>
      <c r="B464" s="18" t="s">
        <v>3931</v>
      </c>
      <c r="C464" s="18" t="s">
        <v>3932</v>
      </c>
      <c r="D464" s="18" t="s">
        <v>3933</v>
      </c>
      <c r="E464" s="18" t="s">
        <v>3934</v>
      </c>
      <c r="F464" s="18" t="s">
        <v>1768</v>
      </c>
      <c r="G464" s="18" t="s">
        <v>3935</v>
      </c>
      <c r="H464" s="17" t="s">
        <v>23</v>
      </c>
      <c r="I464" s="25">
        <v>2072</v>
      </c>
      <c r="J464" s="26">
        <v>2072</v>
      </c>
      <c r="K464" s="22" t="s">
        <v>3936</v>
      </c>
      <c r="L464" s="23">
        <v>4.5</v>
      </c>
      <c r="M464" s="23">
        <v>9</v>
      </c>
      <c r="N464" s="24">
        <f t="shared" si="8"/>
        <v>9</v>
      </c>
      <c r="O464" s="17" t="s">
        <v>27</v>
      </c>
      <c r="P464" s="18" t="s">
        <v>3937</v>
      </c>
      <c r="Q464" t="s">
        <v>3736</v>
      </c>
    </row>
    <row r="465" spans="1:17" ht="39" customHeight="1" x14ac:dyDescent="0.3">
      <c r="A465" s="17" t="s">
        <v>3938</v>
      </c>
      <c r="B465" s="18" t="s">
        <v>3939</v>
      </c>
      <c r="C465" s="18" t="s">
        <v>3940</v>
      </c>
      <c r="D465" s="18" t="s">
        <v>3941</v>
      </c>
      <c r="E465" s="18" t="s">
        <v>3942</v>
      </c>
      <c r="F465" s="18" t="s">
        <v>1768</v>
      </c>
      <c r="G465" s="18" t="s">
        <v>3943</v>
      </c>
      <c r="H465" s="17" t="s">
        <v>23</v>
      </c>
      <c r="I465" s="25">
        <v>18185</v>
      </c>
      <c r="J465" s="26">
        <v>18185</v>
      </c>
      <c r="K465" s="22" t="s">
        <v>3944</v>
      </c>
      <c r="L465" s="23">
        <v>3.5</v>
      </c>
      <c r="M465" s="23">
        <v>7</v>
      </c>
      <c r="N465" s="24">
        <f t="shared" si="8"/>
        <v>7</v>
      </c>
      <c r="O465" s="17" t="s">
        <v>27</v>
      </c>
      <c r="P465" s="18" t="s">
        <v>3945</v>
      </c>
      <c r="Q465" t="s">
        <v>3752</v>
      </c>
    </row>
    <row r="466" spans="1:17" ht="39" customHeight="1" x14ac:dyDescent="0.3">
      <c r="A466" s="17" t="s">
        <v>3946</v>
      </c>
      <c r="B466" s="18" t="s">
        <v>3947</v>
      </c>
      <c r="C466" s="18" t="s">
        <v>3948</v>
      </c>
      <c r="D466" s="18" t="s">
        <v>3941</v>
      </c>
      <c r="E466" s="18" t="s">
        <v>3949</v>
      </c>
      <c r="F466" s="18" t="s">
        <v>1768</v>
      </c>
      <c r="G466" s="18" t="s">
        <v>3950</v>
      </c>
      <c r="H466" s="17" t="s">
        <v>23</v>
      </c>
      <c r="I466" s="25"/>
      <c r="J466" s="26" t="s">
        <v>3911</v>
      </c>
      <c r="K466" s="22" t="s">
        <v>3951</v>
      </c>
      <c r="L466" s="23">
        <v>6</v>
      </c>
      <c r="M466" s="23">
        <v>12</v>
      </c>
      <c r="N466" s="24">
        <f t="shared" si="8"/>
        <v>12</v>
      </c>
      <c r="O466" s="17" t="s">
        <v>27</v>
      </c>
      <c r="P466" s="18" t="s">
        <v>3952</v>
      </c>
      <c r="Q466" t="s">
        <v>3953</v>
      </c>
    </row>
    <row r="467" spans="1:17" ht="39" customHeight="1" x14ac:dyDescent="0.3">
      <c r="A467" s="17" t="s">
        <v>3954</v>
      </c>
      <c r="B467" s="18" t="s">
        <v>3955</v>
      </c>
      <c r="C467" s="18" t="s">
        <v>3956</v>
      </c>
      <c r="D467" s="18" t="s">
        <v>3957</v>
      </c>
      <c r="E467" s="18" t="s">
        <v>3958</v>
      </c>
      <c r="F467" s="18" t="s">
        <v>1768</v>
      </c>
      <c r="G467" s="18" t="s">
        <v>3959</v>
      </c>
      <c r="H467" s="17" t="s">
        <v>23</v>
      </c>
      <c r="I467" s="25">
        <v>25297</v>
      </c>
      <c r="J467" s="26">
        <v>25297</v>
      </c>
      <c r="K467" s="22" t="s">
        <v>3960</v>
      </c>
      <c r="L467" s="23">
        <v>3.5</v>
      </c>
      <c r="M467" s="23">
        <v>7</v>
      </c>
      <c r="N467" s="24">
        <f t="shared" si="8"/>
        <v>7</v>
      </c>
      <c r="O467" s="17" t="s">
        <v>27</v>
      </c>
      <c r="P467" s="18" t="s">
        <v>3961</v>
      </c>
      <c r="Q467" t="s">
        <v>3752</v>
      </c>
    </row>
    <row r="468" spans="1:17" ht="39" customHeight="1" x14ac:dyDescent="0.3">
      <c r="A468" s="17" t="s">
        <v>3962</v>
      </c>
      <c r="B468" s="18" t="s">
        <v>3963</v>
      </c>
      <c r="C468" s="18" t="s">
        <v>3964</v>
      </c>
      <c r="D468" s="18" t="s">
        <v>3965</v>
      </c>
      <c r="E468" s="18" t="s">
        <v>3966</v>
      </c>
      <c r="F468" s="18" t="s">
        <v>1697</v>
      </c>
      <c r="G468" s="18" t="s">
        <v>3967</v>
      </c>
      <c r="H468" s="17" t="s">
        <v>63</v>
      </c>
      <c r="I468" s="25"/>
      <c r="J468" s="26"/>
      <c r="K468" s="22"/>
      <c r="L468" s="23">
        <v>3.5</v>
      </c>
      <c r="M468" s="23">
        <v>7</v>
      </c>
      <c r="N468" s="24">
        <f t="shared" si="8"/>
        <v>7</v>
      </c>
      <c r="O468" s="17" t="s">
        <v>27</v>
      </c>
      <c r="P468" s="18" t="s">
        <v>3968</v>
      </c>
      <c r="Q468" t="s">
        <v>3864</v>
      </c>
    </row>
    <row r="469" spans="1:17" ht="39" customHeight="1" x14ac:dyDescent="0.3">
      <c r="A469" s="17" t="s">
        <v>3969</v>
      </c>
      <c r="B469" s="18" t="s">
        <v>3970</v>
      </c>
      <c r="C469" s="18" t="s">
        <v>3971</v>
      </c>
      <c r="D469" s="18" t="s">
        <v>3972</v>
      </c>
      <c r="E469" s="18" t="s">
        <v>3973</v>
      </c>
      <c r="F469" s="18" t="s">
        <v>1697</v>
      </c>
      <c r="G469" s="18" t="s">
        <v>3974</v>
      </c>
      <c r="H469" s="17" t="s">
        <v>63</v>
      </c>
      <c r="I469" s="25"/>
      <c r="J469" s="26"/>
      <c r="K469" s="22"/>
      <c r="L469" s="23">
        <v>4</v>
      </c>
      <c r="M469" s="23">
        <v>8</v>
      </c>
      <c r="N469" s="24">
        <f t="shared" si="8"/>
        <v>8</v>
      </c>
      <c r="O469" s="17" t="s">
        <v>27</v>
      </c>
      <c r="P469" s="18" t="s">
        <v>3975</v>
      </c>
      <c r="Q469" t="s">
        <v>3976</v>
      </c>
    </row>
    <row r="470" spans="1:17" ht="39" customHeight="1" x14ac:dyDescent="0.3">
      <c r="A470" s="17" t="s">
        <v>3977</v>
      </c>
      <c r="B470" s="18" t="s">
        <v>3978</v>
      </c>
      <c r="C470" s="18" t="s">
        <v>3979</v>
      </c>
      <c r="D470" s="18" t="s">
        <v>3972</v>
      </c>
      <c r="E470" s="18" t="s">
        <v>3980</v>
      </c>
      <c r="F470" s="18" t="s">
        <v>1697</v>
      </c>
      <c r="G470" s="18" t="s">
        <v>3981</v>
      </c>
      <c r="H470" s="17" t="s">
        <v>63</v>
      </c>
      <c r="I470" s="25"/>
      <c r="J470" s="26"/>
      <c r="K470" s="22"/>
      <c r="L470" s="23">
        <v>4</v>
      </c>
      <c r="M470" s="23">
        <v>8</v>
      </c>
      <c r="N470" s="24">
        <f t="shared" si="8"/>
        <v>8</v>
      </c>
      <c r="O470" s="17" t="s">
        <v>27</v>
      </c>
      <c r="P470" s="18" t="s">
        <v>3982</v>
      </c>
      <c r="Q470" t="s">
        <v>3983</v>
      </c>
    </row>
    <row r="471" spans="1:17" ht="39" customHeight="1" x14ac:dyDescent="0.3">
      <c r="A471" s="17" t="s">
        <v>3984</v>
      </c>
      <c r="B471" s="18" t="s">
        <v>3985</v>
      </c>
      <c r="C471" s="18" t="s">
        <v>3986</v>
      </c>
      <c r="D471" s="18" t="s">
        <v>3987</v>
      </c>
      <c r="E471" s="18" t="s">
        <v>3988</v>
      </c>
      <c r="F471" s="18" t="s">
        <v>1768</v>
      </c>
      <c r="G471" s="18" t="s">
        <v>3989</v>
      </c>
      <c r="H471" s="17" t="s">
        <v>23</v>
      </c>
      <c r="I471" s="25">
        <v>25774</v>
      </c>
      <c r="J471" s="26">
        <v>25774</v>
      </c>
      <c r="K471" s="22" t="s">
        <v>3990</v>
      </c>
      <c r="L471" s="23">
        <v>4</v>
      </c>
      <c r="M471" s="23">
        <v>8</v>
      </c>
      <c r="N471" s="24">
        <f t="shared" si="8"/>
        <v>8</v>
      </c>
      <c r="O471" s="17" t="s">
        <v>27</v>
      </c>
      <c r="P471" s="18" t="s">
        <v>3991</v>
      </c>
      <c r="Q471" t="s">
        <v>3837</v>
      </c>
    </row>
    <row r="472" spans="1:17" ht="39" customHeight="1" x14ac:dyDescent="0.3">
      <c r="A472" s="17" t="s">
        <v>3992</v>
      </c>
      <c r="B472" s="18" t="s">
        <v>3993</v>
      </c>
      <c r="C472" s="18" t="s">
        <v>3994</v>
      </c>
      <c r="D472" s="18" t="s">
        <v>3995</v>
      </c>
      <c r="E472" s="18" t="s">
        <v>3996</v>
      </c>
      <c r="F472" s="18" t="s">
        <v>1697</v>
      </c>
      <c r="G472" s="18" t="s">
        <v>3997</v>
      </c>
      <c r="H472" s="17" t="s">
        <v>63</v>
      </c>
      <c r="I472" s="25"/>
      <c r="J472" s="26"/>
      <c r="K472" s="22"/>
      <c r="L472" s="23">
        <v>3</v>
      </c>
      <c r="M472" s="23">
        <v>6</v>
      </c>
      <c r="N472" s="24">
        <f t="shared" si="8"/>
        <v>6</v>
      </c>
      <c r="O472" s="17" t="s">
        <v>27</v>
      </c>
      <c r="P472" s="18" t="s">
        <v>3998</v>
      </c>
      <c r="Q472" t="s">
        <v>3864</v>
      </c>
    </row>
    <row r="473" spans="1:17" ht="39" customHeight="1" x14ac:dyDescent="0.3">
      <c r="A473" s="17" t="s">
        <v>3999</v>
      </c>
      <c r="B473" s="18" t="s">
        <v>4004</v>
      </c>
      <c r="C473" s="18" t="s">
        <v>4005</v>
      </c>
      <c r="D473" s="18" t="s">
        <v>3972</v>
      </c>
      <c r="E473" s="18" t="s">
        <v>4006</v>
      </c>
      <c r="F473" s="18" t="s">
        <v>1697</v>
      </c>
      <c r="G473" s="18" t="s">
        <v>4007</v>
      </c>
      <c r="H473" s="17" t="s">
        <v>63</v>
      </c>
      <c r="I473" s="25"/>
      <c r="J473" s="26"/>
      <c r="K473" s="22"/>
      <c r="L473" s="23">
        <v>3</v>
      </c>
      <c r="M473" s="23">
        <v>6</v>
      </c>
      <c r="N473" s="24">
        <f t="shared" si="8"/>
        <v>6</v>
      </c>
      <c r="O473" s="17" t="s">
        <v>27</v>
      </c>
      <c r="P473" s="18" t="s">
        <v>4008</v>
      </c>
      <c r="Q473" t="s">
        <v>3864</v>
      </c>
    </row>
    <row r="474" spans="1:17" ht="39" customHeight="1" x14ac:dyDescent="0.3">
      <c r="A474" s="17" t="s">
        <v>4000</v>
      </c>
      <c r="B474" s="18" t="s">
        <v>4009</v>
      </c>
      <c r="C474" s="18" t="s">
        <v>4010</v>
      </c>
      <c r="D474" s="18" t="s">
        <v>4001</v>
      </c>
      <c r="E474" s="18" t="s">
        <v>4002</v>
      </c>
      <c r="F474" s="18" t="s">
        <v>1697</v>
      </c>
      <c r="G474" s="18" t="s">
        <v>4011</v>
      </c>
      <c r="H474" s="17" t="s">
        <v>63</v>
      </c>
      <c r="I474" s="25"/>
      <c r="J474" s="26"/>
      <c r="K474" s="22"/>
      <c r="L474" s="23">
        <v>3.5</v>
      </c>
      <c r="M474" s="23">
        <v>7</v>
      </c>
      <c r="N474" s="24">
        <f t="shared" si="8"/>
        <v>7</v>
      </c>
      <c r="O474" s="17" t="s">
        <v>27</v>
      </c>
      <c r="P474" s="18" t="s">
        <v>4012</v>
      </c>
      <c r="Q474" t="s">
        <v>4013</v>
      </c>
    </row>
    <row r="475" spans="1:17" ht="39" customHeight="1" x14ac:dyDescent="0.3">
      <c r="A475" s="17" t="s">
        <v>4003</v>
      </c>
      <c r="B475" s="18" t="s">
        <v>4014</v>
      </c>
      <c r="C475" s="18" t="s">
        <v>4015</v>
      </c>
      <c r="D475" s="18" t="s">
        <v>4016</v>
      </c>
      <c r="E475" s="18" t="s">
        <v>4017</v>
      </c>
      <c r="F475" s="18" t="s">
        <v>1697</v>
      </c>
      <c r="G475" s="18" t="s">
        <v>4018</v>
      </c>
      <c r="H475" s="17" t="s">
        <v>63</v>
      </c>
      <c r="I475" s="25"/>
      <c r="J475" s="26"/>
      <c r="K475" s="22"/>
      <c r="L475" s="23">
        <v>4</v>
      </c>
      <c r="M475" s="23">
        <v>8</v>
      </c>
      <c r="N475" s="24">
        <f t="shared" si="8"/>
        <v>8</v>
      </c>
      <c r="O475" s="17" t="s">
        <v>27</v>
      </c>
      <c r="P475" s="18" t="s">
        <v>4019</v>
      </c>
      <c r="Q475" t="s">
        <v>4020</v>
      </c>
    </row>
    <row r="476" spans="1:17" ht="39" customHeight="1" x14ac:dyDescent="0.3">
      <c r="A476" s="17" t="s">
        <v>4021</v>
      </c>
      <c r="B476" s="18" t="s">
        <v>4024</v>
      </c>
      <c r="C476" s="18" t="s">
        <v>4025</v>
      </c>
      <c r="D476" s="18" t="s">
        <v>4026</v>
      </c>
      <c r="E476" s="18" t="s">
        <v>4027</v>
      </c>
      <c r="F476" s="18" t="s">
        <v>1768</v>
      </c>
      <c r="G476" s="18" t="s">
        <v>4028</v>
      </c>
      <c r="H476" s="17" t="s">
        <v>23</v>
      </c>
      <c r="I476" s="25">
        <v>6981</v>
      </c>
      <c r="J476" s="26">
        <v>6981</v>
      </c>
      <c r="K476" s="22" t="s">
        <v>4029</v>
      </c>
      <c r="L476" s="23">
        <v>3.5</v>
      </c>
      <c r="M476" s="23">
        <v>7</v>
      </c>
      <c r="N476" s="24">
        <f t="shared" si="8"/>
        <v>7</v>
      </c>
      <c r="O476" s="17" t="s">
        <v>27</v>
      </c>
      <c r="P476" s="18" t="s">
        <v>4030</v>
      </c>
      <c r="Q476" t="s">
        <v>3837</v>
      </c>
    </row>
    <row r="477" spans="1:17" ht="39" customHeight="1" x14ac:dyDescent="0.3">
      <c r="A477" s="17" t="s">
        <v>4022</v>
      </c>
      <c r="B477" s="18" t="s">
        <v>4031</v>
      </c>
      <c r="C477" s="18" t="s">
        <v>4032</v>
      </c>
      <c r="D477" s="18" t="s">
        <v>4033</v>
      </c>
      <c r="E477" s="18" t="s">
        <v>4034</v>
      </c>
      <c r="F477" s="18" t="s">
        <v>1768</v>
      </c>
      <c r="G477" s="18" t="s">
        <v>4035</v>
      </c>
      <c r="H477" s="17" t="s">
        <v>23</v>
      </c>
      <c r="I477" s="25">
        <v>534</v>
      </c>
      <c r="J477" s="26">
        <v>534</v>
      </c>
      <c r="K477" s="22" t="s">
        <v>4036</v>
      </c>
      <c r="L477" s="23">
        <v>4</v>
      </c>
      <c r="M477" s="23">
        <v>8</v>
      </c>
      <c r="N477" s="24">
        <f t="shared" si="8"/>
        <v>8</v>
      </c>
      <c r="O477" s="17" t="s">
        <v>27</v>
      </c>
      <c r="P477" s="18" t="s">
        <v>4037</v>
      </c>
      <c r="Q477" t="s">
        <v>4038</v>
      </c>
    </row>
    <row r="478" spans="1:17" ht="39" customHeight="1" x14ac:dyDescent="0.3">
      <c r="A478" s="17" t="s">
        <v>4023</v>
      </c>
      <c r="B478" s="18" t="s">
        <v>4039</v>
      </c>
      <c r="C478" s="18" t="s">
        <v>4040</v>
      </c>
      <c r="D478" s="18" t="s">
        <v>4041</v>
      </c>
      <c r="E478" s="18" t="s">
        <v>4042</v>
      </c>
      <c r="F478" s="18" t="s">
        <v>1697</v>
      </c>
      <c r="G478" s="18" t="s">
        <v>4043</v>
      </c>
      <c r="H478" s="17" t="s">
        <v>63</v>
      </c>
      <c r="I478" s="25"/>
      <c r="J478" s="26"/>
      <c r="K478" s="22"/>
      <c r="L478" s="23">
        <v>3.5</v>
      </c>
      <c r="M478" s="23">
        <v>7</v>
      </c>
      <c r="N478" s="24">
        <f t="shared" si="8"/>
        <v>7</v>
      </c>
      <c r="O478" s="17" t="s">
        <v>27</v>
      </c>
      <c r="P478" s="18" t="s">
        <v>4044</v>
      </c>
      <c r="Q478" t="s">
        <v>3864</v>
      </c>
    </row>
    <row r="479" spans="1:17" s="68" customFormat="1" ht="39" customHeight="1" x14ac:dyDescent="0.3">
      <c r="A479" s="61" t="s">
        <v>4079</v>
      </c>
      <c r="B479" s="62" t="s">
        <v>4080</v>
      </c>
      <c r="C479" s="62" t="s">
        <v>4081</v>
      </c>
      <c r="D479" s="62" t="s">
        <v>4082</v>
      </c>
      <c r="E479" s="62" t="s">
        <v>4083</v>
      </c>
      <c r="F479" s="62" t="s">
        <v>1147</v>
      </c>
      <c r="G479" s="62" t="s">
        <v>4084</v>
      </c>
      <c r="H479" s="61" t="s">
        <v>63</v>
      </c>
      <c r="I479" s="63"/>
      <c r="J479" s="64"/>
      <c r="K479" s="65"/>
      <c r="L479" s="66">
        <v>3.5</v>
      </c>
      <c r="M479" s="66">
        <v>7</v>
      </c>
      <c r="N479" s="67">
        <f t="shared" si="8"/>
        <v>7</v>
      </c>
      <c r="O479" s="61" t="s">
        <v>27</v>
      </c>
      <c r="P479" s="62" t="s">
        <v>4085</v>
      </c>
      <c r="Q479" s="68" t="s">
        <v>4086</v>
      </c>
    </row>
    <row r="480" spans="1:17" ht="39" customHeight="1" x14ac:dyDescent="0.3">
      <c r="A480" s="17" t="s">
        <v>4139</v>
      </c>
      <c r="B480" s="18" t="s">
        <v>4121</v>
      </c>
      <c r="C480" s="18" t="s">
        <v>4122</v>
      </c>
      <c r="D480" s="18" t="s">
        <v>2488</v>
      </c>
      <c r="E480" s="18" t="s">
        <v>4123</v>
      </c>
      <c r="F480" s="18" t="s">
        <v>1697</v>
      </c>
      <c r="G480" s="18" t="s">
        <v>4124</v>
      </c>
      <c r="H480" s="17" t="s">
        <v>63</v>
      </c>
      <c r="I480" s="25"/>
      <c r="J480" s="26"/>
      <c r="K480" s="22"/>
      <c r="L480" s="23">
        <v>3</v>
      </c>
      <c r="M480" s="23">
        <v>6</v>
      </c>
      <c r="N480" s="24">
        <f t="shared" si="8"/>
        <v>6</v>
      </c>
      <c r="O480" s="17" t="s">
        <v>27</v>
      </c>
      <c r="P480" s="18" t="s">
        <v>4125</v>
      </c>
      <c r="Q480" t="s">
        <v>3744</v>
      </c>
    </row>
    <row r="481" spans="1:17" ht="39" customHeight="1" x14ac:dyDescent="0.3">
      <c r="A481" s="17" t="s">
        <v>4120</v>
      </c>
      <c r="B481" s="18" t="s">
        <v>4127</v>
      </c>
      <c r="C481" s="18" t="s">
        <v>4128</v>
      </c>
      <c r="D481" s="18" t="s">
        <v>4129</v>
      </c>
      <c r="E481" s="18" t="s">
        <v>4130</v>
      </c>
      <c r="F481" s="18" t="s">
        <v>1768</v>
      </c>
      <c r="G481" s="18" t="s">
        <v>4131</v>
      </c>
      <c r="H481" s="17" t="s">
        <v>63</v>
      </c>
      <c r="I481" s="25"/>
      <c r="J481" s="26"/>
      <c r="K481" s="22"/>
      <c r="L481" s="23">
        <v>3.5</v>
      </c>
      <c r="M481" s="23">
        <v>7</v>
      </c>
      <c r="N481" s="24">
        <f t="shared" si="8"/>
        <v>7</v>
      </c>
      <c r="O481" s="17" t="s">
        <v>27</v>
      </c>
      <c r="P481" s="18" t="s">
        <v>4140</v>
      </c>
      <c r="Q481" t="s">
        <v>4132</v>
      </c>
    </row>
    <row r="482" spans="1:17" ht="39" customHeight="1" x14ac:dyDescent="0.3">
      <c r="A482" s="17" t="s">
        <v>4126</v>
      </c>
      <c r="B482" s="18" t="s">
        <v>4134</v>
      </c>
      <c r="C482" s="18" t="s">
        <v>225</v>
      </c>
      <c r="D482" s="18" t="s">
        <v>4135</v>
      </c>
      <c r="E482" s="18" t="s">
        <v>4136</v>
      </c>
      <c r="F482" s="18" t="s">
        <v>1697</v>
      </c>
      <c r="G482" s="18" t="s">
        <v>4137</v>
      </c>
      <c r="H482" s="17" t="s">
        <v>63</v>
      </c>
      <c r="I482" s="25"/>
      <c r="J482" s="26"/>
      <c r="K482" s="22"/>
      <c r="L482" s="23">
        <v>3.5</v>
      </c>
      <c r="M482" s="23">
        <v>7</v>
      </c>
      <c r="N482" s="24">
        <f t="shared" si="8"/>
        <v>7</v>
      </c>
      <c r="O482" s="17" t="s">
        <v>27</v>
      </c>
      <c r="P482" s="18" t="s">
        <v>4138</v>
      </c>
      <c r="Q482" t="s">
        <v>3864</v>
      </c>
    </row>
    <row r="483" spans="1:17" ht="39" customHeight="1" x14ac:dyDescent="0.3">
      <c r="A483" s="17" t="s">
        <v>4133</v>
      </c>
      <c r="B483" s="18" t="s">
        <v>4141</v>
      </c>
      <c r="C483" s="18" t="s">
        <v>4142</v>
      </c>
      <c r="D483" s="18" t="s">
        <v>4143</v>
      </c>
      <c r="E483" s="18" t="s">
        <v>4144</v>
      </c>
      <c r="F483" s="18" t="s">
        <v>1768</v>
      </c>
      <c r="G483" s="18" t="s">
        <v>4145</v>
      </c>
      <c r="H483" s="17" t="s">
        <v>63</v>
      </c>
      <c r="I483" s="25"/>
      <c r="J483" s="26"/>
      <c r="K483" s="22"/>
      <c r="L483" s="23">
        <v>3.5</v>
      </c>
      <c r="M483" s="23">
        <v>7</v>
      </c>
      <c r="N483" s="24">
        <f t="shared" si="8"/>
        <v>7</v>
      </c>
      <c r="O483" s="17" t="s">
        <v>27</v>
      </c>
      <c r="P483" s="18" t="s">
        <v>4146</v>
      </c>
      <c r="Q483" t="s">
        <v>4132</v>
      </c>
    </row>
    <row r="484" spans="1:17" ht="39" customHeight="1" x14ac:dyDescent="0.3">
      <c r="A484" s="17" t="s">
        <v>4147</v>
      </c>
      <c r="B484" s="18" t="s">
        <v>4148</v>
      </c>
      <c r="C484" s="18" t="s">
        <v>4149</v>
      </c>
      <c r="D484" s="18" t="s">
        <v>4150</v>
      </c>
      <c r="E484" s="18" t="s">
        <v>4151</v>
      </c>
      <c r="F484" s="18" t="s">
        <v>1768</v>
      </c>
      <c r="G484" s="18" t="s">
        <v>4152</v>
      </c>
      <c r="H484" s="17" t="s">
        <v>63</v>
      </c>
      <c r="I484" s="25"/>
      <c r="J484" s="26"/>
      <c r="K484" s="22"/>
      <c r="L484" s="23">
        <v>3.5</v>
      </c>
      <c r="M484" s="23">
        <v>7</v>
      </c>
      <c r="N484" s="24">
        <f t="shared" si="8"/>
        <v>7</v>
      </c>
      <c r="O484" s="17" t="s">
        <v>27</v>
      </c>
      <c r="P484" s="18" t="s">
        <v>4153</v>
      </c>
      <c r="Q484" t="s">
        <v>4154</v>
      </c>
    </row>
    <row r="485" spans="1:17" ht="39" customHeight="1" x14ac:dyDescent="0.3">
      <c r="A485" s="17" t="s">
        <v>4155</v>
      </c>
      <c r="B485" s="18" t="s">
        <v>4156</v>
      </c>
      <c r="C485" s="18" t="s">
        <v>4157</v>
      </c>
      <c r="D485" s="18" t="s">
        <v>4158</v>
      </c>
      <c r="E485" s="18" t="s">
        <v>4159</v>
      </c>
      <c r="F485" s="18" t="s">
        <v>1768</v>
      </c>
      <c r="G485" s="18" t="s">
        <v>4160</v>
      </c>
      <c r="H485" s="17" t="s">
        <v>63</v>
      </c>
      <c r="I485" s="25"/>
      <c r="J485" s="26"/>
      <c r="K485" s="22"/>
      <c r="L485" s="23">
        <v>3.5</v>
      </c>
      <c r="M485" s="23">
        <v>7</v>
      </c>
      <c r="N485" s="24">
        <f t="shared" si="8"/>
        <v>7</v>
      </c>
      <c r="O485" s="17" t="s">
        <v>27</v>
      </c>
      <c r="P485" s="18" t="s">
        <v>4161</v>
      </c>
      <c r="Q485" t="s">
        <v>4162</v>
      </c>
    </row>
    <row r="486" spans="1:17" ht="39" customHeight="1" x14ac:dyDescent="0.3">
      <c r="A486" s="17" t="s">
        <v>4163</v>
      </c>
      <c r="B486" s="18" t="s">
        <v>4164</v>
      </c>
      <c r="C486" s="18" t="s">
        <v>4165</v>
      </c>
      <c r="D486" s="18" t="s">
        <v>4166</v>
      </c>
      <c r="E486" s="18" t="s">
        <v>4167</v>
      </c>
      <c r="F486" s="18" t="s">
        <v>1768</v>
      </c>
      <c r="G486" s="18" t="s">
        <v>4168</v>
      </c>
      <c r="H486" s="17" t="s">
        <v>63</v>
      </c>
      <c r="I486" s="25"/>
      <c r="J486" s="26"/>
      <c r="K486" s="22"/>
      <c r="L486" s="23">
        <v>2.5</v>
      </c>
      <c r="M486" s="23">
        <v>5</v>
      </c>
      <c r="N486" s="24">
        <f t="shared" si="8"/>
        <v>5</v>
      </c>
      <c r="O486" s="17" t="s">
        <v>27</v>
      </c>
      <c r="P486" s="18" t="s">
        <v>4169</v>
      </c>
      <c r="Q486" t="s">
        <v>4132</v>
      </c>
    </row>
    <row r="487" spans="1:17" ht="39" customHeight="1" x14ac:dyDescent="0.3">
      <c r="A487" s="17" t="s">
        <v>4170</v>
      </c>
      <c r="B487" s="18" t="s">
        <v>4171</v>
      </c>
      <c r="C487" s="18" t="s">
        <v>4172</v>
      </c>
      <c r="D487" s="18" t="s">
        <v>4173</v>
      </c>
      <c r="E487" s="18" t="s">
        <v>4174</v>
      </c>
      <c r="F487" s="18" t="s">
        <v>1768</v>
      </c>
      <c r="G487" s="18" t="s">
        <v>4175</v>
      </c>
      <c r="H487" s="17" t="s">
        <v>63</v>
      </c>
      <c r="I487" s="25"/>
      <c r="J487" s="26"/>
      <c r="K487" s="22"/>
      <c r="L487" s="23">
        <v>4</v>
      </c>
      <c r="M487" s="23">
        <v>8.5</v>
      </c>
      <c r="N487" s="24">
        <f t="shared" ref="N487:N518" si="9">MAX(L487,M487)</f>
        <v>8.5</v>
      </c>
      <c r="O487" s="17" t="s">
        <v>27</v>
      </c>
      <c r="P487" s="18" t="s">
        <v>4176</v>
      </c>
      <c r="Q487" t="s">
        <v>4154</v>
      </c>
    </row>
    <row r="488" spans="1:17" ht="39" customHeight="1" x14ac:dyDescent="0.3">
      <c r="A488" s="17" t="s">
        <v>4177</v>
      </c>
      <c r="B488" s="18" t="s">
        <v>4178</v>
      </c>
      <c r="C488" s="18" t="s">
        <v>4179</v>
      </c>
      <c r="D488" s="18" t="s">
        <v>4180</v>
      </c>
      <c r="E488" s="18" t="s">
        <v>4181</v>
      </c>
      <c r="F488" s="18" t="s">
        <v>1768</v>
      </c>
      <c r="G488" s="18" t="s">
        <v>4182</v>
      </c>
      <c r="H488" s="17" t="s">
        <v>63</v>
      </c>
      <c r="I488" s="25"/>
      <c r="J488" s="26"/>
      <c r="K488" s="22"/>
      <c r="L488" s="23">
        <v>3.5</v>
      </c>
      <c r="M488" s="23">
        <v>7</v>
      </c>
      <c r="N488" s="24">
        <f t="shared" si="9"/>
        <v>7</v>
      </c>
      <c r="O488" s="17" t="s">
        <v>27</v>
      </c>
      <c r="P488" s="18" t="s">
        <v>4183</v>
      </c>
      <c r="Q488" t="s">
        <v>4154</v>
      </c>
    </row>
    <row r="489" spans="1:17" ht="39" customHeight="1" x14ac:dyDescent="0.3">
      <c r="A489" s="17" t="s">
        <v>4184</v>
      </c>
      <c r="B489" s="18" t="s">
        <v>4185</v>
      </c>
      <c r="C489" s="18" t="s">
        <v>4186</v>
      </c>
      <c r="D489" s="18" t="s">
        <v>4187</v>
      </c>
      <c r="E489" s="18" t="s">
        <v>4188</v>
      </c>
      <c r="F489" s="18" t="s">
        <v>1768</v>
      </c>
      <c r="G489" s="18" t="s">
        <v>4189</v>
      </c>
      <c r="H489" s="17" t="s">
        <v>63</v>
      </c>
      <c r="I489" s="25"/>
      <c r="J489" s="26"/>
      <c r="K489" s="22"/>
      <c r="L489" s="23">
        <v>3</v>
      </c>
      <c r="M489" s="23">
        <v>6</v>
      </c>
      <c r="N489" s="24">
        <f t="shared" si="9"/>
        <v>6</v>
      </c>
      <c r="O489" s="17" t="s">
        <v>27</v>
      </c>
      <c r="P489" s="18" t="s">
        <v>4190</v>
      </c>
      <c r="Q489" t="s">
        <v>4162</v>
      </c>
    </row>
    <row r="490" spans="1:17" ht="39" customHeight="1" x14ac:dyDescent="0.3">
      <c r="A490" s="17" t="s">
        <v>4191</v>
      </c>
      <c r="B490" s="18" t="s">
        <v>4192</v>
      </c>
      <c r="C490" s="18" t="s">
        <v>4193</v>
      </c>
      <c r="D490" s="18" t="s">
        <v>2488</v>
      </c>
      <c r="E490" s="18" t="s">
        <v>4194</v>
      </c>
      <c r="F490" s="18" t="s">
        <v>1697</v>
      </c>
      <c r="G490" s="18" t="s">
        <v>4195</v>
      </c>
      <c r="H490" s="17" t="s">
        <v>63</v>
      </c>
      <c r="I490" s="25"/>
      <c r="J490" s="26"/>
      <c r="K490" s="22"/>
      <c r="L490" s="23">
        <v>3</v>
      </c>
      <c r="M490" s="23">
        <v>6</v>
      </c>
      <c r="N490" s="24">
        <f t="shared" si="9"/>
        <v>6</v>
      </c>
      <c r="O490" s="17" t="s">
        <v>27</v>
      </c>
      <c r="P490" s="18" t="s">
        <v>4196</v>
      </c>
      <c r="Q490" t="s">
        <v>3864</v>
      </c>
    </row>
    <row r="491" spans="1:17" ht="39" customHeight="1" x14ac:dyDescent="0.3">
      <c r="A491" s="17" t="s">
        <v>4197</v>
      </c>
      <c r="B491" s="18" t="s">
        <v>4198</v>
      </c>
      <c r="C491" s="18" t="s">
        <v>225</v>
      </c>
      <c r="D491" s="18" t="s">
        <v>4199</v>
      </c>
      <c r="E491" s="18" t="s">
        <v>4200</v>
      </c>
      <c r="F491" s="18" t="s">
        <v>1697</v>
      </c>
      <c r="G491" s="18" t="s">
        <v>4201</v>
      </c>
      <c r="H491" s="17" t="s">
        <v>63</v>
      </c>
      <c r="I491" s="25"/>
      <c r="J491" s="26"/>
      <c r="K491" s="22"/>
      <c r="L491" s="23">
        <v>3.5</v>
      </c>
      <c r="M491" s="23">
        <v>7</v>
      </c>
      <c r="N491" s="24">
        <f t="shared" si="9"/>
        <v>7</v>
      </c>
      <c r="O491" s="17" t="s">
        <v>27</v>
      </c>
      <c r="P491" s="18" t="s">
        <v>4202</v>
      </c>
      <c r="Q491" t="s">
        <v>3864</v>
      </c>
    </row>
    <row r="492" spans="1:17" ht="39" customHeight="1" x14ac:dyDescent="0.3">
      <c r="A492" s="17" t="s">
        <v>4203</v>
      </c>
      <c r="B492" s="18" t="s">
        <v>4204</v>
      </c>
      <c r="C492" s="18" t="s">
        <v>4205</v>
      </c>
      <c r="D492" s="18" t="s">
        <v>4206</v>
      </c>
      <c r="E492" s="18" t="s">
        <v>4207</v>
      </c>
      <c r="F492" s="18" t="s">
        <v>1768</v>
      </c>
      <c r="G492" s="18" t="s">
        <v>4208</v>
      </c>
      <c r="H492" s="17" t="s">
        <v>63</v>
      </c>
      <c r="I492" s="25"/>
      <c r="J492" s="26"/>
      <c r="K492" s="22"/>
      <c r="L492" s="23">
        <v>3</v>
      </c>
      <c r="M492" s="23">
        <v>6</v>
      </c>
      <c r="N492" s="24">
        <f t="shared" si="9"/>
        <v>6</v>
      </c>
      <c r="O492" s="17" t="s">
        <v>27</v>
      </c>
      <c r="P492" s="18" t="s">
        <v>4209</v>
      </c>
      <c r="Q492" t="s">
        <v>4210</v>
      </c>
    </row>
    <row r="493" spans="1:17" ht="39" customHeight="1" x14ac:dyDescent="0.3">
      <c r="A493" s="17" t="s">
        <v>4211</v>
      </c>
      <c r="B493" s="18" t="s">
        <v>4212</v>
      </c>
      <c r="C493" s="18" t="s">
        <v>4213</v>
      </c>
      <c r="D493" s="18" t="s">
        <v>4214</v>
      </c>
      <c r="E493" s="18" t="s">
        <v>4215</v>
      </c>
      <c r="F493" s="18" t="s">
        <v>1768</v>
      </c>
      <c r="G493" s="18" t="s">
        <v>4216</v>
      </c>
      <c r="H493" s="17" t="s">
        <v>63</v>
      </c>
      <c r="I493" s="25"/>
      <c r="J493" s="26"/>
      <c r="K493" s="22"/>
      <c r="L493" s="23">
        <v>4</v>
      </c>
      <c r="M493" s="23">
        <v>8</v>
      </c>
      <c r="N493" s="24">
        <f t="shared" si="9"/>
        <v>8</v>
      </c>
      <c r="O493" s="17" t="s">
        <v>27</v>
      </c>
      <c r="P493" s="18" t="s">
        <v>4217</v>
      </c>
      <c r="Q493" t="s">
        <v>4218</v>
      </c>
    </row>
    <row r="494" spans="1:17" ht="39" customHeight="1" x14ac:dyDescent="0.3">
      <c r="A494" s="17" t="s">
        <v>4219</v>
      </c>
      <c r="B494" s="18" t="s">
        <v>4220</v>
      </c>
      <c r="C494" s="18" t="s">
        <v>4221</v>
      </c>
      <c r="D494" s="18" t="s">
        <v>4222</v>
      </c>
      <c r="E494" s="18" t="s">
        <v>4223</v>
      </c>
      <c r="F494" s="18" t="s">
        <v>2860</v>
      </c>
      <c r="G494" s="18" t="s">
        <v>4224</v>
      </c>
      <c r="H494" s="17" t="s">
        <v>63</v>
      </c>
      <c r="I494" s="25"/>
      <c r="J494" s="26"/>
      <c r="K494" s="22"/>
      <c r="L494" s="23">
        <v>4</v>
      </c>
      <c r="M494" s="23">
        <v>8</v>
      </c>
      <c r="N494" s="24">
        <f t="shared" si="9"/>
        <v>8</v>
      </c>
      <c r="O494" s="17" t="s">
        <v>27</v>
      </c>
      <c r="P494" s="18" t="s">
        <v>4225</v>
      </c>
      <c r="Q494" t="s">
        <v>4226</v>
      </c>
    </row>
    <row r="495" spans="1:17" ht="39" customHeight="1" x14ac:dyDescent="0.3">
      <c r="A495" s="17" t="s">
        <v>4227</v>
      </c>
      <c r="B495" s="18" t="s">
        <v>4228</v>
      </c>
      <c r="C495" s="18" t="s">
        <v>4229</v>
      </c>
      <c r="D495" s="18" t="s">
        <v>4230</v>
      </c>
      <c r="E495" s="18" t="s">
        <v>4231</v>
      </c>
      <c r="F495" s="18" t="s">
        <v>2860</v>
      </c>
      <c r="G495" s="18" t="s">
        <v>4232</v>
      </c>
      <c r="H495" s="17" t="s">
        <v>63</v>
      </c>
      <c r="I495" s="25"/>
      <c r="J495" s="26"/>
      <c r="K495" s="22"/>
      <c r="L495" s="23">
        <v>3.5</v>
      </c>
      <c r="M495" s="23">
        <v>7</v>
      </c>
      <c r="N495" s="24">
        <f t="shared" si="9"/>
        <v>7</v>
      </c>
      <c r="O495" s="17" t="s">
        <v>27</v>
      </c>
      <c r="P495" s="18" t="s">
        <v>4233</v>
      </c>
      <c r="Q495" t="s">
        <v>4234</v>
      </c>
    </row>
    <row r="496" spans="1:17" ht="39" customHeight="1" x14ac:dyDescent="0.3">
      <c r="A496" s="17" t="s">
        <v>4235</v>
      </c>
      <c r="B496" s="18" t="s">
        <v>4236</v>
      </c>
      <c r="C496" s="18" t="s">
        <v>4237</v>
      </c>
      <c r="D496" s="18" t="s">
        <v>4238</v>
      </c>
      <c r="E496" s="18" t="s">
        <v>4239</v>
      </c>
      <c r="F496" s="18" t="s">
        <v>4240</v>
      </c>
      <c r="G496" s="18" t="s">
        <v>4241</v>
      </c>
      <c r="H496" s="17" t="s">
        <v>63</v>
      </c>
      <c r="I496" s="25"/>
      <c r="J496" s="26"/>
      <c r="K496" s="22"/>
      <c r="L496" s="23">
        <v>3.5</v>
      </c>
      <c r="M496" s="23">
        <v>7</v>
      </c>
      <c r="N496" s="24">
        <f t="shared" si="9"/>
        <v>7</v>
      </c>
      <c r="O496" s="17" t="s">
        <v>27</v>
      </c>
      <c r="P496" s="18" t="s">
        <v>4242</v>
      </c>
      <c r="Q496" t="s">
        <v>4243</v>
      </c>
    </row>
    <row r="497" spans="1:17" ht="39" customHeight="1" x14ac:dyDescent="0.3">
      <c r="A497" s="17" t="s">
        <v>4244</v>
      </c>
      <c r="B497" s="18" t="s">
        <v>4245</v>
      </c>
      <c r="C497" s="18" t="s">
        <v>4246</v>
      </c>
      <c r="D497" s="18" t="s">
        <v>4247</v>
      </c>
      <c r="E497" s="18" t="s">
        <v>4248</v>
      </c>
      <c r="F497" s="18" t="s">
        <v>2860</v>
      </c>
      <c r="G497" s="18" t="s">
        <v>4249</v>
      </c>
      <c r="H497" s="17" t="s">
        <v>63</v>
      </c>
      <c r="I497" s="25"/>
      <c r="J497" s="26"/>
      <c r="K497" s="22"/>
      <c r="L497" s="23">
        <v>3</v>
      </c>
      <c r="M497" s="23">
        <v>6</v>
      </c>
      <c r="N497" s="24">
        <f t="shared" si="9"/>
        <v>6</v>
      </c>
      <c r="O497" s="17" t="s">
        <v>27</v>
      </c>
      <c r="P497" s="18" t="s">
        <v>4250</v>
      </c>
      <c r="Q497" t="s">
        <v>4251</v>
      </c>
    </row>
    <row r="498" spans="1:17" ht="39" customHeight="1" x14ac:dyDescent="0.3">
      <c r="A498" s="17" t="s">
        <v>4252</v>
      </c>
      <c r="B498" s="18" t="s">
        <v>4253</v>
      </c>
      <c r="C498" s="18" t="s">
        <v>4254</v>
      </c>
      <c r="D498" s="18" t="s">
        <v>4255</v>
      </c>
      <c r="E498" s="18" t="s">
        <v>4256</v>
      </c>
      <c r="F498" s="18" t="s">
        <v>2860</v>
      </c>
      <c r="G498" s="18" t="s">
        <v>4257</v>
      </c>
      <c r="H498" s="17" t="s">
        <v>63</v>
      </c>
      <c r="I498" s="25"/>
      <c r="J498" s="26"/>
      <c r="K498" s="22"/>
      <c r="L498" s="23">
        <v>3</v>
      </c>
      <c r="M498" s="23">
        <v>6</v>
      </c>
      <c r="N498" s="24">
        <f t="shared" si="9"/>
        <v>6</v>
      </c>
      <c r="O498" s="17" t="s">
        <v>27</v>
      </c>
      <c r="P498" s="18" t="s">
        <v>4258</v>
      </c>
      <c r="Q498" t="s">
        <v>4226</v>
      </c>
    </row>
    <row r="499" spans="1:17" ht="39" customHeight="1" x14ac:dyDescent="0.3">
      <c r="A499" s="17" t="s">
        <v>4259</v>
      </c>
      <c r="B499" s="18" t="s">
        <v>4260</v>
      </c>
      <c r="C499" s="18" t="s">
        <v>4261</v>
      </c>
      <c r="D499" s="18" t="s">
        <v>4262</v>
      </c>
      <c r="E499" s="18" t="s">
        <v>4263</v>
      </c>
      <c r="F499" s="18" t="s">
        <v>4240</v>
      </c>
      <c r="G499" s="18" t="s">
        <v>4264</v>
      </c>
      <c r="H499" s="17" t="s">
        <v>63</v>
      </c>
      <c r="I499" s="25"/>
      <c r="J499" s="26"/>
      <c r="K499" s="22"/>
      <c r="L499" s="23">
        <v>3.5</v>
      </c>
      <c r="M499" s="23">
        <v>7</v>
      </c>
      <c r="N499" s="24">
        <f t="shared" si="9"/>
        <v>7</v>
      </c>
      <c r="O499" s="17" t="s">
        <v>27</v>
      </c>
      <c r="P499" s="18" t="s">
        <v>4265</v>
      </c>
      <c r="Q499" t="s">
        <v>4210</v>
      </c>
    </row>
    <row r="500" spans="1:17" ht="39" customHeight="1" x14ac:dyDescent="0.3">
      <c r="A500" s="17" t="s">
        <v>4259</v>
      </c>
      <c r="B500" s="18" t="s">
        <v>4260</v>
      </c>
      <c r="C500" s="18" t="s">
        <v>4261</v>
      </c>
      <c r="D500" s="18" t="s">
        <v>4262</v>
      </c>
      <c r="E500" s="18" t="s">
        <v>4263</v>
      </c>
      <c r="F500" s="18" t="s">
        <v>4240</v>
      </c>
      <c r="G500" s="18" t="s">
        <v>4264</v>
      </c>
      <c r="H500" s="17" t="s">
        <v>63</v>
      </c>
      <c r="I500" s="25"/>
      <c r="J500" s="26"/>
      <c r="K500" s="22"/>
      <c r="L500" s="23">
        <v>3.5</v>
      </c>
      <c r="M500" s="23">
        <v>7</v>
      </c>
      <c r="N500" s="24">
        <f t="shared" si="9"/>
        <v>7</v>
      </c>
      <c r="O500" s="17" t="s">
        <v>27</v>
      </c>
      <c r="P500" s="18" t="s">
        <v>4265</v>
      </c>
      <c r="Q500" t="s">
        <v>4210</v>
      </c>
    </row>
    <row r="501" spans="1:17" ht="39" customHeight="1" x14ac:dyDescent="0.3">
      <c r="A501" s="17" t="s">
        <v>4266</v>
      </c>
      <c r="B501" s="18" t="s">
        <v>4267</v>
      </c>
      <c r="C501" s="18" t="s">
        <v>4268</v>
      </c>
      <c r="D501" s="18" t="s">
        <v>4269</v>
      </c>
      <c r="E501" s="18" t="s">
        <v>4270</v>
      </c>
      <c r="F501" s="18" t="s">
        <v>2860</v>
      </c>
      <c r="G501" s="18" t="s">
        <v>4271</v>
      </c>
      <c r="H501" s="17" t="s">
        <v>63</v>
      </c>
      <c r="I501" s="25"/>
      <c r="J501" s="26"/>
      <c r="K501" s="22"/>
      <c r="L501" s="23">
        <v>3</v>
      </c>
      <c r="M501" s="23">
        <v>6</v>
      </c>
      <c r="N501" s="24">
        <f t="shared" si="9"/>
        <v>6</v>
      </c>
      <c r="O501" s="17" t="s">
        <v>27</v>
      </c>
      <c r="P501" s="18" t="s">
        <v>4272</v>
      </c>
      <c r="Q501" t="s">
        <v>4251</v>
      </c>
    </row>
    <row r="502" spans="1:17" ht="39" customHeight="1" x14ac:dyDescent="0.3">
      <c r="A502" s="17" t="s">
        <v>4266</v>
      </c>
      <c r="B502" s="18" t="s">
        <v>4267</v>
      </c>
      <c r="C502" s="18" t="s">
        <v>4268</v>
      </c>
      <c r="D502" s="18" t="s">
        <v>4269</v>
      </c>
      <c r="E502" s="18" t="s">
        <v>4270</v>
      </c>
      <c r="F502" s="18" t="s">
        <v>2860</v>
      </c>
      <c r="G502" s="18" t="s">
        <v>4271</v>
      </c>
      <c r="H502" s="17" t="s">
        <v>63</v>
      </c>
      <c r="I502" s="25"/>
      <c r="J502" s="26"/>
      <c r="K502" s="22"/>
      <c r="L502" s="23">
        <v>3</v>
      </c>
      <c r="M502" s="23">
        <v>6</v>
      </c>
      <c r="N502" s="24">
        <f t="shared" si="9"/>
        <v>6</v>
      </c>
      <c r="O502" s="17" t="s">
        <v>27</v>
      </c>
      <c r="P502" s="18" t="s">
        <v>4272</v>
      </c>
      <c r="Q502" t="s">
        <v>4251</v>
      </c>
    </row>
    <row r="503" spans="1:17" ht="39" customHeight="1" x14ac:dyDescent="0.3">
      <c r="A503" s="17" t="s">
        <v>4273</v>
      </c>
      <c r="B503" s="18" t="s">
        <v>4274</v>
      </c>
      <c r="C503" s="18" t="s">
        <v>4275</v>
      </c>
      <c r="D503" s="18" t="s">
        <v>4276</v>
      </c>
      <c r="E503" s="18" t="s">
        <v>4277</v>
      </c>
      <c r="F503" s="18" t="s">
        <v>1768</v>
      </c>
      <c r="G503" s="18" t="s">
        <v>4278</v>
      </c>
      <c r="H503" s="17" t="s">
        <v>63</v>
      </c>
      <c r="I503" s="25"/>
      <c r="J503" s="26"/>
      <c r="K503" s="22"/>
      <c r="L503" s="23">
        <v>3.5</v>
      </c>
      <c r="M503" s="23">
        <v>7</v>
      </c>
      <c r="N503" s="24">
        <f t="shared" si="9"/>
        <v>7</v>
      </c>
      <c r="O503" s="17" t="s">
        <v>27</v>
      </c>
      <c r="P503" s="18" t="s">
        <v>4279</v>
      </c>
      <c r="Q503" t="s">
        <v>4210</v>
      </c>
    </row>
    <row r="504" spans="1:17" ht="39" customHeight="1" x14ac:dyDescent="0.3">
      <c r="A504" s="17" t="s">
        <v>4280</v>
      </c>
      <c r="B504" s="18" t="s">
        <v>4281</v>
      </c>
      <c r="C504" s="18" t="s">
        <v>4282</v>
      </c>
      <c r="D504" s="18" t="s">
        <v>3898</v>
      </c>
      <c r="E504" s="18" t="s">
        <v>4283</v>
      </c>
      <c r="F504" s="18" t="s">
        <v>1147</v>
      </c>
      <c r="G504" s="18" t="s">
        <v>4284</v>
      </c>
      <c r="H504" s="17" t="s">
        <v>63</v>
      </c>
      <c r="I504" s="25"/>
      <c r="J504" s="26"/>
      <c r="K504" s="22"/>
      <c r="L504" s="23">
        <v>3</v>
      </c>
      <c r="M504" s="23">
        <v>6</v>
      </c>
      <c r="N504" s="24">
        <f t="shared" si="9"/>
        <v>6</v>
      </c>
      <c r="O504" s="17" t="s">
        <v>27</v>
      </c>
      <c r="P504" s="18" t="s">
        <v>4285</v>
      </c>
      <c r="Q504" t="s">
        <v>4251</v>
      </c>
    </row>
    <row r="505" spans="1:17" ht="39" customHeight="1" x14ac:dyDescent="0.3">
      <c r="A505" s="17" t="s">
        <v>4286</v>
      </c>
      <c r="B505" s="18" t="s">
        <v>4287</v>
      </c>
      <c r="C505" s="18" t="s">
        <v>4291</v>
      </c>
      <c r="D505" s="18" t="s">
        <v>4292</v>
      </c>
      <c r="E505" s="18" t="s">
        <v>4293</v>
      </c>
      <c r="F505" s="18" t="s">
        <v>1147</v>
      </c>
      <c r="G505" s="18" t="s">
        <v>4294</v>
      </c>
      <c r="H505" s="17" t="s">
        <v>63</v>
      </c>
      <c r="I505" s="25"/>
      <c r="J505" s="26"/>
      <c r="K505" s="22"/>
      <c r="L505" s="23">
        <v>3.5</v>
      </c>
      <c r="M505" s="23">
        <v>7</v>
      </c>
      <c r="N505" s="24">
        <f t="shared" si="9"/>
        <v>7</v>
      </c>
      <c r="O505" s="17" t="s">
        <v>27</v>
      </c>
      <c r="P505" s="18" t="s">
        <v>4295</v>
      </c>
      <c r="Q505" t="s">
        <v>4251</v>
      </c>
    </row>
    <row r="506" spans="1:17" ht="39" customHeight="1" x14ac:dyDescent="0.3">
      <c r="A506" s="17" t="s">
        <v>4288</v>
      </c>
      <c r="B506" s="18" t="s">
        <v>4296</v>
      </c>
      <c r="C506" s="18" t="s">
        <v>4297</v>
      </c>
      <c r="D506" s="18" t="s">
        <v>4298</v>
      </c>
      <c r="E506" s="18" t="s">
        <v>4299</v>
      </c>
      <c r="F506" s="18" t="s">
        <v>1147</v>
      </c>
      <c r="G506" s="18" t="s">
        <v>4300</v>
      </c>
      <c r="H506" s="17" t="s">
        <v>63</v>
      </c>
      <c r="I506" s="25"/>
      <c r="J506" s="26"/>
      <c r="K506" s="22"/>
      <c r="L506" s="23">
        <v>3</v>
      </c>
      <c r="M506" s="23">
        <v>6</v>
      </c>
      <c r="N506" s="24">
        <f t="shared" si="9"/>
        <v>6</v>
      </c>
      <c r="O506" s="17" t="s">
        <v>27</v>
      </c>
      <c r="P506" s="18" t="s">
        <v>4301</v>
      </c>
      <c r="Q506" t="s">
        <v>4226</v>
      </c>
    </row>
    <row r="507" spans="1:17" ht="39" customHeight="1" x14ac:dyDescent="0.3">
      <c r="A507" s="17" t="s">
        <v>4289</v>
      </c>
      <c r="B507" s="18" t="s">
        <v>4290</v>
      </c>
      <c r="C507" s="18" t="s">
        <v>4302</v>
      </c>
      <c r="D507" s="18" t="s">
        <v>4303</v>
      </c>
      <c r="E507" s="18" t="s">
        <v>4304</v>
      </c>
      <c r="F507" s="18" t="s">
        <v>1768</v>
      </c>
      <c r="G507" s="18" t="s">
        <v>4305</v>
      </c>
      <c r="H507" s="17" t="s">
        <v>63</v>
      </c>
      <c r="I507" s="25"/>
      <c r="J507" s="26"/>
      <c r="K507" s="22"/>
      <c r="L507" s="23">
        <v>3</v>
      </c>
      <c r="M507" s="23">
        <v>6</v>
      </c>
      <c r="N507" s="24">
        <f t="shared" si="9"/>
        <v>6</v>
      </c>
      <c r="O507" s="17" t="s">
        <v>27</v>
      </c>
      <c r="P507" s="18" t="s">
        <v>4306</v>
      </c>
      <c r="Q507" t="s">
        <v>4210</v>
      </c>
    </row>
    <row r="508" spans="1:17" ht="39" customHeight="1" x14ac:dyDescent="0.3">
      <c r="A508" s="17" t="s">
        <v>4307</v>
      </c>
      <c r="B508" s="18" t="s">
        <v>4308</v>
      </c>
      <c r="C508" s="18" t="s">
        <v>4309</v>
      </c>
      <c r="D508" s="18" t="s">
        <v>3222</v>
      </c>
      <c r="E508" s="18" t="s">
        <v>4310</v>
      </c>
      <c r="F508" s="18" t="s">
        <v>1147</v>
      </c>
      <c r="G508" s="18" t="s">
        <v>4311</v>
      </c>
      <c r="H508" s="17" t="s">
        <v>63</v>
      </c>
      <c r="I508" s="25"/>
      <c r="J508" s="26"/>
      <c r="K508" s="22"/>
      <c r="L508" s="23">
        <v>4</v>
      </c>
      <c r="M508" s="23">
        <v>8</v>
      </c>
      <c r="N508" s="24">
        <f t="shared" si="9"/>
        <v>8</v>
      </c>
      <c r="O508" s="17" t="s">
        <v>27</v>
      </c>
      <c r="P508" s="18" t="s">
        <v>4312</v>
      </c>
      <c r="Q508" t="s">
        <v>4251</v>
      </c>
    </row>
    <row r="509" spans="1:17" ht="39" customHeight="1" x14ac:dyDescent="0.3">
      <c r="A509" s="17" t="s">
        <v>4313</v>
      </c>
      <c r="B509" s="18" t="s">
        <v>4314</v>
      </c>
      <c r="C509" s="18" t="s">
        <v>4315</v>
      </c>
      <c r="D509" s="18" t="s">
        <v>2530</v>
      </c>
      <c r="E509" s="18" t="s">
        <v>4316</v>
      </c>
      <c r="F509" s="18" t="s">
        <v>1768</v>
      </c>
      <c r="G509" s="18" t="s">
        <v>4317</v>
      </c>
      <c r="H509" s="17" t="s">
        <v>63</v>
      </c>
      <c r="I509" s="25"/>
      <c r="J509" s="26"/>
      <c r="K509" s="22"/>
      <c r="L509" s="23">
        <v>3.5</v>
      </c>
      <c r="M509" s="23">
        <v>7</v>
      </c>
      <c r="N509" s="24">
        <f t="shared" si="9"/>
        <v>7</v>
      </c>
      <c r="O509" s="17" t="s">
        <v>27</v>
      </c>
      <c r="P509" s="18" t="s">
        <v>4318</v>
      </c>
      <c r="Q509" t="s">
        <v>4210</v>
      </c>
    </row>
    <row r="510" spans="1:17" ht="39" customHeight="1" x14ac:dyDescent="0.3">
      <c r="A510" s="17" t="s">
        <v>4319</v>
      </c>
      <c r="B510" s="18" t="s">
        <v>4320</v>
      </c>
      <c r="C510" s="18" t="s">
        <v>4321</v>
      </c>
      <c r="D510" s="18" t="s">
        <v>2530</v>
      </c>
      <c r="E510" s="18" t="s">
        <v>4322</v>
      </c>
      <c r="F510" s="18" t="s">
        <v>1147</v>
      </c>
      <c r="G510" s="18" t="s">
        <v>4323</v>
      </c>
      <c r="H510" s="17" t="s">
        <v>63</v>
      </c>
      <c r="I510" s="25"/>
      <c r="J510" s="26"/>
      <c r="K510" s="22"/>
      <c r="L510" s="23">
        <v>3.5</v>
      </c>
      <c r="M510" s="23">
        <v>7</v>
      </c>
      <c r="N510" s="24">
        <f t="shared" si="9"/>
        <v>7</v>
      </c>
      <c r="O510" s="17" t="s">
        <v>27</v>
      </c>
      <c r="P510" s="18" t="s">
        <v>4324</v>
      </c>
      <c r="Q510" t="s">
        <v>4251</v>
      </c>
    </row>
    <row r="511" spans="1:17" ht="39" customHeight="1" x14ac:dyDescent="0.3">
      <c r="A511" s="17" t="s">
        <v>4325</v>
      </c>
      <c r="B511" s="18" t="s">
        <v>4326</v>
      </c>
      <c r="C511" s="18" t="s">
        <v>4327</v>
      </c>
      <c r="D511" s="18" t="s">
        <v>4328</v>
      </c>
      <c r="E511" s="18" t="s">
        <v>4329</v>
      </c>
      <c r="F511" s="18" t="s">
        <v>1147</v>
      </c>
      <c r="G511" s="18" t="s">
        <v>4330</v>
      </c>
      <c r="H511" s="17" t="s">
        <v>63</v>
      </c>
      <c r="I511" s="25"/>
      <c r="J511" s="26"/>
      <c r="K511" s="22"/>
      <c r="L511" s="23">
        <v>3.5</v>
      </c>
      <c r="M511" s="23">
        <v>7</v>
      </c>
      <c r="N511" s="24">
        <f t="shared" si="9"/>
        <v>7</v>
      </c>
      <c r="O511" s="17" t="s">
        <v>27</v>
      </c>
      <c r="P511" s="18" t="s">
        <v>4331</v>
      </c>
      <c r="Q511" t="s">
        <v>4251</v>
      </c>
    </row>
    <row r="512" spans="1:17" ht="39" customHeight="1" x14ac:dyDescent="0.3">
      <c r="A512" s="17" t="s">
        <v>4332</v>
      </c>
      <c r="B512" s="18" t="s">
        <v>4333</v>
      </c>
      <c r="C512" s="18" t="s">
        <v>4334</v>
      </c>
      <c r="D512" s="18" t="s">
        <v>4335</v>
      </c>
      <c r="E512" s="18" t="s">
        <v>4336</v>
      </c>
      <c r="F512" s="18" t="s">
        <v>1147</v>
      </c>
      <c r="G512" s="18" t="s">
        <v>4337</v>
      </c>
      <c r="H512" s="17" t="s">
        <v>63</v>
      </c>
      <c r="I512" s="25"/>
      <c r="J512" s="26"/>
      <c r="K512" s="22"/>
      <c r="L512" s="23">
        <v>3.5</v>
      </c>
      <c r="M512" s="23">
        <v>7</v>
      </c>
      <c r="N512" s="24">
        <f t="shared" si="9"/>
        <v>7</v>
      </c>
      <c r="O512" s="17" t="s">
        <v>27</v>
      </c>
      <c r="P512" s="18" t="s">
        <v>4338</v>
      </c>
      <c r="Q512" t="s">
        <v>4226</v>
      </c>
    </row>
    <row r="513" spans="1:17" ht="39" customHeight="1" x14ac:dyDescent="0.3">
      <c r="A513" s="17" t="s">
        <v>4339</v>
      </c>
      <c r="B513" s="18" t="s">
        <v>4340</v>
      </c>
      <c r="C513" s="18" t="s">
        <v>4341</v>
      </c>
      <c r="D513" s="18" t="s">
        <v>4342</v>
      </c>
      <c r="E513" s="18" t="s">
        <v>4343</v>
      </c>
      <c r="F513" s="18" t="s">
        <v>4344</v>
      </c>
      <c r="G513" s="18" t="s">
        <v>4345</v>
      </c>
      <c r="H513" s="17" t="s">
        <v>63</v>
      </c>
      <c r="I513" s="25"/>
      <c r="J513" s="26"/>
      <c r="K513" s="22"/>
      <c r="L513" s="23">
        <v>3.5</v>
      </c>
      <c r="M513" s="23">
        <v>7</v>
      </c>
      <c r="N513" s="24">
        <f t="shared" si="9"/>
        <v>7</v>
      </c>
      <c r="O513" s="17" t="s">
        <v>27</v>
      </c>
      <c r="P513" s="18" t="s">
        <v>4346</v>
      </c>
      <c r="Q513" t="s">
        <v>4347</v>
      </c>
    </row>
    <row r="514" spans="1:17" ht="39" customHeight="1" x14ac:dyDescent="0.3">
      <c r="A514" s="17" t="s">
        <v>4348</v>
      </c>
      <c r="B514" s="18" t="s">
        <v>4349</v>
      </c>
      <c r="C514" s="18" t="s">
        <v>4350</v>
      </c>
      <c r="D514" s="18" t="s">
        <v>4351</v>
      </c>
      <c r="E514" s="18" t="s">
        <v>4352</v>
      </c>
      <c r="F514" s="18" t="s">
        <v>4353</v>
      </c>
      <c r="G514" s="18" t="s">
        <v>4354</v>
      </c>
      <c r="H514" s="17" t="s">
        <v>63</v>
      </c>
      <c r="I514" s="25"/>
      <c r="J514" s="26"/>
      <c r="K514" s="22"/>
      <c r="L514" s="23">
        <v>5</v>
      </c>
      <c r="M514" s="23">
        <v>10</v>
      </c>
      <c r="N514" s="24">
        <f t="shared" si="9"/>
        <v>10</v>
      </c>
      <c r="O514" s="17" t="s">
        <v>27</v>
      </c>
      <c r="P514" s="18" t="s">
        <v>4355</v>
      </c>
      <c r="Q514" t="s">
        <v>4356</v>
      </c>
    </row>
    <row r="515" spans="1:17" ht="39" customHeight="1" x14ac:dyDescent="0.3">
      <c r="A515" s="17" t="s">
        <v>4357</v>
      </c>
      <c r="B515" s="18" t="s">
        <v>4358</v>
      </c>
      <c r="C515" s="18" t="s">
        <v>4359</v>
      </c>
      <c r="D515" s="18" t="s">
        <v>4360</v>
      </c>
      <c r="E515" s="18" t="s">
        <v>4361</v>
      </c>
      <c r="F515" s="18" t="s">
        <v>4344</v>
      </c>
      <c r="G515" s="18" t="s">
        <v>4362</v>
      </c>
      <c r="H515" s="17" t="s">
        <v>63</v>
      </c>
      <c r="I515" s="25"/>
      <c r="J515" s="26"/>
      <c r="K515" s="22"/>
      <c r="L515" s="23">
        <v>4</v>
      </c>
      <c r="M515" s="23">
        <v>8</v>
      </c>
      <c r="N515" s="24">
        <f t="shared" si="9"/>
        <v>8</v>
      </c>
      <c r="O515" s="17" t="s">
        <v>27</v>
      </c>
      <c r="P515" s="18" t="s">
        <v>4363</v>
      </c>
      <c r="Q515" t="s">
        <v>4364</v>
      </c>
    </row>
    <row r="516" spans="1:17" ht="39" customHeight="1" x14ac:dyDescent="0.3">
      <c r="A516" s="17" t="s">
        <v>4365</v>
      </c>
      <c r="B516" s="18" t="s">
        <v>4366</v>
      </c>
      <c r="C516" s="18" t="s">
        <v>4367</v>
      </c>
      <c r="D516" s="18" t="s">
        <v>4368</v>
      </c>
      <c r="E516" s="18" t="s">
        <v>4369</v>
      </c>
      <c r="F516" s="18" t="s">
        <v>4370</v>
      </c>
      <c r="G516" s="18" t="s">
        <v>4371</v>
      </c>
      <c r="H516" s="17" t="s">
        <v>63</v>
      </c>
      <c r="I516" s="25"/>
      <c r="J516" s="26"/>
      <c r="K516" s="22"/>
      <c r="L516" s="23">
        <v>3.5</v>
      </c>
      <c r="M516" s="23">
        <v>7</v>
      </c>
      <c r="N516" s="24">
        <f t="shared" si="9"/>
        <v>7</v>
      </c>
      <c r="O516" s="17" t="s">
        <v>27</v>
      </c>
      <c r="P516" s="18" t="s">
        <v>4372</v>
      </c>
      <c r="Q516" t="s">
        <v>4373</v>
      </c>
    </row>
    <row r="517" spans="1:17" ht="39" customHeight="1" x14ac:dyDescent="0.3">
      <c r="A517" s="17" t="s">
        <v>4374</v>
      </c>
      <c r="B517" s="18" t="s">
        <v>4375</v>
      </c>
      <c r="C517" s="18" t="s">
        <v>4376</v>
      </c>
      <c r="D517" s="18" t="s">
        <v>4377</v>
      </c>
      <c r="E517" s="18" t="s">
        <v>4378</v>
      </c>
      <c r="F517" s="18" t="s">
        <v>4379</v>
      </c>
      <c r="G517" s="18" t="s">
        <v>4380</v>
      </c>
      <c r="H517" s="17" t="s">
        <v>63</v>
      </c>
      <c r="I517" s="25"/>
      <c r="J517" s="26"/>
      <c r="K517" s="22"/>
      <c r="L517" s="23">
        <v>3</v>
      </c>
      <c r="M517" s="23">
        <v>6</v>
      </c>
      <c r="N517" s="24">
        <f t="shared" si="9"/>
        <v>6</v>
      </c>
      <c r="O517" s="17" t="s">
        <v>27</v>
      </c>
      <c r="P517" s="18" t="s">
        <v>4381</v>
      </c>
      <c r="Q517" t="s">
        <v>4382</v>
      </c>
    </row>
    <row r="518" spans="1:17" ht="39" customHeight="1" x14ac:dyDescent="0.3">
      <c r="A518" s="17" t="s">
        <v>4383</v>
      </c>
      <c r="B518" s="18" t="s">
        <v>4384</v>
      </c>
      <c r="C518" s="18" t="s">
        <v>4385</v>
      </c>
      <c r="D518" s="18" t="s">
        <v>4386</v>
      </c>
      <c r="E518" s="18" t="s">
        <v>4387</v>
      </c>
      <c r="F518" s="18" t="s">
        <v>4388</v>
      </c>
      <c r="G518" s="18" t="s">
        <v>4389</v>
      </c>
      <c r="H518" s="17" t="s">
        <v>63</v>
      </c>
      <c r="I518" s="25"/>
      <c r="J518" s="26"/>
      <c r="K518" s="22"/>
      <c r="L518" s="23">
        <v>3.5</v>
      </c>
      <c r="M518" s="60">
        <v>7</v>
      </c>
      <c r="N518" s="24">
        <f t="shared" si="9"/>
        <v>7</v>
      </c>
      <c r="O518" s="17" t="s">
        <v>27</v>
      </c>
      <c r="P518" s="18" t="s">
        <v>4390</v>
      </c>
      <c r="Q518" t="s">
        <v>4391</v>
      </c>
    </row>
    <row r="519" spans="1:17" ht="39" customHeight="1" x14ac:dyDescent="0.3">
      <c r="A519" s="17" t="s">
        <v>4392</v>
      </c>
      <c r="B519" s="18" t="s">
        <v>4393</v>
      </c>
      <c r="C519" s="18" t="s">
        <v>4394</v>
      </c>
      <c r="D519" s="18" t="s">
        <v>4395</v>
      </c>
      <c r="E519" s="18" t="s">
        <v>4396</v>
      </c>
      <c r="F519" s="18" t="s">
        <v>4388</v>
      </c>
      <c r="G519" s="18" t="s">
        <v>4397</v>
      </c>
      <c r="H519" s="17" t="s">
        <v>63</v>
      </c>
      <c r="I519" s="25"/>
      <c r="J519" s="26"/>
      <c r="K519" s="22"/>
      <c r="L519" s="23">
        <v>4</v>
      </c>
      <c r="M519" s="23">
        <v>8</v>
      </c>
      <c r="N519" s="24">
        <f t="shared" ref="N519:N550" si="10">MAX(L519,M519)</f>
        <v>8</v>
      </c>
      <c r="O519" s="17" t="s">
        <v>27</v>
      </c>
      <c r="P519" s="18" t="s">
        <v>4398</v>
      </c>
      <c r="Q519" t="s">
        <v>4399</v>
      </c>
    </row>
    <row r="520" spans="1:17" ht="39" customHeight="1" x14ac:dyDescent="0.3">
      <c r="A520" s="17" t="s">
        <v>4400</v>
      </c>
      <c r="B520" s="18" t="s">
        <v>4401</v>
      </c>
      <c r="C520" s="18" t="s">
        <v>4402</v>
      </c>
      <c r="D520" s="18" t="s">
        <v>4403</v>
      </c>
      <c r="E520" s="18" t="s">
        <v>4404</v>
      </c>
      <c r="F520" s="18" t="s">
        <v>4405</v>
      </c>
      <c r="G520" s="18" t="s">
        <v>4406</v>
      </c>
      <c r="H520" s="17" t="s">
        <v>63</v>
      </c>
      <c r="I520" s="25"/>
      <c r="J520" s="26"/>
      <c r="K520" s="22"/>
      <c r="L520" s="23">
        <v>3.5</v>
      </c>
      <c r="M520" s="23">
        <v>7</v>
      </c>
      <c r="N520" s="24">
        <f t="shared" si="10"/>
        <v>7</v>
      </c>
      <c r="O520" s="17" t="s">
        <v>27</v>
      </c>
      <c r="P520" s="18" t="s">
        <v>4407</v>
      </c>
      <c r="Q520" t="s">
        <v>4408</v>
      </c>
    </row>
    <row r="521" spans="1:17" ht="39" customHeight="1" x14ac:dyDescent="0.3">
      <c r="A521" s="17" t="s">
        <v>4409</v>
      </c>
      <c r="B521" s="18" t="s">
        <v>4410</v>
      </c>
      <c r="C521" s="18" t="s">
        <v>4411</v>
      </c>
      <c r="D521" s="18" t="s">
        <v>4412</v>
      </c>
      <c r="E521" s="18" t="s">
        <v>4413</v>
      </c>
      <c r="F521" s="18" t="s">
        <v>4414</v>
      </c>
      <c r="G521" s="18" t="s">
        <v>4415</v>
      </c>
      <c r="H521" s="17" t="s">
        <v>63</v>
      </c>
      <c r="I521" s="25"/>
      <c r="J521" s="26"/>
      <c r="K521" s="22"/>
      <c r="L521" s="23">
        <v>3.5</v>
      </c>
      <c r="M521" s="23">
        <v>7</v>
      </c>
      <c r="N521" s="24">
        <f t="shared" si="10"/>
        <v>7</v>
      </c>
      <c r="O521" s="17" t="s">
        <v>27</v>
      </c>
      <c r="P521" s="18" t="s">
        <v>4416</v>
      </c>
      <c r="Q521" t="s">
        <v>4417</v>
      </c>
    </row>
    <row r="522" spans="1:17" ht="39" customHeight="1" x14ac:dyDescent="0.3">
      <c r="A522" s="17" t="s">
        <v>4418</v>
      </c>
      <c r="B522" s="18" t="s">
        <v>4419</v>
      </c>
      <c r="C522" s="18" t="s">
        <v>4420</v>
      </c>
      <c r="D522" s="18" t="s">
        <v>4421</v>
      </c>
      <c r="E522" s="18" t="s">
        <v>4422</v>
      </c>
      <c r="F522" s="18" t="s">
        <v>4423</v>
      </c>
      <c r="G522" s="18" t="s">
        <v>4424</v>
      </c>
      <c r="H522" s="17" t="s">
        <v>63</v>
      </c>
      <c r="I522" s="25"/>
      <c r="J522" s="26"/>
      <c r="K522" s="22"/>
      <c r="L522" s="23">
        <v>4</v>
      </c>
      <c r="M522" s="23">
        <v>8</v>
      </c>
      <c r="N522" s="24">
        <f t="shared" si="10"/>
        <v>8</v>
      </c>
      <c r="O522" s="17" t="s">
        <v>27</v>
      </c>
      <c r="P522" s="18" t="s">
        <v>4425</v>
      </c>
      <c r="Q522" t="s">
        <v>4426</v>
      </c>
    </row>
    <row r="523" spans="1:17" ht="39" customHeight="1" x14ac:dyDescent="0.3">
      <c r="A523" s="17" t="s">
        <v>4427</v>
      </c>
      <c r="B523" s="18" t="s">
        <v>4428</v>
      </c>
      <c r="C523" s="18" t="s">
        <v>4429</v>
      </c>
      <c r="D523" s="18" t="s">
        <v>2088</v>
      </c>
      <c r="E523" s="18" t="s">
        <v>4430</v>
      </c>
      <c r="F523" s="18" t="s">
        <v>1768</v>
      </c>
      <c r="G523" s="18" t="s">
        <v>4431</v>
      </c>
      <c r="H523" s="17" t="s">
        <v>63</v>
      </c>
      <c r="I523" s="25"/>
      <c r="J523" s="26"/>
      <c r="K523" s="22"/>
      <c r="L523" s="23">
        <v>4</v>
      </c>
      <c r="M523" s="23">
        <v>8</v>
      </c>
      <c r="N523" s="24">
        <f t="shared" si="10"/>
        <v>8</v>
      </c>
      <c r="O523" s="17" t="s">
        <v>27</v>
      </c>
      <c r="P523" s="18" t="s">
        <v>4432</v>
      </c>
      <c r="Q523" t="s">
        <v>4433</v>
      </c>
    </row>
    <row r="524" spans="1:17" ht="39" customHeight="1" x14ac:dyDescent="0.3">
      <c r="A524" s="17" t="s">
        <v>4434</v>
      </c>
      <c r="B524" s="18" t="s">
        <v>4435</v>
      </c>
      <c r="C524" s="18" t="s">
        <v>4436</v>
      </c>
      <c r="D524" s="18" t="s">
        <v>4437</v>
      </c>
      <c r="E524" s="18" t="s">
        <v>4438</v>
      </c>
      <c r="F524" s="18" t="s">
        <v>1768</v>
      </c>
      <c r="G524" s="18" t="s">
        <v>4439</v>
      </c>
      <c r="H524" s="17" t="s">
        <v>63</v>
      </c>
      <c r="I524" s="25"/>
      <c r="J524" s="26"/>
      <c r="K524" s="22"/>
      <c r="L524" s="23">
        <v>3.5</v>
      </c>
      <c r="M524" s="23">
        <v>7</v>
      </c>
      <c r="N524" s="24">
        <f t="shared" si="10"/>
        <v>7</v>
      </c>
      <c r="O524" s="17" t="s">
        <v>27</v>
      </c>
      <c r="P524" s="18" t="s">
        <v>4440</v>
      </c>
      <c r="Q524" t="s">
        <v>4441</v>
      </c>
    </row>
    <row r="525" spans="1:17" ht="39" customHeight="1" x14ac:dyDescent="0.3">
      <c r="A525" s="17" t="s">
        <v>4442</v>
      </c>
      <c r="B525" s="18" t="s">
        <v>4443</v>
      </c>
      <c r="C525" s="18" t="s">
        <v>4444</v>
      </c>
      <c r="D525" s="18" t="s">
        <v>4445</v>
      </c>
      <c r="E525" s="18" t="s">
        <v>4446</v>
      </c>
      <c r="F525" s="18" t="s">
        <v>1147</v>
      </c>
      <c r="G525" s="18" t="s">
        <v>4447</v>
      </c>
      <c r="H525" s="17" t="s">
        <v>63</v>
      </c>
      <c r="I525" s="25"/>
      <c r="J525" s="26"/>
      <c r="K525" s="22"/>
      <c r="L525" s="23">
        <v>4</v>
      </c>
      <c r="M525" s="23">
        <v>8</v>
      </c>
      <c r="N525" s="24">
        <f t="shared" si="10"/>
        <v>8</v>
      </c>
      <c r="O525" s="17" t="s">
        <v>27</v>
      </c>
      <c r="P525" s="18" t="s">
        <v>4448</v>
      </c>
      <c r="Q525" t="s">
        <v>4251</v>
      </c>
    </row>
    <row r="526" spans="1:17" ht="39" customHeight="1" x14ac:dyDescent="0.3">
      <c r="A526" s="17" t="s">
        <v>4449</v>
      </c>
      <c r="B526" s="18" t="s">
        <v>4450</v>
      </c>
      <c r="C526" s="18" t="s">
        <v>4451</v>
      </c>
      <c r="D526" s="18" t="s">
        <v>4452</v>
      </c>
      <c r="E526" s="18" t="s">
        <v>4453</v>
      </c>
      <c r="F526" s="18" t="s">
        <v>1147</v>
      </c>
      <c r="G526" s="18" t="s">
        <v>4454</v>
      </c>
      <c r="H526" s="17" t="s">
        <v>63</v>
      </c>
      <c r="I526" s="25"/>
      <c r="J526" s="26"/>
      <c r="K526" s="22"/>
      <c r="L526" s="23">
        <v>3.5</v>
      </c>
      <c r="M526" s="23">
        <v>7</v>
      </c>
      <c r="N526" s="24">
        <f t="shared" si="10"/>
        <v>7</v>
      </c>
      <c r="O526" s="17" t="s">
        <v>27</v>
      </c>
      <c r="P526" s="18" t="s">
        <v>4455</v>
      </c>
      <c r="Q526" t="s">
        <v>4251</v>
      </c>
    </row>
    <row r="527" spans="1:17" ht="39" customHeight="1" x14ac:dyDescent="0.3">
      <c r="A527" s="17" t="s">
        <v>4456</v>
      </c>
      <c r="B527" s="18" t="s">
        <v>4457</v>
      </c>
      <c r="C527" s="18" t="s">
        <v>4458</v>
      </c>
      <c r="D527" s="18" t="s">
        <v>4459</v>
      </c>
      <c r="E527" s="18" t="s">
        <v>4460</v>
      </c>
      <c r="F527" s="18" t="s">
        <v>1768</v>
      </c>
      <c r="G527" s="18" t="s">
        <v>4461</v>
      </c>
      <c r="H527" s="17" t="s">
        <v>63</v>
      </c>
      <c r="I527" s="25"/>
      <c r="J527" s="26"/>
      <c r="K527" s="22"/>
      <c r="L527" s="23">
        <v>4</v>
      </c>
      <c r="M527" s="23">
        <v>8</v>
      </c>
      <c r="N527" s="24">
        <f t="shared" si="10"/>
        <v>8</v>
      </c>
      <c r="O527" s="17" t="s">
        <v>27</v>
      </c>
      <c r="P527" s="18" t="s">
        <v>4462</v>
      </c>
      <c r="Q527" t="s">
        <v>4210</v>
      </c>
    </row>
    <row r="528" spans="1:17" ht="39" customHeight="1" x14ac:dyDescent="0.3">
      <c r="A528" s="17" t="s">
        <v>4463</v>
      </c>
      <c r="B528" s="18" t="s">
        <v>4464</v>
      </c>
      <c r="C528" s="18" t="s">
        <v>4465</v>
      </c>
      <c r="D528" s="18" t="s">
        <v>4466</v>
      </c>
      <c r="E528" s="18" t="s">
        <v>4467</v>
      </c>
      <c r="F528" s="18" t="s">
        <v>1147</v>
      </c>
      <c r="G528" s="18" t="s">
        <v>4468</v>
      </c>
      <c r="H528" s="17" t="s">
        <v>63</v>
      </c>
      <c r="I528" s="25"/>
      <c r="J528" s="26"/>
      <c r="K528" s="22"/>
      <c r="L528" s="23">
        <v>4</v>
      </c>
      <c r="M528" s="23">
        <v>8</v>
      </c>
      <c r="N528" s="24">
        <f t="shared" si="10"/>
        <v>8</v>
      </c>
      <c r="O528" s="17" t="s">
        <v>27</v>
      </c>
      <c r="P528" s="18" t="s">
        <v>4469</v>
      </c>
      <c r="Q528" t="s">
        <v>4470</v>
      </c>
    </row>
    <row r="529" spans="1:17" ht="39" customHeight="1" x14ac:dyDescent="0.3">
      <c r="A529" s="17" t="s">
        <v>4471</v>
      </c>
      <c r="B529" s="18" t="s">
        <v>4472</v>
      </c>
      <c r="C529" s="18" t="s">
        <v>4473</v>
      </c>
      <c r="D529" s="18" t="s">
        <v>4474</v>
      </c>
      <c r="E529" s="18" t="s">
        <v>4475</v>
      </c>
      <c r="F529" s="18" t="s">
        <v>1147</v>
      </c>
      <c r="G529" s="18" t="s">
        <v>4476</v>
      </c>
      <c r="H529" s="17" t="s">
        <v>63</v>
      </c>
      <c r="I529" s="25"/>
      <c r="J529" s="26"/>
      <c r="K529" s="22"/>
      <c r="L529" s="23">
        <v>4</v>
      </c>
      <c r="M529" s="23">
        <v>8</v>
      </c>
      <c r="N529" s="24">
        <f t="shared" si="10"/>
        <v>8</v>
      </c>
      <c r="O529" s="17" t="s">
        <v>27</v>
      </c>
      <c r="P529" s="18" t="s">
        <v>4477</v>
      </c>
      <c r="Q529" t="s">
        <v>4251</v>
      </c>
    </row>
    <row r="530" spans="1:17" ht="39" customHeight="1" x14ac:dyDescent="0.3">
      <c r="A530" s="17" t="s">
        <v>4478</v>
      </c>
      <c r="B530" s="18" t="s">
        <v>4472</v>
      </c>
      <c r="C530" s="18" t="s">
        <v>4473</v>
      </c>
      <c r="D530" s="18" t="s">
        <v>4474</v>
      </c>
      <c r="E530" s="18" t="s">
        <v>4475</v>
      </c>
      <c r="F530" s="18" t="s">
        <v>1147</v>
      </c>
      <c r="G530" s="18" t="s">
        <v>4479</v>
      </c>
      <c r="H530" s="17" t="s">
        <v>63</v>
      </c>
      <c r="I530" s="25"/>
      <c r="J530" s="26"/>
      <c r="K530" s="22"/>
      <c r="L530" s="23">
        <v>4</v>
      </c>
      <c r="M530" s="23">
        <v>8</v>
      </c>
      <c r="N530" s="24">
        <f t="shared" si="10"/>
        <v>8</v>
      </c>
      <c r="O530" s="17" t="s">
        <v>27</v>
      </c>
      <c r="P530" s="18" t="s">
        <v>4480</v>
      </c>
      <c r="Q530" t="s">
        <v>4470</v>
      </c>
    </row>
    <row r="531" spans="1:17" ht="39" customHeight="1" x14ac:dyDescent="0.3">
      <c r="A531" s="17" t="s">
        <v>4481</v>
      </c>
      <c r="B531" s="18" t="s">
        <v>4482</v>
      </c>
      <c r="C531" s="18" t="s">
        <v>4483</v>
      </c>
      <c r="D531" s="18" t="s">
        <v>4484</v>
      </c>
      <c r="E531" s="18" t="s">
        <v>4485</v>
      </c>
      <c r="F531" s="18" t="s">
        <v>1768</v>
      </c>
      <c r="G531" s="18" t="s">
        <v>4486</v>
      </c>
      <c r="H531" s="17" t="s">
        <v>63</v>
      </c>
      <c r="I531" s="25"/>
      <c r="J531" s="26"/>
      <c r="K531" s="22"/>
      <c r="L531" s="23">
        <v>3.5</v>
      </c>
      <c r="M531" s="23">
        <v>7</v>
      </c>
      <c r="N531" s="24">
        <f t="shared" si="10"/>
        <v>7</v>
      </c>
      <c r="O531" s="17" t="s">
        <v>27</v>
      </c>
      <c r="P531" s="18" t="s">
        <v>4487</v>
      </c>
      <c r="Q531" t="s">
        <v>4210</v>
      </c>
    </row>
    <row r="532" spans="1:17" ht="39" customHeight="1" x14ac:dyDescent="0.3">
      <c r="A532" s="17" t="s">
        <v>4488</v>
      </c>
      <c r="B532" s="18" t="s">
        <v>4489</v>
      </c>
      <c r="C532" s="18" t="s">
        <v>4490</v>
      </c>
      <c r="D532" s="18" t="s">
        <v>2088</v>
      </c>
      <c r="E532" s="18" t="s">
        <v>4491</v>
      </c>
      <c r="F532" s="18" t="s">
        <v>1147</v>
      </c>
      <c r="G532" s="18" t="s">
        <v>4492</v>
      </c>
      <c r="H532" s="17" t="s">
        <v>63</v>
      </c>
      <c r="I532" s="25"/>
      <c r="J532" s="26"/>
      <c r="K532" s="22"/>
      <c r="L532" s="23">
        <v>4.5</v>
      </c>
      <c r="M532" s="23">
        <v>9</v>
      </c>
      <c r="N532" s="24">
        <f t="shared" si="10"/>
        <v>9</v>
      </c>
      <c r="O532" s="17" t="s">
        <v>27</v>
      </c>
      <c r="P532" s="18" t="s">
        <v>4493</v>
      </c>
      <c r="Q532" t="s">
        <v>4251</v>
      </c>
    </row>
    <row r="533" spans="1:17" ht="39" customHeight="1" x14ac:dyDescent="0.3">
      <c r="A533" s="17" t="s">
        <v>4494</v>
      </c>
      <c r="B533" s="18" t="s">
        <v>4495</v>
      </c>
      <c r="C533" s="18" t="s">
        <v>4490</v>
      </c>
      <c r="D533" s="18" t="s">
        <v>2088</v>
      </c>
      <c r="E533" s="18" t="s">
        <v>4496</v>
      </c>
      <c r="F533" s="18" t="s">
        <v>1147</v>
      </c>
      <c r="G533" s="18" t="s">
        <v>4497</v>
      </c>
      <c r="H533" s="17" t="s">
        <v>63</v>
      </c>
      <c r="I533" s="25"/>
      <c r="J533" s="26"/>
      <c r="K533" s="22"/>
      <c r="L533" s="23">
        <v>4.5</v>
      </c>
      <c r="M533" s="23">
        <v>9</v>
      </c>
      <c r="N533" s="24">
        <f t="shared" si="10"/>
        <v>9</v>
      </c>
      <c r="O533" s="17" t="s">
        <v>27</v>
      </c>
      <c r="P533" s="18" t="s">
        <v>4498</v>
      </c>
      <c r="Q533" t="s">
        <v>4470</v>
      </c>
    </row>
    <row r="534" spans="1:17" ht="39" customHeight="1" x14ac:dyDescent="0.3">
      <c r="A534" s="17" t="s">
        <v>4499</v>
      </c>
      <c r="B534" s="18" t="s">
        <v>4500</v>
      </c>
      <c r="C534" s="18" t="s">
        <v>4490</v>
      </c>
      <c r="D534" s="18" t="s">
        <v>2088</v>
      </c>
      <c r="E534" s="18" t="s">
        <v>4501</v>
      </c>
      <c r="F534" s="18" t="s">
        <v>1147</v>
      </c>
      <c r="G534" s="18" t="s">
        <v>4502</v>
      </c>
      <c r="H534" s="17" t="s">
        <v>63</v>
      </c>
      <c r="I534" s="25"/>
      <c r="J534" s="26"/>
      <c r="K534" s="22"/>
      <c r="L534" s="23">
        <v>5</v>
      </c>
      <c r="M534" s="23">
        <v>10</v>
      </c>
      <c r="N534" s="24">
        <f t="shared" si="10"/>
        <v>10</v>
      </c>
      <c r="O534" s="17" t="s">
        <v>27</v>
      </c>
      <c r="P534" s="18" t="s">
        <v>4503</v>
      </c>
      <c r="Q534" t="s">
        <v>4504</v>
      </c>
    </row>
    <row r="535" spans="1:17" ht="39" customHeight="1" x14ac:dyDescent="0.3">
      <c r="A535" s="17" t="s">
        <v>4505</v>
      </c>
      <c r="B535" s="18" t="s">
        <v>4506</v>
      </c>
      <c r="C535" s="18" t="s">
        <v>4507</v>
      </c>
      <c r="D535" s="18" t="s">
        <v>2088</v>
      </c>
      <c r="E535" s="18" t="s">
        <v>4508</v>
      </c>
      <c r="F535" s="18" t="s">
        <v>1147</v>
      </c>
      <c r="G535" s="18" t="s">
        <v>4509</v>
      </c>
      <c r="H535" s="17" t="s">
        <v>63</v>
      </c>
      <c r="I535" s="25"/>
      <c r="J535" s="26"/>
      <c r="K535" s="22"/>
      <c r="L535" s="23">
        <v>4.5</v>
      </c>
      <c r="M535" s="23">
        <v>9</v>
      </c>
      <c r="N535" s="24">
        <f t="shared" si="10"/>
        <v>9</v>
      </c>
      <c r="O535" s="17" t="s">
        <v>27</v>
      </c>
      <c r="P535" s="18" t="s">
        <v>4510</v>
      </c>
      <c r="Q535" t="s">
        <v>4251</v>
      </c>
    </row>
    <row r="536" spans="1:17" ht="39" customHeight="1" x14ac:dyDescent="0.3">
      <c r="A536" s="17" t="s">
        <v>4511</v>
      </c>
      <c r="B536" s="18" t="s">
        <v>4512</v>
      </c>
      <c r="C536" s="18" t="s">
        <v>4507</v>
      </c>
      <c r="D536" s="18" t="s">
        <v>2088</v>
      </c>
      <c r="E536" s="18" t="s">
        <v>4513</v>
      </c>
      <c r="F536" s="18" t="s">
        <v>1147</v>
      </c>
      <c r="G536" s="18" t="s">
        <v>4514</v>
      </c>
      <c r="H536" s="17" t="s">
        <v>63</v>
      </c>
      <c r="I536" s="25"/>
      <c r="J536" s="26"/>
      <c r="K536" s="22"/>
      <c r="L536" s="23">
        <v>5</v>
      </c>
      <c r="M536" s="23">
        <v>10</v>
      </c>
      <c r="N536" s="24">
        <f t="shared" si="10"/>
        <v>10</v>
      </c>
      <c r="O536" s="17" t="s">
        <v>27</v>
      </c>
      <c r="P536" s="18" t="s">
        <v>4515</v>
      </c>
      <c r="Q536" t="s">
        <v>4470</v>
      </c>
    </row>
    <row r="537" spans="1:17" ht="39" customHeight="1" x14ac:dyDescent="0.3">
      <c r="A537" s="17" t="s">
        <v>4516</v>
      </c>
      <c r="B537" s="18" t="s">
        <v>4517</v>
      </c>
      <c r="C537" s="18" t="s">
        <v>4518</v>
      </c>
      <c r="D537" s="18" t="s">
        <v>4519</v>
      </c>
      <c r="E537" s="18" t="s">
        <v>4520</v>
      </c>
      <c r="F537" s="18" t="s">
        <v>1147</v>
      </c>
      <c r="G537" s="18" t="s">
        <v>4521</v>
      </c>
      <c r="H537" s="17" t="s">
        <v>63</v>
      </c>
      <c r="I537" s="25"/>
      <c r="J537" s="26"/>
      <c r="K537" s="22"/>
      <c r="L537" s="23">
        <v>4</v>
      </c>
      <c r="M537" s="23">
        <v>8</v>
      </c>
      <c r="N537" s="24">
        <f t="shared" si="10"/>
        <v>8</v>
      </c>
      <c r="O537" s="17" t="s">
        <v>27</v>
      </c>
      <c r="P537" s="18" t="s">
        <v>4522</v>
      </c>
      <c r="Q537" t="s">
        <v>4504</v>
      </c>
    </row>
    <row r="538" spans="1:17" ht="39" customHeight="1" x14ac:dyDescent="0.3">
      <c r="A538" s="17" t="s">
        <v>4523</v>
      </c>
      <c r="B538" s="18" t="s">
        <v>4524</v>
      </c>
      <c r="C538" s="18" t="s">
        <v>4525</v>
      </c>
      <c r="D538" s="18" t="s">
        <v>4526</v>
      </c>
      <c r="E538" s="18" t="s">
        <v>4527</v>
      </c>
      <c r="F538" s="18" t="s">
        <v>1147</v>
      </c>
      <c r="G538" s="18" t="s">
        <v>4528</v>
      </c>
      <c r="H538" s="17" t="s">
        <v>63</v>
      </c>
      <c r="I538" s="25"/>
      <c r="J538" s="26"/>
      <c r="K538" s="22"/>
      <c r="L538" s="23">
        <v>3.5</v>
      </c>
      <c r="M538" s="23">
        <v>7</v>
      </c>
      <c r="N538" s="24">
        <f t="shared" si="10"/>
        <v>7</v>
      </c>
      <c r="O538" s="17" t="s">
        <v>27</v>
      </c>
      <c r="P538" s="18" t="s">
        <v>4529</v>
      </c>
      <c r="Q538" t="s">
        <v>4504</v>
      </c>
    </row>
    <row r="539" spans="1:17" ht="39" customHeight="1" x14ac:dyDescent="0.3">
      <c r="A539" s="17" t="s">
        <v>4530</v>
      </c>
      <c r="B539" s="18" t="s">
        <v>4531</v>
      </c>
      <c r="C539" s="18" t="s">
        <v>4532</v>
      </c>
      <c r="D539" s="18" t="s">
        <v>639</v>
      </c>
      <c r="E539" s="18" t="s">
        <v>4533</v>
      </c>
      <c r="F539" s="18" t="s">
        <v>1768</v>
      </c>
      <c r="G539" s="18" t="s">
        <v>4534</v>
      </c>
      <c r="H539" s="17" t="s">
        <v>63</v>
      </c>
      <c r="I539" s="25"/>
      <c r="J539" s="26"/>
      <c r="K539" s="22"/>
      <c r="L539" s="23">
        <v>3.5</v>
      </c>
      <c r="M539" s="23">
        <v>7</v>
      </c>
      <c r="N539" s="24">
        <f t="shared" si="10"/>
        <v>7</v>
      </c>
      <c r="O539" s="17" t="s">
        <v>27</v>
      </c>
      <c r="P539" s="18" t="s">
        <v>4535</v>
      </c>
      <c r="Q539" t="s">
        <v>4536</v>
      </c>
    </row>
    <row r="540" spans="1:17" ht="39" customHeight="1" x14ac:dyDescent="0.3">
      <c r="A540" s="17" t="s">
        <v>4537</v>
      </c>
      <c r="B540" s="18" t="s">
        <v>4538</v>
      </c>
      <c r="C540" s="18" t="s">
        <v>4539</v>
      </c>
      <c r="D540" s="18" t="s">
        <v>2497</v>
      </c>
      <c r="E540" s="18" t="s">
        <v>4540</v>
      </c>
      <c r="F540" s="18" t="s">
        <v>2107</v>
      </c>
      <c r="G540" s="18" t="s">
        <v>4541</v>
      </c>
      <c r="H540" s="17" t="s">
        <v>63</v>
      </c>
      <c r="I540" s="25"/>
      <c r="J540" s="26"/>
      <c r="K540" s="22"/>
      <c r="L540" s="23">
        <v>4</v>
      </c>
      <c r="M540" s="23">
        <v>8</v>
      </c>
      <c r="N540" s="24">
        <f t="shared" si="10"/>
        <v>8</v>
      </c>
      <c r="O540" s="17" t="s">
        <v>27</v>
      </c>
      <c r="P540" s="18" t="s">
        <v>4542</v>
      </c>
      <c r="Q540" t="s">
        <v>4543</v>
      </c>
    </row>
    <row r="541" spans="1:17" ht="39" customHeight="1" x14ac:dyDescent="0.3">
      <c r="A541" s="17" t="s">
        <v>4544</v>
      </c>
      <c r="B541" s="18" t="s">
        <v>4545</v>
      </c>
      <c r="C541" s="18" t="s">
        <v>4546</v>
      </c>
      <c r="D541" s="18" t="s">
        <v>4547</v>
      </c>
      <c r="E541" s="18" t="s">
        <v>4548</v>
      </c>
      <c r="F541" s="18" t="s">
        <v>1768</v>
      </c>
      <c r="G541" s="18" t="s">
        <v>4549</v>
      </c>
      <c r="H541" s="17" t="s">
        <v>63</v>
      </c>
      <c r="I541" s="25"/>
      <c r="J541" s="26"/>
      <c r="K541" s="22"/>
      <c r="L541" s="23">
        <v>4</v>
      </c>
      <c r="M541" s="23">
        <v>8</v>
      </c>
      <c r="N541" s="24">
        <f t="shared" si="10"/>
        <v>8</v>
      </c>
      <c r="O541" s="17" t="s">
        <v>27</v>
      </c>
      <c r="P541" s="18" t="s">
        <v>4550</v>
      </c>
      <c r="Q541" t="s">
        <v>4551</v>
      </c>
    </row>
    <row r="542" spans="1:17" ht="39" customHeight="1" x14ac:dyDescent="0.3">
      <c r="A542" s="17" t="s">
        <v>4552</v>
      </c>
      <c r="B542" s="18" t="s">
        <v>4553</v>
      </c>
      <c r="C542" s="18" t="s">
        <v>4554</v>
      </c>
      <c r="D542" s="18" t="s">
        <v>4555</v>
      </c>
      <c r="E542" s="18" t="s">
        <v>4556</v>
      </c>
      <c r="F542" s="18" t="s">
        <v>2107</v>
      </c>
      <c r="G542" s="18" t="s">
        <v>4557</v>
      </c>
      <c r="H542" s="17" t="s">
        <v>63</v>
      </c>
      <c r="I542" s="25"/>
      <c r="J542" s="26"/>
      <c r="K542" s="22"/>
      <c r="L542" s="23">
        <v>4.5</v>
      </c>
      <c r="M542" s="23">
        <v>9</v>
      </c>
      <c r="N542" s="24">
        <f t="shared" si="10"/>
        <v>9</v>
      </c>
      <c r="O542" s="17" t="s">
        <v>27</v>
      </c>
      <c r="P542" s="18" t="s">
        <v>4558</v>
      </c>
      <c r="Q542" t="s">
        <v>4559</v>
      </c>
    </row>
    <row r="543" spans="1:17" ht="39" customHeight="1" x14ac:dyDescent="0.3">
      <c r="A543" s="17" t="s">
        <v>4560</v>
      </c>
      <c r="B543" s="18" t="s">
        <v>4561</v>
      </c>
      <c r="C543" s="18" t="s">
        <v>4562</v>
      </c>
      <c r="D543" s="18" t="s">
        <v>4547</v>
      </c>
      <c r="E543" s="18" t="s">
        <v>4563</v>
      </c>
      <c r="F543" s="18" t="s">
        <v>1147</v>
      </c>
      <c r="G543" s="18" t="s">
        <v>4564</v>
      </c>
      <c r="H543" s="17" t="s">
        <v>63</v>
      </c>
      <c r="I543" s="25"/>
      <c r="J543" s="26"/>
      <c r="K543" s="22"/>
      <c r="L543" s="23">
        <v>4.5</v>
      </c>
      <c r="M543" s="23">
        <v>9</v>
      </c>
      <c r="N543" s="24">
        <f t="shared" si="10"/>
        <v>9</v>
      </c>
      <c r="O543" s="17" t="s">
        <v>27</v>
      </c>
      <c r="P543" s="18" t="s">
        <v>4565</v>
      </c>
      <c r="Q543" t="s">
        <v>4566</v>
      </c>
    </row>
    <row r="544" spans="1:17" ht="39" customHeight="1" x14ac:dyDescent="0.3">
      <c r="A544" s="17" t="s">
        <v>4567</v>
      </c>
      <c r="B544" s="18" t="s">
        <v>4568</v>
      </c>
      <c r="C544" s="18" t="s">
        <v>4569</v>
      </c>
      <c r="D544" s="18" t="s">
        <v>4570</v>
      </c>
      <c r="E544" s="18" t="s">
        <v>4571</v>
      </c>
      <c r="F544" s="18" t="s">
        <v>1768</v>
      </c>
      <c r="G544" s="18" t="s">
        <v>4572</v>
      </c>
      <c r="H544" s="17" t="s">
        <v>63</v>
      </c>
      <c r="I544" s="25"/>
      <c r="J544" s="26"/>
      <c r="K544" s="22"/>
      <c r="L544" s="23">
        <v>4</v>
      </c>
      <c r="M544" s="23">
        <v>8</v>
      </c>
      <c r="N544" s="24">
        <f t="shared" si="10"/>
        <v>8</v>
      </c>
      <c r="O544" s="17" t="s">
        <v>27</v>
      </c>
      <c r="P544" s="18" t="s">
        <v>4573</v>
      </c>
      <c r="Q544" t="s">
        <v>4574</v>
      </c>
    </row>
    <row r="545" spans="1:17" ht="39" customHeight="1" x14ac:dyDescent="0.3">
      <c r="A545" s="17" t="s">
        <v>4575</v>
      </c>
      <c r="B545" s="18" t="s">
        <v>4576</v>
      </c>
      <c r="C545" s="18" t="s">
        <v>4577</v>
      </c>
      <c r="D545" s="18" t="s">
        <v>4578</v>
      </c>
      <c r="E545" s="18" t="s">
        <v>4579</v>
      </c>
      <c r="F545" s="18" t="s">
        <v>1147</v>
      </c>
      <c r="G545" s="18" t="s">
        <v>4580</v>
      </c>
      <c r="H545" s="17" t="s">
        <v>63</v>
      </c>
      <c r="I545" s="25"/>
      <c r="J545" s="26"/>
      <c r="K545" s="22"/>
      <c r="L545" s="23">
        <v>4.5</v>
      </c>
      <c r="M545" s="23">
        <v>9</v>
      </c>
      <c r="N545" s="24">
        <f t="shared" si="10"/>
        <v>9</v>
      </c>
      <c r="O545" s="17" t="s">
        <v>27</v>
      </c>
      <c r="P545" s="18" t="s">
        <v>4581</v>
      </c>
      <c r="Q545" t="s">
        <v>4582</v>
      </c>
    </row>
    <row r="546" spans="1:17" ht="39" customHeight="1" x14ac:dyDescent="0.3">
      <c r="A546" s="17" t="s">
        <v>4583</v>
      </c>
      <c r="B546" s="18" t="s">
        <v>4584</v>
      </c>
      <c r="C546" s="18" t="s">
        <v>4585</v>
      </c>
      <c r="D546" s="18" t="s">
        <v>4586</v>
      </c>
      <c r="E546" s="18" t="s">
        <v>4587</v>
      </c>
      <c r="F546" s="18" t="s">
        <v>1147</v>
      </c>
      <c r="G546" s="18" t="s">
        <v>4588</v>
      </c>
      <c r="H546" s="17" t="s">
        <v>63</v>
      </c>
      <c r="I546" s="25"/>
      <c r="J546" s="26"/>
      <c r="K546" s="22"/>
      <c r="L546" s="23">
        <v>4</v>
      </c>
      <c r="M546" s="23">
        <v>8</v>
      </c>
      <c r="N546" s="24">
        <f t="shared" si="10"/>
        <v>8</v>
      </c>
      <c r="O546" s="17" t="s">
        <v>27</v>
      </c>
      <c r="P546" s="18" t="s">
        <v>4589</v>
      </c>
      <c r="Q546" t="s">
        <v>4590</v>
      </c>
    </row>
    <row r="547" spans="1:17" ht="39" customHeight="1" x14ac:dyDescent="0.3">
      <c r="A547" s="17" t="s">
        <v>4591</v>
      </c>
      <c r="B547" s="18" t="s">
        <v>4592</v>
      </c>
      <c r="C547" s="18" t="s">
        <v>4593</v>
      </c>
      <c r="D547" s="18" t="s">
        <v>4594</v>
      </c>
      <c r="E547" s="18" t="s">
        <v>4595</v>
      </c>
      <c r="F547" s="18" t="s">
        <v>1768</v>
      </c>
      <c r="G547" s="18" t="s">
        <v>4596</v>
      </c>
      <c r="H547" s="17" t="s">
        <v>63</v>
      </c>
      <c r="I547" s="25"/>
      <c r="J547" s="26"/>
      <c r="K547" s="22"/>
      <c r="L547" s="23">
        <v>4</v>
      </c>
      <c r="M547" s="23">
        <v>8</v>
      </c>
      <c r="N547" s="24">
        <f t="shared" si="10"/>
        <v>8</v>
      </c>
      <c r="O547" s="17" t="s">
        <v>27</v>
      </c>
      <c r="P547" s="18" t="s">
        <v>4597</v>
      </c>
      <c r="Q547" t="s">
        <v>4598</v>
      </c>
    </row>
    <row r="548" spans="1:17" ht="39" customHeight="1" x14ac:dyDescent="0.3">
      <c r="A548" s="17" t="s">
        <v>4599</v>
      </c>
      <c r="B548" s="18" t="s">
        <v>4600</v>
      </c>
      <c r="C548" s="18" t="s">
        <v>4601</v>
      </c>
      <c r="D548" s="18" t="s">
        <v>4602</v>
      </c>
      <c r="E548" s="18" t="s">
        <v>4603</v>
      </c>
      <c r="F548" s="18" t="s">
        <v>2107</v>
      </c>
      <c r="G548" s="18" t="s">
        <v>4604</v>
      </c>
      <c r="H548" s="17" t="s">
        <v>63</v>
      </c>
      <c r="I548" s="25"/>
      <c r="J548" s="26"/>
      <c r="K548" s="22"/>
      <c r="L548" s="23">
        <v>4.5</v>
      </c>
      <c r="M548" s="23">
        <v>9</v>
      </c>
      <c r="N548" s="24">
        <f t="shared" si="10"/>
        <v>9</v>
      </c>
      <c r="O548" s="17" t="s">
        <v>27</v>
      </c>
      <c r="P548" s="18" t="s">
        <v>4605</v>
      </c>
      <c r="Q548" t="s">
        <v>4606</v>
      </c>
    </row>
    <row r="549" spans="1:17" ht="39" customHeight="1" x14ac:dyDescent="0.3">
      <c r="A549" s="17" t="s">
        <v>4607</v>
      </c>
      <c r="B549" s="18" t="s">
        <v>4608</v>
      </c>
      <c r="C549" s="18" t="s">
        <v>4609</v>
      </c>
      <c r="D549" s="18" t="s">
        <v>4610</v>
      </c>
      <c r="E549" s="18" t="s">
        <v>4611</v>
      </c>
      <c r="F549" s="18" t="s">
        <v>1147</v>
      </c>
      <c r="G549" s="18" t="s">
        <v>4612</v>
      </c>
      <c r="H549" s="17" t="s">
        <v>63</v>
      </c>
      <c r="I549" s="25"/>
      <c r="J549" s="26"/>
      <c r="K549" s="22"/>
      <c r="L549" s="23">
        <v>4.5</v>
      </c>
      <c r="M549" s="23">
        <v>9</v>
      </c>
      <c r="N549" s="24">
        <f t="shared" si="10"/>
        <v>9</v>
      </c>
      <c r="O549" s="17" t="s">
        <v>27</v>
      </c>
      <c r="P549" s="18" t="s">
        <v>4613</v>
      </c>
      <c r="Q549" t="s">
        <v>4582</v>
      </c>
    </row>
    <row r="550" spans="1:17" ht="39" customHeight="1" x14ac:dyDescent="0.3">
      <c r="A550" s="17" t="s">
        <v>4614</v>
      </c>
      <c r="B550" s="18" t="s">
        <v>4615</v>
      </c>
      <c r="C550" s="18" t="s">
        <v>4616</v>
      </c>
      <c r="D550" s="18" t="s">
        <v>4526</v>
      </c>
      <c r="E550" s="18" t="s">
        <v>4617</v>
      </c>
      <c r="F550" s="18" t="s">
        <v>1147</v>
      </c>
      <c r="G550" s="18" t="s">
        <v>4618</v>
      </c>
      <c r="H550" s="17" t="s">
        <v>63</v>
      </c>
      <c r="I550" s="25"/>
      <c r="J550" s="26"/>
      <c r="K550" s="22"/>
      <c r="L550" s="23">
        <v>4.5</v>
      </c>
      <c r="M550" s="23">
        <v>9</v>
      </c>
      <c r="N550" s="24">
        <f t="shared" si="10"/>
        <v>9</v>
      </c>
      <c r="O550" s="17" t="s">
        <v>27</v>
      </c>
      <c r="P550" s="18" t="s">
        <v>4619</v>
      </c>
      <c r="Q550" t="s">
        <v>4582</v>
      </c>
    </row>
    <row r="551" spans="1:17" ht="39" customHeight="1" x14ac:dyDescent="0.3">
      <c r="A551" s="17" t="s">
        <v>4620</v>
      </c>
      <c r="B551" s="18" t="s">
        <v>4621</v>
      </c>
      <c r="C551" s="18" t="s">
        <v>4622</v>
      </c>
      <c r="D551" s="18" t="s">
        <v>4623</v>
      </c>
      <c r="E551" s="18" t="s">
        <v>4624</v>
      </c>
      <c r="F551" s="18" t="s">
        <v>1768</v>
      </c>
      <c r="G551" s="18" t="s">
        <v>4625</v>
      </c>
      <c r="H551" s="17" t="s">
        <v>63</v>
      </c>
      <c r="I551" s="25"/>
      <c r="J551" s="26"/>
      <c r="K551" s="22"/>
      <c r="L551" s="23">
        <v>4</v>
      </c>
      <c r="M551" s="23">
        <v>8</v>
      </c>
      <c r="N551" s="24">
        <f t="shared" ref="N551:N582" si="11">MAX(L551,M551)</f>
        <v>8</v>
      </c>
      <c r="O551" s="17" t="s">
        <v>27</v>
      </c>
      <c r="P551" s="18" t="s">
        <v>4626</v>
      </c>
      <c r="Q551" t="s">
        <v>4627</v>
      </c>
    </row>
    <row r="552" spans="1:17" ht="39" customHeight="1" x14ac:dyDescent="0.3">
      <c r="A552" s="17" t="s">
        <v>4628</v>
      </c>
      <c r="B552" s="18" t="s">
        <v>4629</v>
      </c>
      <c r="C552" s="18" t="s">
        <v>4630</v>
      </c>
      <c r="D552" s="18" t="s">
        <v>4631</v>
      </c>
      <c r="E552" s="18" t="s">
        <v>4632</v>
      </c>
      <c r="F552" s="18" t="s">
        <v>1147</v>
      </c>
      <c r="G552" s="18" t="s">
        <v>4633</v>
      </c>
      <c r="H552" s="17" t="s">
        <v>63</v>
      </c>
      <c r="I552" s="25"/>
      <c r="J552" s="26"/>
      <c r="K552" s="22"/>
      <c r="L552" s="23">
        <v>4.5</v>
      </c>
      <c r="M552" s="23">
        <v>9</v>
      </c>
      <c r="N552" s="24">
        <f t="shared" si="11"/>
        <v>9</v>
      </c>
      <c r="O552" s="17" t="s">
        <v>27</v>
      </c>
      <c r="P552" s="18" t="s">
        <v>4634</v>
      </c>
      <c r="Q552" t="s">
        <v>4635</v>
      </c>
    </row>
    <row r="553" spans="1:17" ht="39" customHeight="1" x14ac:dyDescent="0.3">
      <c r="A553" s="17" t="s">
        <v>4636</v>
      </c>
      <c r="B553" s="18" t="s">
        <v>4637</v>
      </c>
      <c r="C553" s="18" t="s">
        <v>4638</v>
      </c>
      <c r="D553" s="18" t="s">
        <v>4639</v>
      </c>
      <c r="E553" s="18" t="s">
        <v>4640</v>
      </c>
      <c r="F553" s="18" t="s">
        <v>1768</v>
      </c>
      <c r="G553" s="18" t="s">
        <v>4641</v>
      </c>
      <c r="H553" s="17" t="s">
        <v>63</v>
      </c>
      <c r="I553" s="25"/>
      <c r="J553" s="26"/>
      <c r="K553" s="22"/>
      <c r="L553" s="23">
        <v>4</v>
      </c>
      <c r="M553" s="23">
        <v>8</v>
      </c>
      <c r="N553" s="24">
        <f t="shared" si="11"/>
        <v>8</v>
      </c>
      <c r="O553" s="17" t="s">
        <v>27</v>
      </c>
      <c r="P553" s="18" t="s">
        <v>4642</v>
      </c>
      <c r="Q553" t="s">
        <v>4643</v>
      </c>
    </row>
    <row r="554" spans="1:17" ht="39" customHeight="1" x14ac:dyDescent="0.3">
      <c r="A554" s="17" t="s">
        <v>4644</v>
      </c>
      <c r="B554" s="18" t="s">
        <v>4645</v>
      </c>
      <c r="C554" s="18" t="s">
        <v>4646</v>
      </c>
      <c r="D554" s="18" t="s">
        <v>4570</v>
      </c>
      <c r="E554" s="18" t="s">
        <v>4647</v>
      </c>
      <c r="F554" s="18" t="s">
        <v>1768</v>
      </c>
      <c r="G554" s="18" t="s">
        <v>4648</v>
      </c>
      <c r="H554" s="17" t="s">
        <v>63</v>
      </c>
      <c r="I554" s="25"/>
      <c r="J554" s="26"/>
      <c r="K554" s="22"/>
      <c r="L554" s="23">
        <v>4</v>
      </c>
      <c r="M554" s="23">
        <v>8</v>
      </c>
      <c r="N554" s="24">
        <f t="shared" si="11"/>
        <v>8</v>
      </c>
      <c r="O554" s="17" t="s">
        <v>27</v>
      </c>
      <c r="P554" s="18" t="s">
        <v>4649</v>
      </c>
      <c r="Q554" t="s">
        <v>4650</v>
      </c>
    </row>
    <row r="555" spans="1:17" ht="39" customHeight="1" x14ac:dyDescent="0.3">
      <c r="A555" s="17" t="s">
        <v>4651</v>
      </c>
      <c r="B555" s="18" t="s">
        <v>4652</v>
      </c>
      <c r="C555" s="18" t="s">
        <v>4653</v>
      </c>
      <c r="D555" s="18" t="s">
        <v>4654</v>
      </c>
      <c r="E555" s="18" t="s">
        <v>4655</v>
      </c>
      <c r="F555" s="18" t="s">
        <v>1768</v>
      </c>
      <c r="G555" s="18" t="s">
        <v>4656</v>
      </c>
      <c r="H555" s="17" t="s">
        <v>63</v>
      </c>
      <c r="I555" s="25"/>
      <c r="J555" s="26"/>
      <c r="K555" s="22"/>
      <c r="L555" s="23">
        <v>4</v>
      </c>
      <c r="M555" s="23">
        <v>8</v>
      </c>
      <c r="N555" s="24">
        <f t="shared" si="11"/>
        <v>8</v>
      </c>
      <c r="O555" s="17" t="s">
        <v>27</v>
      </c>
      <c r="P555" s="18" t="s">
        <v>4657</v>
      </c>
      <c r="Q555" t="s">
        <v>4658</v>
      </c>
    </row>
    <row r="556" spans="1:17" ht="39" customHeight="1" x14ac:dyDescent="0.3">
      <c r="A556" s="17" t="s">
        <v>4659</v>
      </c>
      <c r="B556" s="18" t="s">
        <v>4660</v>
      </c>
      <c r="C556" s="18" t="s">
        <v>4661</v>
      </c>
      <c r="D556" s="18" t="s">
        <v>4662</v>
      </c>
      <c r="E556" s="18" t="s">
        <v>4663</v>
      </c>
      <c r="F556" s="18" t="s">
        <v>1147</v>
      </c>
      <c r="G556" s="18" t="s">
        <v>4664</v>
      </c>
      <c r="H556" s="17" t="s">
        <v>63</v>
      </c>
      <c r="I556" s="25"/>
      <c r="J556" s="26"/>
      <c r="K556" s="22"/>
      <c r="L556" s="23">
        <v>4.5</v>
      </c>
      <c r="M556" s="23">
        <v>9</v>
      </c>
      <c r="N556" s="24">
        <f t="shared" si="11"/>
        <v>9</v>
      </c>
      <c r="O556" s="17" t="s">
        <v>27</v>
      </c>
      <c r="P556" s="18" t="s">
        <v>4665</v>
      </c>
      <c r="Q556" t="s">
        <v>4582</v>
      </c>
    </row>
    <row r="557" spans="1:17" ht="39" customHeight="1" x14ac:dyDescent="0.3">
      <c r="A557" s="17" t="s">
        <v>4706</v>
      </c>
      <c r="B557" s="18" t="s">
        <v>4707</v>
      </c>
      <c r="C557" s="18" t="s">
        <v>4708</v>
      </c>
      <c r="D557" s="18" t="s">
        <v>4709</v>
      </c>
      <c r="E557" s="18" t="s">
        <v>4710</v>
      </c>
      <c r="F557" s="18" t="s">
        <v>1768</v>
      </c>
      <c r="G557" s="18" t="s">
        <v>4711</v>
      </c>
      <c r="H557" s="17" t="s">
        <v>63</v>
      </c>
      <c r="I557" s="25"/>
      <c r="J557" s="26"/>
      <c r="K557" s="22"/>
      <c r="L557" s="23">
        <v>4</v>
      </c>
      <c r="M557" s="23">
        <v>8</v>
      </c>
      <c r="N557" s="24">
        <f t="shared" si="11"/>
        <v>8</v>
      </c>
      <c r="O557" s="17" t="s">
        <v>27</v>
      </c>
      <c r="P557" s="18" t="s">
        <v>4712</v>
      </c>
      <c r="Q557" t="s">
        <v>4713</v>
      </c>
    </row>
    <row r="558" spans="1:17" ht="39" customHeight="1" x14ac:dyDescent="0.3">
      <c r="A558" s="17" t="s">
        <v>4714</v>
      </c>
      <c r="B558" s="18" t="s">
        <v>4715</v>
      </c>
      <c r="C558" s="18" t="s">
        <v>4716</v>
      </c>
      <c r="D558" s="18" t="s">
        <v>4717</v>
      </c>
      <c r="E558" s="18" t="s">
        <v>4718</v>
      </c>
      <c r="F558" s="18" t="s">
        <v>1147</v>
      </c>
      <c r="G558" s="18" t="s">
        <v>4719</v>
      </c>
      <c r="H558" s="17" t="s">
        <v>63</v>
      </c>
      <c r="I558" s="25"/>
      <c r="J558" s="26"/>
      <c r="K558" s="22"/>
      <c r="L558" s="23">
        <v>4.5</v>
      </c>
      <c r="M558" s="23">
        <v>9</v>
      </c>
      <c r="N558" s="24">
        <f t="shared" si="11"/>
        <v>9</v>
      </c>
      <c r="O558" s="17" t="s">
        <v>27</v>
      </c>
      <c r="P558" s="18" t="s">
        <v>4720</v>
      </c>
      <c r="Q558" t="s">
        <v>4582</v>
      </c>
    </row>
    <row r="559" spans="1:17" ht="39" customHeight="1" x14ac:dyDescent="0.3">
      <c r="A559" s="17" t="s">
        <v>4721</v>
      </c>
      <c r="B559" s="18" t="s">
        <v>4722</v>
      </c>
      <c r="C559" s="18" t="s">
        <v>4723</v>
      </c>
      <c r="D559" s="18" t="s">
        <v>3876</v>
      </c>
      <c r="E559" s="18" t="s">
        <v>4724</v>
      </c>
      <c r="F559" s="18" t="s">
        <v>1147</v>
      </c>
      <c r="G559" s="18" t="s">
        <v>4725</v>
      </c>
      <c r="H559" s="17" t="s">
        <v>63</v>
      </c>
      <c r="I559" s="25"/>
      <c r="J559" s="26"/>
      <c r="K559" s="22"/>
      <c r="L559" s="23">
        <v>4.5</v>
      </c>
      <c r="M559" s="60">
        <v>9</v>
      </c>
      <c r="N559" s="24">
        <f t="shared" si="11"/>
        <v>9</v>
      </c>
      <c r="O559" s="17" t="s">
        <v>27</v>
      </c>
      <c r="P559" s="18" t="s">
        <v>4726</v>
      </c>
      <c r="Q559" t="s">
        <v>4582</v>
      </c>
    </row>
    <row r="560" spans="1:17" ht="39" customHeight="1" x14ac:dyDescent="0.3">
      <c r="A560" s="17" t="s">
        <v>4727</v>
      </c>
      <c r="B560" s="18" t="s">
        <v>4728</v>
      </c>
      <c r="C560" s="18" t="s">
        <v>4729</v>
      </c>
      <c r="D560" s="18" t="s">
        <v>4445</v>
      </c>
      <c r="E560" s="18" t="s">
        <v>4730</v>
      </c>
      <c r="F560" s="18" t="s">
        <v>1697</v>
      </c>
      <c r="G560" s="18" t="s">
        <v>4731</v>
      </c>
      <c r="H560" s="17" t="s">
        <v>63</v>
      </c>
      <c r="I560" s="25"/>
      <c r="J560" s="26"/>
      <c r="K560" s="22"/>
      <c r="L560" s="23">
        <v>4</v>
      </c>
      <c r="M560" s="23">
        <v>8</v>
      </c>
      <c r="N560" s="24">
        <f t="shared" si="11"/>
        <v>8</v>
      </c>
      <c r="O560" s="17" t="s">
        <v>27</v>
      </c>
      <c r="P560" s="18" t="s">
        <v>4732</v>
      </c>
      <c r="Q560" t="s">
        <v>4678</v>
      </c>
    </row>
    <row r="561" spans="1:17" ht="39" customHeight="1" x14ac:dyDescent="0.3">
      <c r="A561" s="17" t="s">
        <v>4733</v>
      </c>
      <c r="B561" s="18" t="s">
        <v>4734</v>
      </c>
      <c r="C561" s="18" t="s">
        <v>4735</v>
      </c>
      <c r="D561" s="18" t="s">
        <v>4736</v>
      </c>
      <c r="E561" s="18" t="s">
        <v>4737</v>
      </c>
      <c r="F561" s="18" t="s">
        <v>1147</v>
      </c>
      <c r="G561" s="18" t="s">
        <v>4738</v>
      </c>
      <c r="H561" s="17" t="s">
        <v>63</v>
      </c>
      <c r="I561" s="25"/>
      <c r="J561" s="26"/>
      <c r="K561" s="22"/>
      <c r="L561" s="23">
        <v>4.5</v>
      </c>
      <c r="M561" s="23">
        <v>9</v>
      </c>
      <c r="N561" s="24">
        <f t="shared" si="11"/>
        <v>9</v>
      </c>
      <c r="O561" s="17" t="s">
        <v>27</v>
      </c>
      <c r="P561" s="18" t="s">
        <v>4739</v>
      </c>
      <c r="Q561" t="s">
        <v>4582</v>
      </c>
    </row>
    <row r="562" spans="1:17" ht="39" customHeight="1" x14ac:dyDescent="0.3">
      <c r="A562" s="17" t="s">
        <v>4740</v>
      </c>
      <c r="B562" s="18" t="s">
        <v>4741</v>
      </c>
      <c r="C562" s="18" t="s">
        <v>4742</v>
      </c>
      <c r="D562" s="18" t="s">
        <v>4743</v>
      </c>
      <c r="E562" s="18" t="s">
        <v>4744</v>
      </c>
      <c r="F562" s="18" t="s">
        <v>1147</v>
      </c>
      <c r="G562" s="18" t="s">
        <v>4745</v>
      </c>
      <c r="H562" s="17" t="s">
        <v>63</v>
      </c>
      <c r="I562" s="25"/>
      <c r="J562" s="26"/>
      <c r="K562" s="22"/>
      <c r="L562" s="23">
        <v>4.5</v>
      </c>
      <c r="M562" s="23">
        <v>9</v>
      </c>
      <c r="N562" s="24">
        <f t="shared" si="11"/>
        <v>9</v>
      </c>
      <c r="O562" s="17" t="s">
        <v>27</v>
      </c>
      <c r="P562" s="18" t="s">
        <v>4746</v>
      </c>
      <c r="Q562" t="s">
        <v>4582</v>
      </c>
    </row>
    <row r="563" spans="1:17" ht="39" customHeight="1" x14ac:dyDescent="0.3">
      <c r="A563" s="17" t="s">
        <v>4747</v>
      </c>
      <c r="B563" s="18" t="s">
        <v>4748</v>
      </c>
      <c r="C563" s="18" t="s">
        <v>4749</v>
      </c>
      <c r="D563" s="18" t="s">
        <v>4750</v>
      </c>
      <c r="E563" s="18" t="s">
        <v>4751</v>
      </c>
      <c r="F563" s="18" t="s">
        <v>1768</v>
      </c>
      <c r="G563" s="18" t="s">
        <v>4752</v>
      </c>
      <c r="H563" s="17" t="s">
        <v>63</v>
      </c>
      <c r="I563" s="25"/>
      <c r="J563" s="26"/>
      <c r="K563" s="22"/>
      <c r="L563" s="23">
        <v>4</v>
      </c>
      <c r="M563" s="23">
        <v>8</v>
      </c>
      <c r="N563" s="24">
        <f t="shared" si="11"/>
        <v>8</v>
      </c>
      <c r="O563" s="17" t="s">
        <v>27</v>
      </c>
      <c r="P563" s="18" t="s">
        <v>4753</v>
      </c>
      <c r="Q563" t="s">
        <v>4754</v>
      </c>
    </row>
    <row r="564" spans="1:17" ht="39" customHeight="1" x14ac:dyDescent="0.3">
      <c r="A564" s="17" t="s">
        <v>4755</v>
      </c>
      <c r="B564" s="18" t="s">
        <v>4756</v>
      </c>
      <c r="C564" s="18" t="s">
        <v>4757</v>
      </c>
      <c r="D564" s="18" t="s">
        <v>4758</v>
      </c>
      <c r="E564" s="18" t="s">
        <v>4759</v>
      </c>
      <c r="F564" s="18" t="s">
        <v>1147</v>
      </c>
      <c r="G564" s="18" t="s">
        <v>4760</v>
      </c>
      <c r="H564" s="17" t="s">
        <v>63</v>
      </c>
      <c r="I564" s="25"/>
      <c r="J564" s="26"/>
      <c r="K564" s="22"/>
      <c r="L564" s="23">
        <v>4.5</v>
      </c>
      <c r="M564" s="23">
        <v>9</v>
      </c>
      <c r="N564" s="24">
        <f t="shared" si="11"/>
        <v>9</v>
      </c>
      <c r="O564" s="17" t="s">
        <v>27</v>
      </c>
      <c r="P564" s="18" t="s">
        <v>4761</v>
      </c>
      <c r="Q564" t="s">
        <v>4582</v>
      </c>
    </row>
    <row r="565" spans="1:17" ht="39" customHeight="1" x14ac:dyDescent="0.3">
      <c r="A565" s="17" t="s">
        <v>4762</v>
      </c>
      <c r="B565" s="18" t="s">
        <v>4763</v>
      </c>
      <c r="C565" s="18" t="s">
        <v>2012</v>
      </c>
      <c r="D565" s="18" t="s">
        <v>4764</v>
      </c>
      <c r="E565" s="18" t="s">
        <v>4765</v>
      </c>
      <c r="F565" s="18" t="s">
        <v>4766</v>
      </c>
      <c r="G565" s="18" t="s">
        <v>4767</v>
      </c>
      <c r="H565" s="17" t="s">
        <v>63</v>
      </c>
      <c r="I565" s="25"/>
      <c r="J565" s="26"/>
      <c r="K565" s="22"/>
      <c r="L565" s="23">
        <v>5</v>
      </c>
      <c r="M565" s="23">
        <v>10</v>
      </c>
      <c r="N565" s="24">
        <f t="shared" si="11"/>
        <v>10</v>
      </c>
      <c r="O565" s="17" t="s">
        <v>27</v>
      </c>
      <c r="P565" s="18" t="s">
        <v>4768</v>
      </c>
      <c r="Q565" t="s">
        <v>4769</v>
      </c>
    </row>
    <row r="566" spans="1:17" ht="39" customHeight="1" x14ac:dyDescent="0.3">
      <c r="A566" s="17" t="s">
        <v>4770</v>
      </c>
      <c r="B566" s="18" t="s">
        <v>4771</v>
      </c>
      <c r="C566" s="18" t="s">
        <v>4772</v>
      </c>
      <c r="D566" s="18" t="s">
        <v>4129</v>
      </c>
      <c r="E566" s="18" t="s">
        <v>4773</v>
      </c>
      <c r="F566" s="18" t="s">
        <v>1768</v>
      </c>
      <c r="G566" s="18" t="s">
        <v>4774</v>
      </c>
      <c r="H566" s="17" t="s">
        <v>63</v>
      </c>
      <c r="I566" s="25"/>
      <c r="J566" s="26"/>
      <c r="K566" s="22"/>
      <c r="L566" s="23">
        <v>4</v>
      </c>
      <c r="M566" s="23">
        <v>8</v>
      </c>
      <c r="N566" s="24">
        <f t="shared" si="11"/>
        <v>8</v>
      </c>
      <c r="O566" s="17" t="s">
        <v>27</v>
      </c>
      <c r="P566" s="18" t="s">
        <v>4775</v>
      </c>
      <c r="Q566" t="s">
        <v>4776</v>
      </c>
    </row>
    <row r="567" spans="1:17" ht="39" customHeight="1" x14ac:dyDescent="0.3">
      <c r="A567" s="17" t="s">
        <v>4777</v>
      </c>
      <c r="B567" s="18" t="s">
        <v>4778</v>
      </c>
      <c r="C567" s="18" t="s">
        <v>4779</v>
      </c>
      <c r="D567" s="18" t="s">
        <v>4780</v>
      </c>
      <c r="E567" s="18" t="s">
        <v>4781</v>
      </c>
      <c r="F567" s="18" t="s">
        <v>4782</v>
      </c>
      <c r="G567" s="18" t="s">
        <v>4783</v>
      </c>
      <c r="H567" s="17" t="s">
        <v>63</v>
      </c>
      <c r="I567" s="25"/>
      <c r="J567" s="26"/>
      <c r="K567" s="22"/>
      <c r="L567" s="23">
        <v>3.5</v>
      </c>
      <c r="M567" s="23">
        <v>7</v>
      </c>
      <c r="N567" s="24">
        <f t="shared" si="11"/>
        <v>7</v>
      </c>
      <c r="O567" s="17" t="s">
        <v>27</v>
      </c>
      <c r="P567" s="18" t="s">
        <v>4784</v>
      </c>
      <c r="Q567" t="s">
        <v>4785</v>
      </c>
    </row>
    <row r="568" spans="1:17" ht="39" customHeight="1" x14ac:dyDescent="0.3">
      <c r="A568" s="17" t="s">
        <v>4786</v>
      </c>
      <c r="B568" s="18" t="s">
        <v>4787</v>
      </c>
      <c r="C568" s="18" t="s">
        <v>4788</v>
      </c>
      <c r="D568" s="18" t="s">
        <v>4789</v>
      </c>
      <c r="E568" s="18" t="s">
        <v>4790</v>
      </c>
      <c r="F568" s="18" t="s">
        <v>1147</v>
      </c>
      <c r="G568" s="18" t="s">
        <v>4791</v>
      </c>
      <c r="H568" s="17" t="s">
        <v>63</v>
      </c>
      <c r="I568" s="25"/>
      <c r="J568" s="26"/>
      <c r="K568" s="22"/>
      <c r="L568" s="23">
        <v>4.5</v>
      </c>
      <c r="M568" s="23">
        <v>9</v>
      </c>
      <c r="N568" s="24">
        <f t="shared" si="11"/>
        <v>9</v>
      </c>
      <c r="O568" s="17" t="s">
        <v>27</v>
      </c>
      <c r="P568" s="18" t="s">
        <v>4792</v>
      </c>
      <c r="Q568" t="s">
        <v>4793</v>
      </c>
    </row>
    <row r="569" spans="1:17" ht="39" customHeight="1" x14ac:dyDescent="0.3">
      <c r="A569" s="17" t="s">
        <v>4794</v>
      </c>
      <c r="B569" s="18" t="s">
        <v>4795</v>
      </c>
      <c r="C569" s="18" t="s">
        <v>4796</v>
      </c>
      <c r="D569" s="18" t="s">
        <v>2658</v>
      </c>
      <c r="E569" s="18" t="s">
        <v>4797</v>
      </c>
      <c r="F569" s="18" t="s">
        <v>4798</v>
      </c>
      <c r="G569" s="18" t="s">
        <v>4799</v>
      </c>
      <c r="H569" s="17" t="s">
        <v>63</v>
      </c>
      <c r="I569" s="25"/>
      <c r="J569" s="26"/>
      <c r="K569" s="22"/>
      <c r="L569" s="23">
        <v>4</v>
      </c>
      <c r="M569" s="23">
        <v>8</v>
      </c>
      <c r="N569" s="24">
        <f t="shared" si="11"/>
        <v>8</v>
      </c>
      <c r="O569" s="17" t="s">
        <v>27</v>
      </c>
      <c r="P569" s="18" t="s">
        <v>4800</v>
      </c>
      <c r="Q569" t="s">
        <v>4801</v>
      </c>
    </row>
    <row r="570" spans="1:17" ht="39" customHeight="1" x14ac:dyDescent="0.3">
      <c r="A570" s="17" t="s">
        <v>4802</v>
      </c>
      <c r="B570" s="18" t="s">
        <v>4803</v>
      </c>
      <c r="C570" s="18" t="s">
        <v>4804</v>
      </c>
      <c r="D570" s="18" t="s">
        <v>4805</v>
      </c>
      <c r="E570" s="18" t="s">
        <v>4806</v>
      </c>
      <c r="F570" s="18" t="s">
        <v>1697</v>
      </c>
      <c r="G570" s="18" t="s">
        <v>4807</v>
      </c>
      <c r="H570" s="17" t="s">
        <v>63</v>
      </c>
      <c r="I570" s="25"/>
      <c r="J570" s="26"/>
      <c r="K570" s="22"/>
      <c r="L570" s="23">
        <v>4.5</v>
      </c>
      <c r="M570" s="23">
        <v>9</v>
      </c>
      <c r="N570" s="24">
        <f t="shared" si="11"/>
        <v>9</v>
      </c>
      <c r="O570" s="17" t="s">
        <v>27</v>
      </c>
      <c r="P570" s="18" t="s">
        <v>4808</v>
      </c>
      <c r="Q570" t="s">
        <v>4809</v>
      </c>
    </row>
    <row r="571" spans="1:17" ht="39" customHeight="1" x14ac:dyDescent="0.3">
      <c r="A571" s="17" t="s">
        <v>4810</v>
      </c>
      <c r="B571" s="18" t="s">
        <v>4811</v>
      </c>
      <c r="C571" s="18" t="s">
        <v>4812</v>
      </c>
      <c r="D571" s="18" t="s">
        <v>4813</v>
      </c>
      <c r="E571" s="18" t="s">
        <v>4814</v>
      </c>
      <c r="F571" s="18" t="s">
        <v>1768</v>
      </c>
      <c r="G571" s="18" t="s">
        <v>4815</v>
      </c>
      <c r="H571" s="17" t="s">
        <v>63</v>
      </c>
      <c r="I571" s="25"/>
      <c r="J571" s="26"/>
      <c r="K571" s="22"/>
      <c r="L571" s="23">
        <v>10</v>
      </c>
      <c r="M571" s="23">
        <v>20</v>
      </c>
      <c r="N571" s="24">
        <f t="shared" si="11"/>
        <v>20</v>
      </c>
      <c r="O571" s="17" t="s">
        <v>27</v>
      </c>
      <c r="P571" s="18" t="s">
        <v>4816</v>
      </c>
      <c r="Q571" t="s">
        <v>4817</v>
      </c>
    </row>
    <row r="572" spans="1:17" ht="39" customHeight="1" x14ac:dyDescent="0.3">
      <c r="A572" s="17" t="s">
        <v>4818</v>
      </c>
      <c r="B572" s="18" t="s">
        <v>4819</v>
      </c>
      <c r="C572" s="18" t="s">
        <v>4820</v>
      </c>
      <c r="D572" s="18" t="s">
        <v>3868</v>
      </c>
      <c r="E572" s="18" t="s">
        <v>4821</v>
      </c>
      <c r="F572" s="18" t="s">
        <v>1147</v>
      </c>
      <c r="G572" s="18" t="s">
        <v>4822</v>
      </c>
      <c r="H572" s="17" t="s">
        <v>63</v>
      </c>
      <c r="I572" s="25"/>
      <c r="J572" s="26"/>
      <c r="K572" s="22"/>
      <c r="L572" s="23">
        <v>4</v>
      </c>
      <c r="M572" s="23">
        <v>8</v>
      </c>
      <c r="N572" s="24">
        <f t="shared" si="11"/>
        <v>8</v>
      </c>
      <c r="O572" s="17" t="s">
        <v>27</v>
      </c>
      <c r="P572" s="18" t="s">
        <v>4823</v>
      </c>
      <c r="Q572" t="s">
        <v>4793</v>
      </c>
    </row>
    <row r="573" spans="1:17" ht="39" customHeight="1" x14ac:dyDescent="0.3">
      <c r="A573" s="17" t="s">
        <v>4824</v>
      </c>
      <c r="B573" s="18" t="s">
        <v>4825</v>
      </c>
      <c r="C573" s="18" t="s">
        <v>4826</v>
      </c>
      <c r="D573" s="18" t="s">
        <v>4743</v>
      </c>
      <c r="E573" s="18" t="s">
        <v>4827</v>
      </c>
      <c r="F573" s="18" t="s">
        <v>1768</v>
      </c>
      <c r="G573" s="18" t="s">
        <v>4828</v>
      </c>
      <c r="H573" s="17" t="s">
        <v>63</v>
      </c>
      <c r="I573" s="25"/>
      <c r="J573" s="26"/>
      <c r="K573" s="22"/>
      <c r="L573" s="23">
        <v>8</v>
      </c>
      <c r="M573" s="23">
        <v>15</v>
      </c>
      <c r="N573" s="24">
        <f t="shared" si="11"/>
        <v>15</v>
      </c>
      <c r="O573" s="17" t="s">
        <v>27</v>
      </c>
      <c r="P573" s="18" t="s">
        <v>4829</v>
      </c>
      <c r="Q573" t="s">
        <v>4830</v>
      </c>
    </row>
    <row r="574" spans="1:17" ht="39" customHeight="1" x14ac:dyDescent="0.3">
      <c r="A574" s="17" t="s">
        <v>4831</v>
      </c>
      <c r="B574" s="18" t="s">
        <v>4832</v>
      </c>
      <c r="C574" s="18" t="s">
        <v>4833</v>
      </c>
      <c r="D574" s="18" t="s">
        <v>2088</v>
      </c>
      <c r="E574" s="18" t="s">
        <v>4834</v>
      </c>
      <c r="F574" s="18" t="s">
        <v>4798</v>
      </c>
      <c r="G574" s="18" t="s">
        <v>4835</v>
      </c>
      <c r="H574" s="17" t="s">
        <v>63</v>
      </c>
      <c r="I574" s="25"/>
      <c r="J574" s="26"/>
      <c r="K574" s="22"/>
      <c r="L574" s="23">
        <v>5</v>
      </c>
      <c r="M574" s="23">
        <v>10</v>
      </c>
      <c r="N574" s="24">
        <f t="shared" si="11"/>
        <v>10</v>
      </c>
      <c r="O574" s="17" t="s">
        <v>27</v>
      </c>
      <c r="P574" s="18" t="s">
        <v>4836</v>
      </c>
      <c r="Q574" t="s">
        <v>4837</v>
      </c>
    </row>
    <row r="575" spans="1:17" ht="39" customHeight="1" x14ac:dyDescent="0.3">
      <c r="A575" s="17" t="s">
        <v>4838</v>
      </c>
      <c r="B575" s="18" t="s">
        <v>4839</v>
      </c>
      <c r="C575" s="18" t="s">
        <v>4840</v>
      </c>
      <c r="D575" s="18" t="s">
        <v>4841</v>
      </c>
      <c r="E575" s="18" t="s">
        <v>4842</v>
      </c>
      <c r="F575" s="18" t="s">
        <v>1768</v>
      </c>
      <c r="G575" s="18" t="s">
        <v>4843</v>
      </c>
      <c r="H575" s="17" t="s">
        <v>63</v>
      </c>
      <c r="I575" s="25"/>
      <c r="J575" s="26"/>
      <c r="K575" s="22"/>
      <c r="L575" s="23">
        <v>4.5</v>
      </c>
      <c r="M575" s="23">
        <v>9</v>
      </c>
      <c r="N575" s="24">
        <f t="shared" si="11"/>
        <v>9</v>
      </c>
      <c r="O575" s="17" t="s">
        <v>27</v>
      </c>
      <c r="P575" s="18" t="s">
        <v>4844</v>
      </c>
      <c r="Q575" t="s">
        <v>4845</v>
      </c>
    </row>
    <row r="576" spans="1:17" ht="39" customHeight="1" x14ac:dyDescent="0.3">
      <c r="A576" s="17" t="s">
        <v>4846</v>
      </c>
      <c r="B576" s="18" t="s">
        <v>4847</v>
      </c>
      <c r="C576" s="18" t="s">
        <v>4848</v>
      </c>
      <c r="D576" s="18" t="s">
        <v>2530</v>
      </c>
      <c r="E576" s="18" t="s">
        <v>4849</v>
      </c>
      <c r="F576" s="18" t="s">
        <v>1147</v>
      </c>
      <c r="G576" s="18" t="s">
        <v>4850</v>
      </c>
      <c r="H576" s="17" t="s">
        <v>63</v>
      </c>
      <c r="I576" s="25"/>
      <c r="J576" s="26"/>
      <c r="K576" s="22"/>
      <c r="L576" s="23">
        <v>4</v>
      </c>
      <c r="M576" s="23">
        <v>8</v>
      </c>
      <c r="N576" s="24">
        <f t="shared" si="11"/>
        <v>8</v>
      </c>
      <c r="O576" s="17" t="s">
        <v>27</v>
      </c>
      <c r="P576" s="18" t="s">
        <v>4851</v>
      </c>
      <c r="Q576" t="s">
        <v>4852</v>
      </c>
    </row>
    <row r="577" spans="1:17" ht="39" customHeight="1" x14ac:dyDescent="0.3">
      <c r="A577" s="17" t="s">
        <v>4853</v>
      </c>
      <c r="B577" s="18" t="s">
        <v>4854</v>
      </c>
      <c r="C577" s="18" t="s">
        <v>4855</v>
      </c>
      <c r="D577" s="18" t="s">
        <v>4856</v>
      </c>
      <c r="E577" s="18" t="s">
        <v>4857</v>
      </c>
      <c r="F577" s="18" t="s">
        <v>1768</v>
      </c>
      <c r="G577" s="18" t="s">
        <v>4858</v>
      </c>
      <c r="H577" s="17" t="s">
        <v>63</v>
      </c>
      <c r="I577" s="25"/>
      <c r="J577" s="26"/>
      <c r="K577" s="22"/>
      <c r="L577" s="23">
        <v>4</v>
      </c>
      <c r="M577" s="23">
        <v>8</v>
      </c>
      <c r="N577" s="24">
        <f t="shared" si="11"/>
        <v>8</v>
      </c>
      <c r="O577" s="17" t="s">
        <v>27</v>
      </c>
      <c r="P577" s="18" t="s">
        <v>4859</v>
      </c>
      <c r="Q577" t="s">
        <v>4860</v>
      </c>
    </row>
    <row r="578" spans="1:17" ht="39" customHeight="1" x14ac:dyDescent="0.3">
      <c r="A578" s="17" t="s">
        <v>4861</v>
      </c>
      <c r="B578" s="18" t="s">
        <v>4862</v>
      </c>
      <c r="C578" s="18" t="s">
        <v>4863</v>
      </c>
      <c r="D578" s="18" t="s">
        <v>2658</v>
      </c>
      <c r="E578" s="18" t="s">
        <v>4864</v>
      </c>
      <c r="F578" s="18" t="s">
        <v>1768</v>
      </c>
      <c r="G578" s="18" t="s">
        <v>4865</v>
      </c>
      <c r="H578" s="17" t="s">
        <v>63</v>
      </c>
      <c r="I578" s="25"/>
      <c r="J578" s="26"/>
      <c r="K578" s="22"/>
      <c r="L578" s="23">
        <v>4.5</v>
      </c>
      <c r="M578" s="23">
        <v>9</v>
      </c>
      <c r="N578" s="24">
        <f t="shared" si="11"/>
        <v>9</v>
      </c>
      <c r="O578" s="17" t="s">
        <v>27</v>
      </c>
      <c r="P578" s="18" t="s">
        <v>4866</v>
      </c>
      <c r="Q578" t="s">
        <v>4867</v>
      </c>
    </row>
    <row r="579" spans="1:17" s="68" customFormat="1" ht="39" customHeight="1" x14ac:dyDescent="0.3">
      <c r="A579" s="61" t="s">
        <v>4868</v>
      </c>
      <c r="B579" s="62" t="s">
        <v>4871</v>
      </c>
      <c r="C579" s="62" t="s">
        <v>4869</v>
      </c>
      <c r="D579" s="62" t="s">
        <v>2088</v>
      </c>
      <c r="E579" s="62" t="s">
        <v>4870</v>
      </c>
      <c r="F579" s="62" t="s">
        <v>4798</v>
      </c>
      <c r="G579" s="62" t="s">
        <v>4872</v>
      </c>
      <c r="H579" s="61" t="s">
        <v>63</v>
      </c>
      <c r="I579" s="63"/>
      <c r="J579" s="64"/>
      <c r="K579" s="65"/>
      <c r="L579" s="66">
        <v>20</v>
      </c>
      <c r="M579" s="66">
        <v>32</v>
      </c>
      <c r="N579" s="67">
        <f t="shared" si="11"/>
        <v>32</v>
      </c>
      <c r="O579" s="61" t="s">
        <v>27</v>
      </c>
      <c r="P579" s="62" t="s">
        <v>4873</v>
      </c>
      <c r="Q579" s="68" t="s">
        <v>4874</v>
      </c>
    </row>
    <row r="580" spans="1:17" ht="39" customHeight="1" x14ac:dyDescent="0.3">
      <c r="A580" s="17" t="s">
        <v>4875</v>
      </c>
      <c r="B580" s="18" t="s">
        <v>4876</v>
      </c>
      <c r="C580" s="18" t="s">
        <v>4877</v>
      </c>
      <c r="D580" s="18" t="s">
        <v>2088</v>
      </c>
      <c r="E580" s="18" t="s">
        <v>4878</v>
      </c>
      <c r="F580" s="18" t="s">
        <v>2015</v>
      </c>
      <c r="G580" s="18" t="s">
        <v>4879</v>
      </c>
      <c r="H580" s="17" t="s">
        <v>63</v>
      </c>
      <c r="I580" s="25"/>
      <c r="J580" s="26"/>
      <c r="K580" s="22"/>
      <c r="L580" s="23">
        <v>22</v>
      </c>
      <c r="M580" s="23">
        <v>35</v>
      </c>
      <c r="N580" s="24">
        <f t="shared" si="11"/>
        <v>35</v>
      </c>
      <c r="O580" s="17" t="s">
        <v>27</v>
      </c>
      <c r="P580" s="18" t="s">
        <v>4880</v>
      </c>
      <c r="Q580" t="s">
        <v>4881</v>
      </c>
    </row>
    <row r="581" spans="1:17" s="68" customFormat="1" ht="39" customHeight="1" x14ac:dyDescent="0.3">
      <c r="A581" s="61" t="s">
        <v>4882</v>
      </c>
      <c r="B581" s="62" t="s">
        <v>4883</v>
      </c>
      <c r="C581" s="62" t="s">
        <v>4884</v>
      </c>
      <c r="D581" s="62" t="s">
        <v>4885</v>
      </c>
      <c r="E581" s="62" t="s">
        <v>4886</v>
      </c>
      <c r="F581" s="62" t="s">
        <v>4798</v>
      </c>
      <c r="G581" s="62" t="s">
        <v>4887</v>
      </c>
      <c r="H581" s="61" t="s">
        <v>63</v>
      </c>
      <c r="I581" s="63"/>
      <c r="J581" s="64"/>
      <c r="K581" s="65"/>
      <c r="L581" s="66">
        <v>3</v>
      </c>
      <c r="M581" s="66">
        <v>6</v>
      </c>
      <c r="N581" s="67">
        <f t="shared" si="11"/>
        <v>6</v>
      </c>
      <c r="O581" s="61" t="s">
        <v>27</v>
      </c>
      <c r="P581" s="62" t="s">
        <v>4888</v>
      </c>
      <c r="Q581" s="68" t="s">
        <v>4889</v>
      </c>
    </row>
    <row r="582" spans="1:17" ht="39" customHeight="1" x14ac:dyDescent="0.3">
      <c r="A582" s="17" t="s">
        <v>4890</v>
      </c>
      <c r="B582" s="18" t="s">
        <v>4891</v>
      </c>
      <c r="C582" s="18" t="s">
        <v>4892</v>
      </c>
      <c r="D582" s="18" t="s">
        <v>4893</v>
      </c>
      <c r="E582" s="18" t="s">
        <v>4894</v>
      </c>
      <c r="F582" s="18" t="s">
        <v>1697</v>
      </c>
      <c r="G582" s="18" t="s">
        <v>4895</v>
      </c>
      <c r="H582" s="17" t="s">
        <v>63</v>
      </c>
      <c r="I582" s="25"/>
      <c r="J582" s="26"/>
      <c r="K582" s="22"/>
      <c r="L582" s="23">
        <v>2.5</v>
      </c>
      <c r="M582" s="23">
        <v>5</v>
      </c>
      <c r="N582" s="24">
        <f t="shared" si="11"/>
        <v>5</v>
      </c>
      <c r="O582" s="17" t="s">
        <v>27</v>
      </c>
      <c r="P582" s="18" t="s">
        <v>4896</v>
      </c>
      <c r="Q582" t="s">
        <v>4897</v>
      </c>
    </row>
    <row r="583" spans="1:17" ht="39" customHeight="1" x14ac:dyDescent="0.3">
      <c r="A583" s="17" t="s">
        <v>4898</v>
      </c>
      <c r="B583" s="18" t="s">
        <v>4899</v>
      </c>
      <c r="C583" s="18" t="s">
        <v>4900</v>
      </c>
      <c r="D583" s="18" t="s">
        <v>4901</v>
      </c>
      <c r="E583" s="18" t="s">
        <v>4790</v>
      </c>
      <c r="F583" s="18" t="s">
        <v>4798</v>
      </c>
      <c r="G583" s="18" t="s">
        <v>4902</v>
      </c>
      <c r="H583" s="17" t="s">
        <v>63</v>
      </c>
      <c r="I583" s="25"/>
      <c r="J583" s="26"/>
      <c r="K583" s="22"/>
      <c r="L583" s="23">
        <v>2.5</v>
      </c>
      <c r="M583" s="23">
        <v>5</v>
      </c>
      <c r="N583" s="24">
        <f t="shared" ref="N583:N591" si="12">MAX(L583,M583)</f>
        <v>5</v>
      </c>
      <c r="O583" s="17" t="s">
        <v>27</v>
      </c>
      <c r="P583" s="18" t="s">
        <v>4903</v>
      </c>
      <c r="Q583" t="s">
        <v>4904</v>
      </c>
    </row>
    <row r="584" spans="1:17" ht="39" customHeight="1" x14ac:dyDescent="0.3">
      <c r="A584" s="17" t="s">
        <v>4926</v>
      </c>
      <c r="B584" s="18" t="s">
        <v>4906</v>
      </c>
      <c r="C584" s="18" t="s">
        <v>4907</v>
      </c>
      <c r="D584" s="18" t="s">
        <v>2249</v>
      </c>
      <c r="E584" s="18" t="s">
        <v>4908</v>
      </c>
      <c r="F584" s="18" t="s">
        <v>4909</v>
      </c>
      <c r="G584" s="18" t="s">
        <v>4910</v>
      </c>
      <c r="H584" s="17" t="s">
        <v>63</v>
      </c>
      <c r="I584" s="25"/>
      <c r="J584" s="26"/>
      <c r="K584" s="22"/>
      <c r="L584" s="23">
        <v>15</v>
      </c>
      <c r="M584" s="23">
        <v>25</v>
      </c>
      <c r="N584" s="24">
        <f t="shared" si="12"/>
        <v>25</v>
      </c>
      <c r="O584" s="17" t="s">
        <v>27</v>
      </c>
      <c r="P584" s="18" t="s">
        <v>4911</v>
      </c>
      <c r="Q584" t="s">
        <v>4912</v>
      </c>
    </row>
    <row r="585" spans="1:17" ht="39" customHeight="1" x14ac:dyDescent="0.3">
      <c r="A585" s="17" t="s">
        <v>4927</v>
      </c>
      <c r="B585" s="18" t="s">
        <v>4914</v>
      </c>
      <c r="C585" s="18" t="s">
        <v>4915</v>
      </c>
      <c r="D585" s="18" t="s">
        <v>3075</v>
      </c>
      <c r="E585" s="18" t="s">
        <v>4916</v>
      </c>
      <c r="F585" s="18" t="s">
        <v>4909</v>
      </c>
      <c r="G585" s="18" t="s">
        <v>4917</v>
      </c>
      <c r="H585" s="17" t="s">
        <v>63</v>
      </c>
      <c r="I585" s="25"/>
      <c r="J585" s="26"/>
      <c r="K585" s="22"/>
      <c r="L585" s="23">
        <v>20</v>
      </c>
      <c r="M585" s="23">
        <v>35</v>
      </c>
      <c r="N585" s="24">
        <f t="shared" si="12"/>
        <v>35</v>
      </c>
      <c r="O585" s="17" t="s">
        <v>27</v>
      </c>
      <c r="P585" s="18" t="s">
        <v>4918</v>
      </c>
      <c r="Q585" t="s">
        <v>4919</v>
      </c>
    </row>
    <row r="586" spans="1:17" ht="39" customHeight="1" x14ac:dyDescent="0.3">
      <c r="A586" s="17" t="s">
        <v>4928</v>
      </c>
      <c r="B586" s="18" t="s">
        <v>4921</v>
      </c>
      <c r="C586" s="18" t="s">
        <v>4922</v>
      </c>
      <c r="D586" s="18" t="s">
        <v>4743</v>
      </c>
      <c r="E586" s="18" t="s">
        <v>4827</v>
      </c>
      <c r="F586" s="18" t="s">
        <v>2107</v>
      </c>
      <c r="G586" s="18" t="s">
        <v>4923</v>
      </c>
      <c r="H586" s="17" t="s">
        <v>63</v>
      </c>
      <c r="I586" s="25"/>
      <c r="J586" s="26"/>
      <c r="K586" s="22"/>
      <c r="L586" s="23">
        <v>6</v>
      </c>
      <c r="M586" s="23">
        <v>12</v>
      </c>
      <c r="N586" s="24">
        <f t="shared" si="12"/>
        <v>12</v>
      </c>
      <c r="O586" s="17" t="s">
        <v>27</v>
      </c>
      <c r="P586" s="18" t="s">
        <v>4924</v>
      </c>
      <c r="Q586" t="s">
        <v>4925</v>
      </c>
    </row>
    <row r="587" spans="1:17" ht="39" customHeight="1" x14ac:dyDescent="0.3">
      <c r="A587" s="17" t="s">
        <v>4929</v>
      </c>
      <c r="B587" s="18" t="s">
        <v>4930</v>
      </c>
      <c r="C587" s="18" t="s">
        <v>4931</v>
      </c>
      <c r="D587" s="18" t="s">
        <v>4932</v>
      </c>
      <c r="E587" s="18" t="s">
        <v>4933</v>
      </c>
      <c r="F587" s="18" t="s">
        <v>4934</v>
      </c>
      <c r="G587" s="18" t="s">
        <v>4935</v>
      </c>
      <c r="H587" s="17" t="s">
        <v>63</v>
      </c>
      <c r="I587" s="25"/>
      <c r="J587" s="26"/>
      <c r="K587" s="22"/>
      <c r="L587" s="23">
        <v>2</v>
      </c>
      <c r="M587" s="23">
        <v>4</v>
      </c>
      <c r="N587" s="24">
        <f t="shared" si="12"/>
        <v>4</v>
      </c>
      <c r="O587" s="17" t="s">
        <v>27</v>
      </c>
      <c r="P587" s="18" t="s">
        <v>4936</v>
      </c>
      <c r="Q587" t="s">
        <v>4937</v>
      </c>
    </row>
    <row r="588" spans="1:17" ht="39" customHeight="1" x14ac:dyDescent="0.3">
      <c r="A588" s="17" t="s">
        <v>4938</v>
      </c>
      <c r="B588" s="18" t="s">
        <v>4939</v>
      </c>
      <c r="C588" s="18" t="s">
        <v>4940</v>
      </c>
      <c r="D588" s="18" t="s">
        <v>4941</v>
      </c>
      <c r="E588" s="18" t="s">
        <v>4942</v>
      </c>
      <c r="F588" s="18" t="s">
        <v>4934</v>
      </c>
      <c r="G588" s="18" t="s">
        <v>4943</v>
      </c>
      <c r="H588" s="17" t="s">
        <v>63</v>
      </c>
      <c r="I588" s="25"/>
      <c r="J588" s="26"/>
      <c r="K588" s="22"/>
      <c r="L588" s="23">
        <v>2.5</v>
      </c>
      <c r="M588" s="23">
        <v>5</v>
      </c>
      <c r="N588" s="24">
        <f t="shared" si="12"/>
        <v>5</v>
      </c>
      <c r="O588" s="17" t="s">
        <v>27</v>
      </c>
      <c r="P588" s="18" t="s">
        <v>4944</v>
      </c>
      <c r="Q588" t="s">
        <v>4945</v>
      </c>
    </row>
    <row r="589" spans="1:17" ht="39" customHeight="1" x14ac:dyDescent="0.3">
      <c r="A589" s="17" t="s">
        <v>4946</v>
      </c>
      <c r="B589" s="18" t="s">
        <v>4947</v>
      </c>
      <c r="C589" s="18" t="s">
        <v>4948</v>
      </c>
      <c r="D589" s="18" t="s">
        <v>3808</v>
      </c>
      <c r="E589" s="18" t="s">
        <v>4949</v>
      </c>
      <c r="F589" s="18" t="s">
        <v>4950</v>
      </c>
      <c r="G589" s="18" t="s">
        <v>4951</v>
      </c>
      <c r="H589" s="17" t="s">
        <v>63</v>
      </c>
      <c r="I589" s="25"/>
      <c r="J589" s="26"/>
      <c r="K589" s="22"/>
      <c r="L589" s="23">
        <v>1</v>
      </c>
      <c r="M589" s="23">
        <v>2.5</v>
      </c>
      <c r="N589" s="24">
        <f t="shared" si="12"/>
        <v>2.5</v>
      </c>
      <c r="O589" s="17" t="s">
        <v>27</v>
      </c>
      <c r="P589" s="18" t="s">
        <v>4952</v>
      </c>
      <c r="Q589" t="s">
        <v>4953</v>
      </c>
    </row>
    <row r="590" spans="1:17" ht="39" customHeight="1" x14ac:dyDescent="0.3">
      <c r="A590" s="17" t="s">
        <v>4954</v>
      </c>
      <c r="B590" s="18" t="s">
        <v>4955</v>
      </c>
      <c r="C590" s="18" t="s">
        <v>4956</v>
      </c>
      <c r="D590" s="18" t="s">
        <v>4292</v>
      </c>
      <c r="E590" s="18" t="s">
        <v>4957</v>
      </c>
      <c r="F590" s="18" t="s">
        <v>4958</v>
      </c>
      <c r="G590" s="18" t="s">
        <v>4959</v>
      </c>
      <c r="H590" s="17" t="s">
        <v>63</v>
      </c>
      <c r="I590" s="25"/>
      <c r="J590" s="26"/>
      <c r="K590" s="22"/>
      <c r="L590" s="23">
        <v>1</v>
      </c>
      <c r="M590" s="23">
        <v>2.5</v>
      </c>
      <c r="N590" s="24">
        <f t="shared" si="12"/>
        <v>2.5</v>
      </c>
      <c r="O590" s="17" t="s">
        <v>27</v>
      </c>
      <c r="P590" s="18" t="s">
        <v>4960</v>
      </c>
      <c r="Q590" t="s">
        <v>4961</v>
      </c>
    </row>
    <row r="591" spans="1:17" ht="39" customHeight="1" x14ac:dyDescent="0.3">
      <c r="A591" s="17" t="s">
        <v>4962</v>
      </c>
      <c r="B591" s="18" t="s">
        <v>4963</v>
      </c>
      <c r="C591" s="18" t="s">
        <v>4964</v>
      </c>
      <c r="D591" s="18" t="s">
        <v>2142</v>
      </c>
      <c r="E591" s="18" t="s">
        <v>4965</v>
      </c>
      <c r="F591" s="18" t="s">
        <v>4958</v>
      </c>
      <c r="G591" s="18" t="s">
        <v>4966</v>
      </c>
      <c r="H591" s="17" t="s">
        <v>63</v>
      </c>
      <c r="I591" s="25"/>
      <c r="J591" s="26"/>
      <c r="K591" s="22"/>
      <c r="L591" s="23">
        <v>1.5</v>
      </c>
      <c r="M591" s="23">
        <v>3</v>
      </c>
      <c r="N591" s="24">
        <f t="shared" si="12"/>
        <v>3</v>
      </c>
      <c r="O591" s="17" t="s">
        <v>27</v>
      </c>
      <c r="P591" s="18" t="s">
        <v>4967</v>
      </c>
      <c r="Q591" t="s">
        <v>4968</v>
      </c>
    </row>
    <row r="592" spans="1:17" ht="39" customHeight="1" x14ac:dyDescent="0.3">
      <c r="A592" s="17" t="s">
        <v>4969</v>
      </c>
      <c r="B592" s="18" t="s">
        <v>4970</v>
      </c>
      <c r="C592" s="18" t="s">
        <v>4971</v>
      </c>
      <c r="D592" s="18" t="s">
        <v>4972</v>
      </c>
      <c r="E592" s="18" t="s">
        <v>4973</v>
      </c>
      <c r="F592" s="18" t="s">
        <v>4909</v>
      </c>
      <c r="G592" s="18" t="s">
        <v>4974</v>
      </c>
      <c r="H592" s="17" t="s">
        <v>63</v>
      </c>
      <c r="I592" s="25"/>
      <c r="J592" s="26"/>
      <c r="K592" s="22"/>
      <c r="L592" s="23">
        <v>6</v>
      </c>
      <c r="M592" s="23">
        <v>12</v>
      </c>
      <c r="N592" s="24">
        <f t="shared" ref="N592" si="13">MAX(L592,M592)</f>
        <v>12</v>
      </c>
      <c r="O592" s="17" t="s">
        <v>27</v>
      </c>
      <c r="P592" s="18" t="s">
        <v>4975</v>
      </c>
      <c r="Q592" t="s">
        <v>4976</v>
      </c>
    </row>
    <row r="593" spans="1:17" ht="39" customHeight="1" x14ac:dyDescent="0.3">
      <c r="A593" s="17" t="s">
        <v>4977</v>
      </c>
      <c r="B593" s="18" t="s">
        <v>4978</v>
      </c>
      <c r="C593" s="18" t="s">
        <v>4979</v>
      </c>
      <c r="D593" s="18" t="s">
        <v>4328</v>
      </c>
      <c r="E593" s="18" t="s">
        <v>4980</v>
      </c>
      <c r="F593" s="18" t="s">
        <v>4766</v>
      </c>
      <c r="G593" s="18" t="s">
        <v>4981</v>
      </c>
      <c r="H593" s="17" t="s">
        <v>63</v>
      </c>
      <c r="I593" s="25"/>
      <c r="J593" s="26"/>
      <c r="K593" s="22"/>
      <c r="L593" s="23">
        <v>4</v>
      </c>
      <c r="M593" s="23">
        <v>8</v>
      </c>
      <c r="N593" s="24">
        <f t="shared" ref="N593:N602" si="14">MAX(L593,M593)</f>
        <v>8</v>
      </c>
      <c r="O593" s="17" t="s">
        <v>27</v>
      </c>
      <c r="P593" s="18" t="s">
        <v>4982</v>
      </c>
      <c r="Q593" t="s">
        <v>4983</v>
      </c>
    </row>
    <row r="594" spans="1:17" ht="39" customHeight="1" x14ac:dyDescent="0.3">
      <c r="A594" s="17" t="s">
        <v>4905</v>
      </c>
      <c r="B594" s="18" t="s">
        <v>4984</v>
      </c>
      <c r="C594" s="18" t="s">
        <v>4985</v>
      </c>
      <c r="D594" s="18" t="s">
        <v>4986</v>
      </c>
      <c r="E594" s="18" t="s">
        <v>4987</v>
      </c>
      <c r="F594" s="18" t="s">
        <v>1768</v>
      </c>
      <c r="G594" s="18" t="s">
        <v>4988</v>
      </c>
      <c r="H594" s="17" t="s">
        <v>63</v>
      </c>
      <c r="I594" s="25"/>
      <c r="J594" s="26"/>
      <c r="K594" s="22"/>
      <c r="L594" s="23">
        <v>6</v>
      </c>
      <c r="M594" s="23">
        <v>14</v>
      </c>
      <c r="N594" s="24">
        <f t="shared" si="14"/>
        <v>14</v>
      </c>
      <c r="O594" s="17" t="s">
        <v>27</v>
      </c>
      <c r="P594" s="18" t="s">
        <v>4989</v>
      </c>
      <c r="Q594" t="s">
        <v>4990</v>
      </c>
    </row>
    <row r="595" spans="1:17" s="68" customFormat="1" ht="39" customHeight="1" x14ac:dyDescent="0.3">
      <c r="A595" s="61" t="s">
        <v>4913</v>
      </c>
      <c r="B595" s="62" t="s">
        <v>4991</v>
      </c>
      <c r="C595" s="62" t="s">
        <v>4992</v>
      </c>
      <c r="D595" s="62" t="s">
        <v>4986</v>
      </c>
      <c r="E595" s="62" t="s">
        <v>4993</v>
      </c>
      <c r="F595" s="62" t="s">
        <v>4994</v>
      </c>
      <c r="G595" s="62" t="s">
        <v>4995</v>
      </c>
      <c r="H595" s="61" t="s">
        <v>63</v>
      </c>
      <c r="I595" s="63"/>
      <c r="J595" s="64"/>
      <c r="K595" s="65"/>
      <c r="L595" s="66">
        <v>4</v>
      </c>
      <c r="M595" s="66">
        <v>9</v>
      </c>
      <c r="N595" s="67">
        <f t="shared" si="14"/>
        <v>9</v>
      </c>
      <c r="O595" s="61" t="s">
        <v>27</v>
      </c>
      <c r="P595" s="62" t="s">
        <v>4996</v>
      </c>
      <c r="Q595" s="68" t="s">
        <v>4997</v>
      </c>
    </row>
    <row r="596" spans="1:17" ht="39" customHeight="1" x14ac:dyDescent="0.3">
      <c r="A596" s="17" t="s">
        <v>4920</v>
      </c>
      <c r="B596" s="18" t="s">
        <v>4998</v>
      </c>
      <c r="C596" s="18" t="s">
        <v>4999</v>
      </c>
      <c r="D596" s="18" t="s">
        <v>5000</v>
      </c>
      <c r="E596" s="18" t="s">
        <v>5001</v>
      </c>
      <c r="F596" s="18" t="s">
        <v>5002</v>
      </c>
      <c r="G596" s="18" t="s">
        <v>5003</v>
      </c>
      <c r="H596" s="17" t="s">
        <v>63</v>
      </c>
      <c r="I596" s="25"/>
      <c r="J596" s="26"/>
      <c r="K596" s="22"/>
      <c r="L596" s="23">
        <v>2.5</v>
      </c>
      <c r="M596" s="23">
        <v>5</v>
      </c>
      <c r="N596" s="24">
        <f t="shared" si="14"/>
        <v>5</v>
      </c>
      <c r="O596" s="17" t="s">
        <v>27</v>
      </c>
      <c r="P596" s="18" t="s">
        <v>5004</v>
      </c>
      <c r="Q596" t="s">
        <v>5005</v>
      </c>
    </row>
    <row r="597" spans="1:17" ht="39" customHeight="1" x14ac:dyDescent="0.3">
      <c r="A597" s="17" t="s">
        <v>5006</v>
      </c>
      <c r="B597" s="18" t="s">
        <v>5007</v>
      </c>
      <c r="C597" s="18" t="s">
        <v>5008</v>
      </c>
      <c r="D597" s="18" t="s">
        <v>5000</v>
      </c>
      <c r="E597" s="18" t="s">
        <v>5009</v>
      </c>
      <c r="F597" s="18" t="s">
        <v>5002</v>
      </c>
      <c r="G597" s="18" t="s">
        <v>5010</v>
      </c>
      <c r="H597" s="17" t="s">
        <v>63</v>
      </c>
      <c r="I597" s="25"/>
      <c r="J597" s="26"/>
      <c r="K597" s="22"/>
      <c r="L597" s="23">
        <v>2.5</v>
      </c>
      <c r="M597" s="23">
        <v>5</v>
      </c>
      <c r="N597" s="24">
        <f t="shared" si="14"/>
        <v>5</v>
      </c>
      <c r="O597" s="17" t="s">
        <v>27</v>
      </c>
      <c r="P597" s="18" t="s">
        <v>5011</v>
      </c>
      <c r="Q597" t="s">
        <v>5005</v>
      </c>
    </row>
    <row r="598" spans="1:17" ht="39" customHeight="1" x14ac:dyDescent="0.3">
      <c r="A598" s="17" t="s">
        <v>5012</v>
      </c>
      <c r="B598" s="18" t="s">
        <v>5013</v>
      </c>
      <c r="C598" s="18" t="s">
        <v>5014</v>
      </c>
      <c r="D598" s="18" t="s">
        <v>5000</v>
      </c>
      <c r="E598" s="18" t="s">
        <v>5015</v>
      </c>
      <c r="F598" s="18" t="s">
        <v>5002</v>
      </c>
      <c r="G598" s="18" t="s">
        <v>5016</v>
      </c>
      <c r="H598" s="17" t="s">
        <v>63</v>
      </c>
      <c r="I598" s="25"/>
      <c r="J598" s="26"/>
      <c r="K598" s="22"/>
      <c r="L598" s="23">
        <v>2.5</v>
      </c>
      <c r="M598" s="23">
        <v>5</v>
      </c>
      <c r="N598" s="24">
        <f t="shared" si="14"/>
        <v>5</v>
      </c>
      <c r="O598" s="17" t="s">
        <v>27</v>
      </c>
      <c r="P598" s="18" t="s">
        <v>5017</v>
      </c>
      <c r="Q598" t="s">
        <v>5018</v>
      </c>
    </row>
    <row r="599" spans="1:17" ht="39" customHeight="1" x14ac:dyDescent="0.3">
      <c r="A599" s="17" t="s">
        <v>5019</v>
      </c>
      <c r="B599" s="18" t="s">
        <v>5020</v>
      </c>
      <c r="C599" s="18" t="s">
        <v>5014</v>
      </c>
      <c r="D599" s="18" t="s">
        <v>5000</v>
      </c>
      <c r="E599" s="18" t="s">
        <v>5001</v>
      </c>
      <c r="F599" s="18" t="s">
        <v>5002</v>
      </c>
      <c r="G599" s="18" t="s">
        <v>5021</v>
      </c>
      <c r="H599" s="17" t="s">
        <v>63</v>
      </c>
      <c r="I599" s="25"/>
      <c r="J599" s="26"/>
      <c r="K599" s="22"/>
      <c r="L599" s="23">
        <v>2.5</v>
      </c>
      <c r="M599" s="23">
        <v>5</v>
      </c>
      <c r="N599" s="24">
        <f t="shared" si="14"/>
        <v>5</v>
      </c>
      <c r="O599" s="17" t="s">
        <v>27</v>
      </c>
      <c r="P599" s="18" t="s">
        <v>5022</v>
      </c>
      <c r="Q599" t="s">
        <v>5018</v>
      </c>
    </row>
    <row r="600" spans="1:17" ht="39" customHeight="1" x14ac:dyDescent="0.3">
      <c r="A600" s="17" t="s">
        <v>5023</v>
      </c>
      <c r="B600" s="18" t="s">
        <v>5024</v>
      </c>
      <c r="C600" s="18" t="s">
        <v>5025</v>
      </c>
      <c r="D600" s="18" t="s">
        <v>5026</v>
      </c>
      <c r="E600" s="18" t="s">
        <v>5027</v>
      </c>
      <c r="F600" s="18" t="s">
        <v>4782</v>
      </c>
      <c r="G600" s="18" t="s">
        <v>5028</v>
      </c>
      <c r="H600" s="17" t="s">
        <v>63</v>
      </c>
      <c r="I600" s="25"/>
      <c r="J600" s="26"/>
      <c r="K600" s="22"/>
      <c r="L600" s="23">
        <v>3</v>
      </c>
      <c r="M600" s="23">
        <v>6</v>
      </c>
      <c r="N600" s="24">
        <f t="shared" si="14"/>
        <v>6</v>
      </c>
      <c r="O600" s="17" t="s">
        <v>27</v>
      </c>
      <c r="P600" s="18" t="s">
        <v>5029</v>
      </c>
      <c r="Q600" t="s">
        <v>5030</v>
      </c>
    </row>
    <row r="601" spans="1:17" ht="39" customHeight="1" x14ac:dyDescent="0.3">
      <c r="A601" s="17" t="s">
        <v>5031</v>
      </c>
      <c r="B601" s="18" t="s">
        <v>5032</v>
      </c>
      <c r="C601" s="18" t="s">
        <v>5033</v>
      </c>
      <c r="D601" s="18" t="s">
        <v>5034</v>
      </c>
      <c r="E601" s="18" t="s">
        <v>5035</v>
      </c>
      <c r="F601" s="18" t="s">
        <v>1768</v>
      </c>
      <c r="G601" s="18" t="s">
        <v>5036</v>
      </c>
      <c r="H601" s="17" t="s">
        <v>63</v>
      </c>
      <c r="I601" s="25"/>
      <c r="J601" s="26"/>
      <c r="K601" s="22"/>
      <c r="L601" s="23">
        <v>3</v>
      </c>
      <c r="M601" s="23">
        <v>6</v>
      </c>
      <c r="N601" s="24">
        <f t="shared" si="14"/>
        <v>6</v>
      </c>
      <c r="O601" s="17" t="s">
        <v>27</v>
      </c>
      <c r="P601" s="18" t="s">
        <v>5037</v>
      </c>
      <c r="Q601" t="s">
        <v>5038</v>
      </c>
    </row>
    <row r="602" spans="1:17" ht="39" customHeight="1" x14ac:dyDescent="0.3">
      <c r="A602" s="17" t="s">
        <v>5039</v>
      </c>
      <c r="B602" s="18" t="s">
        <v>5040</v>
      </c>
      <c r="C602" s="18" t="s">
        <v>5041</v>
      </c>
      <c r="D602" s="18" t="s">
        <v>5042</v>
      </c>
      <c r="E602" s="18" t="s">
        <v>5043</v>
      </c>
      <c r="F602" s="18" t="s">
        <v>1768</v>
      </c>
      <c r="G602" s="18" t="s">
        <v>5044</v>
      </c>
      <c r="H602" s="17" t="s">
        <v>63</v>
      </c>
      <c r="I602" s="25"/>
      <c r="J602" s="26"/>
      <c r="K602" s="22"/>
      <c r="L602" s="23">
        <v>3</v>
      </c>
      <c r="M602" s="23">
        <v>6</v>
      </c>
      <c r="N602" s="24">
        <f t="shared" si="14"/>
        <v>6</v>
      </c>
      <c r="O602" s="17" t="s">
        <v>27</v>
      </c>
      <c r="P602" s="18" t="s">
        <v>5045</v>
      </c>
      <c r="Q602" t="s">
        <v>5046</v>
      </c>
    </row>
    <row r="603" spans="1:17" ht="39" customHeight="1" x14ac:dyDescent="0.3">
      <c r="A603" s="17" t="s">
        <v>5047</v>
      </c>
      <c r="B603" s="18" t="s">
        <v>5048</v>
      </c>
      <c r="C603" s="18" t="s">
        <v>5049</v>
      </c>
      <c r="D603" s="18" t="s">
        <v>5034</v>
      </c>
      <c r="E603" s="18" t="s">
        <v>5050</v>
      </c>
      <c r="F603" s="18" t="s">
        <v>5051</v>
      </c>
      <c r="G603" s="18" t="s">
        <v>5052</v>
      </c>
      <c r="H603" s="17" t="s">
        <v>63</v>
      </c>
      <c r="I603" s="25"/>
      <c r="J603" s="26"/>
      <c r="K603" s="22"/>
      <c r="L603" s="23">
        <v>3</v>
      </c>
      <c r="M603" s="23">
        <v>6</v>
      </c>
      <c r="N603" s="24">
        <f t="shared" ref="N603:N615" si="15">MAX(L603,M603)</f>
        <v>6</v>
      </c>
      <c r="O603" s="17" t="s">
        <v>27</v>
      </c>
      <c r="P603" s="18" t="s">
        <v>5053</v>
      </c>
      <c r="Q603" t="s">
        <v>5054</v>
      </c>
    </row>
    <row r="604" spans="1:17" ht="39" customHeight="1" x14ac:dyDescent="0.3">
      <c r="A604" s="17" t="s">
        <v>5055</v>
      </c>
      <c r="B604" s="18" t="s">
        <v>5056</v>
      </c>
      <c r="C604" s="18" t="s">
        <v>5057</v>
      </c>
      <c r="D604" s="18" t="s">
        <v>5058</v>
      </c>
      <c r="E604" s="18" t="s">
        <v>5059</v>
      </c>
      <c r="F604" s="18" t="s">
        <v>1768</v>
      </c>
      <c r="G604" s="18" t="s">
        <v>5060</v>
      </c>
      <c r="H604" s="17" t="s">
        <v>63</v>
      </c>
      <c r="I604" s="25"/>
      <c r="J604" s="26"/>
      <c r="K604" s="22"/>
      <c r="L604" s="23">
        <v>3</v>
      </c>
      <c r="M604" s="23">
        <v>6</v>
      </c>
      <c r="N604" s="24">
        <f t="shared" si="15"/>
        <v>6</v>
      </c>
      <c r="O604" s="17" t="s">
        <v>27</v>
      </c>
      <c r="P604" s="18" t="s">
        <v>5061</v>
      </c>
      <c r="Q604" t="s">
        <v>5062</v>
      </c>
    </row>
    <row r="605" spans="1:17" ht="39" customHeight="1" x14ac:dyDescent="0.3">
      <c r="A605" s="17" t="s">
        <v>5063</v>
      </c>
      <c r="B605" s="18" t="s">
        <v>5064</v>
      </c>
      <c r="C605" s="18" t="s">
        <v>5065</v>
      </c>
      <c r="D605" s="18" t="s">
        <v>5066</v>
      </c>
      <c r="E605" s="18" t="s">
        <v>5067</v>
      </c>
      <c r="F605" s="18" t="s">
        <v>5002</v>
      </c>
      <c r="G605" s="18" t="s">
        <v>5068</v>
      </c>
      <c r="H605" s="17" t="s">
        <v>63</v>
      </c>
      <c r="I605" s="25"/>
      <c r="J605" s="26"/>
      <c r="K605" s="22"/>
      <c r="L605" s="23">
        <v>2.5</v>
      </c>
      <c r="M605" s="23">
        <v>5</v>
      </c>
      <c r="N605" s="24">
        <f t="shared" si="15"/>
        <v>5</v>
      </c>
      <c r="O605" s="17" t="s">
        <v>27</v>
      </c>
      <c r="P605" s="18" t="s">
        <v>5069</v>
      </c>
      <c r="Q605" t="s">
        <v>5070</v>
      </c>
    </row>
    <row r="606" spans="1:17" ht="39" customHeight="1" x14ac:dyDescent="0.3">
      <c r="A606" s="17" t="s">
        <v>5055</v>
      </c>
      <c r="B606" s="18" t="s">
        <v>5056</v>
      </c>
      <c r="C606" s="18" t="s">
        <v>5057</v>
      </c>
      <c r="D606" s="18" t="s">
        <v>5058</v>
      </c>
      <c r="E606" s="18" t="s">
        <v>5059</v>
      </c>
      <c r="F606" s="18" t="s">
        <v>1768</v>
      </c>
      <c r="G606" s="18" t="s">
        <v>5060</v>
      </c>
      <c r="H606" s="17" t="s">
        <v>63</v>
      </c>
      <c r="I606" s="25"/>
      <c r="J606" s="26"/>
      <c r="K606" s="22"/>
      <c r="L606" s="23">
        <v>3</v>
      </c>
      <c r="M606" s="23">
        <v>6</v>
      </c>
      <c r="N606" s="24">
        <f t="shared" si="15"/>
        <v>6</v>
      </c>
      <c r="O606" s="17" t="s">
        <v>27</v>
      </c>
      <c r="P606" s="18" t="s">
        <v>5061</v>
      </c>
      <c r="Q606" t="s">
        <v>5062</v>
      </c>
    </row>
    <row r="607" spans="1:17" ht="39" customHeight="1" x14ac:dyDescent="0.3">
      <c r="A607" s="17" t="s">
        <v>5063</v>
      </c>
      <c r="B607" s="18" t="s">
        <v>5064</v>
      </c>
      <c r="C607" s="18" t="s">
        <v>5065</v>
      </c>
      <c r="D607" s="18" t="s">
        <v>5066</v>
      </c>
      <c r="E607" s="18" t="s">
        <v>5067</v>
      </c>
      <c r="F607" s="18" t="s">
        <v>5002</v>
      </c>
      <c r="G607" s="18" t="s">
        <v>5068</v>
      </c>
      <c r="H607" s="17" t="s">
        <v>63</v>
      </c>
      <c r="I607" s="25"/>
      <c r="J607" s="26"/>
      <c r="K607" s="22"/>
      <c r="L607" s="23">
        <v>2.5</v>
      </c>
      <c r="M607" s="23">
        <v>5</v>
      </c>
      <c r="N607" s="24">
        <f t="shared" si="15"/>
        <v>5</v>
      </c>
      <c r="O607" s="17" t="s">
        <v>27</v>
      </c>
      <c r="P607" s="18" t="s">
        <v>5069</v>
      </c>
      <c r="Q607" t="s">
        <v>5070</v>
      </c>
    </row>
    <row r="608" spans="1:17" ht="39" customHeight="1" x14ac:dyDescent="0.3">
      <c r="A608" s="17" t="s">
        <v>5071</v>
      </c>
      <c r="B608" s="18" t="s">
        <v>5072</v>
      </c>
      <c r="C608" s="18" t="s">
        <v>5073</v>
      </c>
      <c r="D608" s="18" t="s">
        <v>5074</v>
      </c>
      <c r="E608" s="18" t="s">
        <v>5075</v>
      </c>
      <c r="F608" s="18" t="s">
        <v>1768</v>
      </c>
      <c r="G608" s="18" t="s">
        <v>5076</v>
      </c>
      <c r="H608" s="17" t="s">
        <v>63</v>
      </c>
      <c r="I608" s="25"/>
      <c r="J608" s="26"/>
      <c r="K608" s="22"/>
      <c r="L608" s="23">
        <v>3</v>
      </c>
      <c r="M608" s="23">
        <v>6</v>
      </c>
      <c r="N608" s="24">
        <f t="shared" si="15"/>
        <v>6</v>
      </c>
      <c r="O608" s="17" t="s">
        <v>27</v>
      </c>
      <c r="P608" s="18" t="s">
        <v>5077</v>
      </c>
      <c r="Q608" t="s">
        <v>5062</v>
      </c>
    </row>
    <row r="609" spans="1:17" ht="39" customHeight="1" x14ac:dyDescent="0.3">
      <c r="A609" s="17" t="s">
        <v>5078</v>
      </c>
      <c r="B609" s="18" t="s">
        <v>5079</v>
      </c>
      <c r="C609" s="18" t="s">
        <v>5080</v>
      </c>
      <c r="D609" s="18" t="s">
        <v>5034</v>
      </c>
      <c r="E609" s="18" t="s">
        <v>5081</v>
      </c>
      <c r="F609" s="18" t="s">
        <v>5002</v>
      </c>
      <c r="G609" s="18" t="s">
        <v>5082</v>
      </c>
      <c r="H609" s="17" t="s">
        <v>63</v>
      </c>
      <c r="I609" s="25"/>
      <c r="J609" s="26"/>
      <c r="K609" s="22"/>
      <c r="L609" s="23">
        <v>2.5</v>
      </c>
      <c r="M609" s="23">
        <v>5</v>
      </c>
      <c r="N609" s="24">
        <f t="shared" si="15"/>
        <v>5</v>
      </c>
      <c r="O609" s="17" t="s">
        <v>27</v>
      </c>
      <c r="P609" s="18" t="s">
        <v>5083</v>
      </c>
      <c r="Q609" t="s">
        <v>5018</v>
      </c>
    </row>
    <row r="610" spans="1:17" ht="39" customHeight="1" x14ac:dyDescent="0.3">
      <c r="A610" s="17" t="s">
        <v>5084</v>
      </c>
      <c r="B610" s="18" t="s">
        <v>5085</v>
      </c>
      <c r="C610" s="18" t="s">
        <v>5086</v>
      </c>
      <c r="D610" s="18" t="s">
        <v>5034</v>
      </c>
      <c r="E610" s="18" t="s">
        <v>5087</v>
      </c>
      <c r="F610" s="18" t="s">
        <v>5002</v>
      </c>
      <c r="G610" s="18" t="s">
        <v>5088</v>
      </c>
      <c r="H610" s="17" t="s">
        <v>63</v>
      </c>
      <c r="I610" s="25"/>
      <c r="J610" s="26"/>
      <c r="K610" s="22"/>
      <c r="L610" s="23">
        <v>2.5</v>
      </c>
      <c r="M610" s="23">
        <v>5</v>
      </c>
      <c r="N610" s="24">
        <f t="shared" si="15"/>
        <v>5</v>
      </c>
      <c r="O610" s="17" t="s">
        <v>27</v>
      </c>
      <c r="P610" s="18" t="s">
        <v>5089</v>
      </c>
      <c r="Q610" t="s">
        <v>5018</v>
      </c>
    </row>
    <row r="611" spans="1:17" s="119" customFormat="1" ht="39" customHeight="1" x14ac:dyDescent="0.3">
      <c r="A611" s="112" t="s">
        <v>5090</v>
      </c>
      <c r="B611" s="113" t="s">
        <v>5091</v>
      </c>
      <c r="C611" s="113" t="s">
        <v>5092</v>
      </c>
      <c r="D611" s="113" t="s">
        <v>5058</v>
      </c>
      <c r="E611" s="113" t="s">
        <v>5093</v>
      </c>
      <c r="F611" s="113" t="s">
        <v>1768</v>
      </c>
      <c r="G611" s="113" t="s">
        <v>5094</v>
      </c>
      <c r="H611" s="112" t="s">
        <v>63</v>
      </c>
      <c r="I611" s="114"/>
      <c r="J611" s="115"/>
      <c r="K611" s="116"/>
      <c r="L611" s="117">
        <v>3</v>
      </c>
      <c r="M611" s="117">
        <v>6</v>
      </c>
      <c r="N611" s="118">
        <f t="shared" si="15"/>
        <v>6</v>
      </c>
      <c r="O611" s="112" t="s">
        <v>27</v>
      </c>
      <c r="P611" s="113" t="s">
        <v>5095</v>
      </c>
      <c r="Q611" s="119" t="s">
        <v>5062</v>
      </c>
    </row>
    <row r="612" spans="1:17" s="68" customFormat="1" ht="39" customHeight="1" x14ac:dyDescent="0.3">
      <c r="A612" s="61" t="s">
        <v>5096</v>
      </c>
      <c r="B612" s="62" t="s">
        <v>5097</v>
      </c>
      <c r="C612" s="62" t="s">
        <v>5098</v>
      </c>
      <c r="D612" s="62" t="s">
        <v>5058</v>
      </c>
      <c r="E612" s="62" t="s">
        <v>5099</v>
      </c>
      <c r="F612" s="62" t="s">
        <v>1768</v>
      </c>
      <c r="G612" s="62" t="s">
        <v>5100</v>
      </c>
      <c r="H612" s="61" t="s">
        <v>63</v>
      </c>
      <c r="I612" s="63"/>
      <c r="J612" s="64"/>
      <c r="K612" s="65"/>
      <c r="L612" s="66">
        <v>3</v>
      </c>
      <c r="M612" s="66">
        <v>6</v>
      </c>
      <c r="N612" s="67">
        <f t="shared" si="15"/>
        <v>6</v>
      </c>
      <c r="O612" s="61" t="s">
        <v>27</v>
      </c>
      <c r="P612" s="62" t="s">
        <v>5101</v>
      </c>
      <c r="Q612" s="68" t="s">
        <v>5062</v>
      </c>
    </row>
    <row r="613" spans="1:17" s="68" customFormat="1" ht="39" customHeight="1" x14ac:dyDescent="0.3">
      <c r="A613" s="61" t="s">
        <v>5102</v>
      </c>
      <c r="B613" s="62" t="s">
        <v>5103</v>
      </c>
      <c r="C613" s="62" t="s">
        <v>5104</v>
      </c>
      <c r="D613" s="62" t="s">
        <v>5058</v>
      </c>
      <c r="E613" s="62" t="s">
        <v>5105</v>
      </c>
      <c r="F613" s="62" t="s">
        <v>1768</v>
      </c>
      <c r="G613" s="62" t="s">
        <v>5106</v>
      </c>
      <c r="H613" s="61" t="s">
        <v>63</v>
      </c>
      <c r="I613" s="63"/>
      <c r="J613" s="64"/>
      <c r="K613" s="65"/>
      <c r="L613" s="66">
        <v>3</v>
      </c>
      <c r="M613" s="66">
        <v>6</v>
      </c>
      <c r="N613" s="67">
        <f t="shared" si="15"/>
        <v>6</v>
      </c>
      <c r="O613" s="61" t="s">
        <v>27</v>
      </c>
      <c r="P613" s="62" t="s">
        <v>5107</v>
      </c>
      <c r="Q613" s="68" t="s">
        <v>5062</v>
      </c>
    </row>
    <row r="614" spans="1:17" ht="39" customHeight="1" x14ac:dyDescent="0.3">
      <c r="A614" s="17" t="s">
        <v>5108</v>
      </c>
      <c r="B614" s="18" t="s">
        <v>5109</v>
      </c>
      <c r="C614" s="18" t="s">
        <v>5110</v>
      </c>
      <c r="D614" s="18" t="s">
        <v>5058</v>
      </c>
      <c r="E614" s="18" t="s">
        <v>5111</v>
      </c>
      <c r="F614" s="18" t="s">
        <v>1147</v>
      </c>
      <c r="G614" s="18" t="s">
        <v>5112</v>
      </c>
      <c r="H614" s="17" t="s">
        <v>63</v>
      </c>
      <c r="I614" s="25"/>
      <c r="J614" s="26"/>
      <c r="K614" s="22"/>
      <c r="L614" s="23">
        <v>2.5</v>
      </c>
      <c r="M614" s="23">
        <v>5</v>
      </c>
      <c r="N614" s="24">
        <f t="shared" si="15"/>
        <v>5</v>
      </c>
      <c r="O614" s="17" t="s">
        <v>27</v>
      </c>
      <c r="P614" s="18" t="s">
        <v>5113</v>
      </c>
      <c r="Q614" t="s">
        <v>5114</v>
      </c>
    </row>
    <row r="615" spans="1:17" ht="39" customHeight="1" x14ac:dyDescent="0.3">
      <c r="A615" s="17" t="s">
        <v>5115</v>
      </c>
      <c r="B615" s="18" t="s">
        <v>5116</v>
      </c>
      <c r="C615" s="18" t="s">
        <v>5117</v>
      </c>
      <c r="D615" s="18" t="s">
        <v>4986</v>
      </c>
      <c r="E615" s="18" t="s">
        <v>5118</v>
      </c>
      <c r="F615" s="18" t="s">
        <v>1768</v>
      </c>
      <c r="G615" s="18" t="s">
        <v>5119</v>
      </c>
      <c r="H615" s="17" t="s">
        <v>63</v>
      </c>
      <c r="I615" s="25"/>
      <c r="J615" s="26"/>
      <c r="K615" s="22"/>
      <c r="L615" s="23">
        <v>3</v>
      </c>
      <c r="M615" s="23">
        <v>6</v>
      </c>
      <c r="N615" s="24">
        <f t="shared" si="15"/>
        <v>6</v>
      </c>
      <c r="O615" s="17" t="s">
        <v>27</v>
      </c>
      <c r="P615" s="18" t="s">
        <v>5120</v>
      </c>
      <c r="Q615" t="s">
        <v>5062</v>
      </c>
    </row>
    <row r="616" spans="1:17" ht="39" customHeight="1" x14ac:dyDescent="0.3">
      <c r="A616" s="17" t="s">
        <v>5121</v>
      </c>
      <c r="B616" s="18" t="s">
        <v>5122</v>
      </c>
      <c r="C616" s="18" t="s">
        <v>5123</v>
      </c>
      <c r="D616" s="18" t="s">
        <v>5034</v>
      </c>
      <c r="E616" s="18" t="s">
        <v>5124</v>
      </c>
      <c r="F616" s="18" t="s">
        <v>1768</v>
      </c>
      <c r="G616" s="18" t="s">
        <v>5125</v>
      </c>
      <c r="H616" s="17" t="s">
        <v>63</v>
      </c>
      <c r="I616" s="25"/>
      <c r="J616" s="26"/>
      <c r="K616" s="22"/>
      <c r="L616" s="23">
        <v>3</v>
      </c>
      <c r="M616" s="23">
        <v>6</v>
      </c>
      <c r="N616" s="24">
        <f>MAX(L616,M616)</f>
        <v>6</v>
      </c>
      <c r="O616" s="17" t="s">
        <v>27</v>
      </c>
      <c r="P616" s="18" t="s">
        <v>5126</v>
      </c>
      <c r="Q616" t="s">
        <v>5062</v>
      </c>
    </row>
    <row r="617" spans="1:17" ht="39" customHeight="1" x14ac:dyDescent="0.3">
      <c r="A617" s="17" t="s">
        <v>4684</v>
      </c>
      <c r="B617" s="18" t="s">
        <v>5127</v>
      </c>
      <c r="C617" s="18" t="s">
        <v>5128</v>
      </c>
      <c r="D617" s="18" t="s">
        <v>5129</v>
      </c>
      <c r="E617" s="18" t="s">
        <v>5130</v>
      </c>
      <c r="F617" s="18" t="s">
        <v>1697</v>
      </c>
      <c r="G617" s="18" t="s">
        <v>5131</v>
      </c>
      <c r="H617" s="17" t="s">
        <v>63</v>
      </c>
      <c r="I617" s="25"/>
      <c r="J617" s="26"/>
      <c r="K617" s="22"/>
      <c r="L617" s="23">
        <v>3</v>
      </c>
      <c r="M617" s="23">
        <v>6</v>
      </c>
      <c r="N617" s="24">
        <f t="shared" ref="N617:N621" si="16">MAX(L617,M617)</f>
        <v>6</v>
      </c>
      <c r="O617" s="17" t="s">
        <v>27</v>
      </c>
      <c r="P617" s="18" t="s">
        <v>5132</v>
      </c>
      <c r="Q617" t="s">
        <v>5133</v>
      </c>
    </row>
    <row r="618" spans="1:17" ht="39" customHeight="1" x14ac:dyDescent="0.3">
      <c r="A618" s="17" t="s">
        <v>4685</v>
      </c>
      <c r="B618" s="18" t="s">
        <v>5135</v>
      </c>
      <c r="C618" s="18" t="s">
        <v>5136</v>
      </c>
      <c r="D618" s="18" t="s">
        <v>5137</v>
      </c>
      <c r="E618" s="18" t="s">
        <v>5138</v>
      </c>
      <c r="F618" s="18" t="s">
        <v>1768</v>
      </c>
      <c r="G618" s="18" t="s">
        <v>5139</v>
      </c>
      <c r="H618" s="17" t="s">
        <v>63</v>
      </c>
      <c r="I618" s="25"/>
      <c r="J618" s="26"/>
      <c r="K618" s="22"/>
      <c r="L618" s="23">
        <v>3</v>
      </c>
      <c r="M618" s="23">
        <v>6</v>
      </c>
      <c r="N618" s="24">
        <f t="shared" si="16"/>
        <v>6</v>
      </c>
      <c r="O618" s="17" t="s">
        <v>27</v>
      </c>
      <c r="P618" s="18" t="s">
        <v>5140</v>
      </c>
      <c r="Q618" t="s">
        <v>5141</v>
      </c>
    </row>
    <row r="619" spans="1:17" ht="39" customHeight="1" x14ac:dyDescent="0.3">
      <c r="A619" s="17" t="s">
        <v>4686</v>
      </c>
      <c r="B619" s="18" t="s">
        <v>5143</v>
      </c>
      <c r="C619" s="18" t="s">
        <v>5144</v>
      </c>
      <c r="D619" s="18" t="s">
        <v>5145</v>
      </c>
      <c r="E619" s="18" t="s">
        <v>5146</v>
      </c>
      <c r="F619" s="18" t="s">
        <v>5002</v>
      </c>
      <c r="G619" s="18" t="s">
        <v>5147</v>
      </c>
      <c r="H619" s="17" t="s">
        <v>63</v>
      </c>
      <c r="I619" s="25"/>
      <c r="J619" s="26"/>
      <c r="K619" s="22"/>
      <c r="L619" s="23">
        <v>2.5</v>
      </c>
      <c r="M619" s="23">
        <v>5</v>
      </c>
      <c r="N619" s="24">
        <f t="shared" si="16"/>
        <v>5</v>
      </c>
      <c r="O619" s="17" t="s">
        <v>27</v>
      </c>
      <c r="P619" s="18" t="s">
        <v>5148</v>
      </c>
      <c r="Q619" t="s">
        <v>5149</v>
      </c>
    </row>
    <row r="620" spans="1:17" ht="39" customHeight="1" x14ac:dyDescent="0.3">
      <c r="A620" s="17" t="s">
        <v>4687</v>
      </c>
      <c r="B620" s="18" t="s">
        <v>5151</v>
      </c>
      <c r="C620" s="18" t="s">
        <v>5152</v>
      </c>
      <c r="D620" s="18" t="s">
        <v>5153</v>
      </c>
      <c r="E620" s="18" t="s">
        <v>5154</v>
      </c>
      <c r="F620" s="18" t="s">
        <v>1768</v>
      </c>
      <c r="G620" s="18" t="s">
        <v>5155</v>
      </c>
      <c r="H620" s="17" t="s">
        <v>63</v>
      </c>
      <c r="I620" s="25"/>
      <c r="J620" s="26"/>
      <c r="K620" s="22"/>
      <c r="L620" s="23">
        <v>3</v>
      </c>
      <c r="M620" s="23">
        <v>6</v>
      </c>
      <c r="N620" s="24">
        <f t="shared" si="16"/>
        <v>6</v>
      </c>
      <c r="O620" s="17" t="s">
        <v>27</v>
      </c>
      <c r="P620" s="18" t="s">
        <v>5156</v>
      </c>
      <c r="Q620" t="s">
        <v>5157</v>
      </c>
    </row>
    <row r="621" spans="1:17" ht="39" customHeight="1" x14ac:dyDescent="0.3">
      <c r="A621" s="17" t="s">
        <v>4688</v>
      </c>
      <c r="B621" s="18" t="s">
        <v>5159</v>
      </c>
      <c r="C621" s="18" t="s">
        <v>5160</v>
      </c>
      <c r="D621" s="18" t="s">
        <v>5161</v>
      </c>
      <c r="E621" s="18" t="s">
        <v>5162</v>
      </c>
      <c r="F621" s="18" t="s">
        <v>1768</v>
      </c>
      <c r="G621" s="18" t="s">
        <v>5163</v>
      </c>
      <c r="H621" s="17" t="s">
        <v>63</v>
      </c>
      <c r="I621" s="25"/>
      <c r="J621" s="26"/>
      <c r="K621" s="22"/>
      <c r="L621" s="23">
        <v>3.5</v>
      </c>
      <c r="M621" s="23">
        <v>7</v>
      </c>
      <c r="N621" s="24">
        <f t="shared" si="16"/>
        <v>7</v>
      </c>
      <c r="O621" s="17" t="s">
        <v>27</v>
      </c>
      <c r="P621" s="18" t="s">
        <v>5164</v>
      </c>
      <c r="Q621" t="s">
        <v>5165</v>
      </c>
    </row>
    <row r="622" spans="1:17" ht="39" customHeight="1" x14ac:dyDescent="0.3">
      <c r="A622" s="17" t="s">
        <v>4689</v>
      </c>
      <c r="B622" s="18" t="s">
        <v>5167</v>
      </c>
      <c r="C622" s="18" t="s">
        <v>5168</v>
      </c>
      <c r="D622" s="18" t="s">
        <v>5169</v>
      </c>
      <c r="E622" s="18" t="s">
        <v>5170</v>
      </c>
      <c r="F622" s="18" t="s">
        <v>1768</v>
      </c>
      <c r="G622" s="18" t="s">
        <v>5171</v>
      </c>
      <c r="H622" s="17" t="s">
        <v>63</v>
      </c>
      <c r="I622" s="25"/>
      <c r="J622" s="26"/>
      <c r="K622" s="22"/>
      <c r="L622" s="23">
        <v>3.5</v>
      </c>
      <c r="M622" s="23">
        <v>7</v>
      </c>
      <c r="N622" s="24">
        <f>MAX(L622,M622)</f>
        <v>7</v>
      </c>
      <c r="O622" s="17" t="s">
        <v>27</v>
      </c>
      <c r="P622" s="18" t="s">
        <v>5172</v>
      </c>
      <c r="Q622" t="s">
        <v>5157</v>
      </c>
    </row>
    <row r="623" spans="1:17" ht="39" customHeight="1" x14ac:dyDescent="0.3">
      <c r="A623" s="17" t="s">
        <v>21914</v>
      </c>
      <c r="B623" s="18" t="s">
        <v>5174</v>
      </c>
      <c r="C623" s="18" t="s">
        <v>5175</v>
      </c>
      <c r="D623" s="18" t="s">
        <v>5176</v>
      </c>
      <c r="E623" s="18" t="s">
        <v>5177</v>
      </c>
      <c r="F623" s="18" t="s">
        <v>1768</v>
      </c>
      <c r="G623" s="18" t="s">
        <v>5178</v>
      </c>
      <c r="H623" s="17" t="s">
        <v>63</v>
      </c>
      <c r="I623" s="25"/>
      <c r="J623" s="26"/>
      <c r="K623" s="22"/>
      <c r="L623" s="23">
        <v>3.5</v>
      </c>
      <c r="M623" s="23">
        <v>7</v>
      </c>
      <c r="N623" s="24">
        <f t="shared" ref="N623:N627" si="17">MAX(L623,M623)</f>
        <v>7</v>
      </c>
      <c r="O623" s="17" t="s">
        <v>27</v>
      </c>
      <c r="P623" s="18" t="s">
        <v>5179</v>
      </c>
      <c r="Q623" t="s">
        <v>5180</v>
      </c>
    </row>
    <row r="624" spans="1:17" ht="39" customHeight="1" x14ac:dyDescent="0.3">
      <c r="A624" s="17" t="s">
        <v>5134</v>
      </c>
      <c r="B624" s="18" t="s">
        <v>5182</v>
      </c>
      <c r="C624" s="18" t="s">
        <v>5183</v>
      </c>
      <c r="D624" s="18" t="s">
        <v>5129</v>
      </c>
      <c r="E624" s="18" t="s">
        <v>5184</v>
      </c>
      <c r="F624" s="18" t="s">
        <v>1697</v>
      </c>
      <c r="G624" s="18" t="s">
        <v>5185</v>
      </c>
      <c r="H624" s="17" t="s">
        <v>63</v>
      </c>
      <c r="I624" s="25"/>
      <c r="J624" s="26"/>
      <c r="K624" s="22"/>
      <c r="L624" s="23">
        <v>2.5</v>
      </c>
      <c r="M624" s="23">
        <v>5</v>
      </c>
      <c r="N624" s="24">
        <f t="shared" si="17"/>
        <v>5</v>
      </c>
      <c r="O624" s="17" t="s">
        <v>27</v>
      </c>
      <c r="P624" s="18" t="s">
        <v>5186</v>
      </c>
      <c r="Q624" t="s">
        <v>5187</v>
      </c>
    </row>
    <row r="625" spans="1:17" ht="39" customHeight="1" x14ac:dyDescent="0.3">
      <c r="A625" s="17" t="s">
        <v>5142</v>
      </c>
      <c r="B625" s="18" t="s">
        <v>5189</v>
      </c>
      <c r="C625" s="18" t="s">
        <v>5190</v>
      </c>
      <c r="D625" s="18" t="s">
        <v>5191</v>
      </c>
      <c r="E625" s="18" t="s">
        <v>5192</v>
      </c>
      <c r="F625" s="18" t="s">
        <v>5002</v>
      </c>
      <c r="G625" s="18" t="s">
        <v>5193</v>
      </c>
      <c r="H625" s="17" t="s">
        <v>63</v>
      </c>
      <c r="I625" s="25"/>
      <c r="J625" s="26"/>
      <c r="K625" s="22"/>
      <c r="L625" s="23">
        <v>3</v>
      </c>
      <c r="M625" s="23">
        <v>6</v>
      </c>
      <c r="N625" s="24">
        <f t="shared" si="17"/>
        <v>6</v>
      </c>
      <c r="O625" s="17" t="s">
        <v>27</v>
      </c>
      <c r="P625" s="18" t="s">
        <v>5194</v>
      </c>
      <c r="Q625" t="s">
        <v>5195</v>
      </c>
    </row>
    <row r="626" spans="1:17" ht="39" customHeight="1" x14ac:dyDescent="0.3">
      <c r="A626" s="17" t="s">
        <v>5150</v>
      </c>
      <c r="B626" s="18" t="s">
        <v>5197</v>
      </c>
      <c r="C626" s="18" t="s">
        <v>5204</v>
      </c>
      <c r="D626" s="18" t="s">
        <v>5198</v>
      </c>
      <c r="E626" s="18" t="s">
        <v>5205</v>
      </c>
      <c r="F626" s="18" t="s">
        <v>1768</v>
      </c>
      <c r="G626" s="18" t="s">
        <v>5206</v>
      </c>
      <c r="H626" s="17" t="s">
        <v>63</v>
      </c>
      <c r="I626" s="25"/>
      <c r="J626" s="26"/>
      <c r="K626" s="22"/>
      <c r="L626" s="23">
        <v>4</v>
      </c>
      <c r="M626" s="23">
        <v>8</v>
      </c>
      <c r="N626" s="24">
        <f t="shared" si="17"/>
        <v>8</v>
      </c>
      <c r="O626" s="17" t="s">
        <v>27</v>
      </c>
      <c r="P626" s="18" t="s">
        <v>5207</v>
      </c>
      <c r="Q626" t="s">
        <v>5062</v>
      </c>
    </row>
    <row r="627" spans="1:17" ht="39" customHeight="1" x14ac:dyDescent="0.3">
      <c r="A627" s="17" t="s">
        <v>5158</v>
      </c>
      <c r="B627" s="18" t="s">
        <v>5200</v>
      </c>
      <c r="C627" s="18" t="s">
        <v>5208</v>
      </c>
      <c r="D627" s="18" t="s">
        <v>5201</v>
      </c>
      <c r="E627" s="18" t="s">
        <v>5209</v>
      </c>
      <c r="F627" s="18" t="s">
        <v>1768</v>
      </c>
      <c r="G627" s="18" t="s">
        <v>5210</v>
      </c>
      <c r="H627" s="17" t="s">
        <v>63</v>
      </c>
      <c r="I627" s="25"/>
      <c r="J627" s="26"/>
      <c r="K627" s="22"/>
      <c r="L627" s="23">
        <v>4</v>
      </c>
      <c r="M627" s="23">
        <v>8</v>
      </c>
      <c r="N627" s="24">
        <f t="shared" si="17"/>
        <v>8</v>
      </c>
      <c r="O627" s="17" t="s">
        <v>27</v>
      </c>
      <c r="P627" s="18" t="s">
        <v>5211</v>
      </c>
      <c r="Q627" t="s">
        <v>5062</v>
      </c>
    </row>
    <row r="628" spans="1:17" ht="39" customHeight="1" x14ac:dyDescent="0.3">
      <c r="A628" s="17" t="s">
        <v>5166</v>
      </c>
      <c r="B628" s="18" t="s">
        <v>5203</v>
      </c>
      <c r="C628" s="18" t="s">
        <v>5212</v>
      </c>
      <c r="D628" s="18" t="s">
        <v>5201</v>
      </c>
      <c r="E628" s="18" t="s">
        <v>5213</v>
      </c>
      <c r="F628" s="18" t="s">
        <v>1768</v>
      </c>
      <c r="G628" s="18" t="s">
        <v>5214</v>
      </c>
      <c r="H628" s="17" t="s">
        <v>63</v>
      </c>
      <c r="I628" s="25"/>
      <c r="J628" s="26"/>
      <c r="K628" s="22"/>
      <c r="L628" s="23">
        <v>4</v>
      </c>
      <c r="M628" s="23">
        <v>8</v>
      </c>
      <c r="N628" s="24">
        <f>MAX(L628,M628)</f>
        <v>8</v>
      </c>
      <c r="O628" s="17" t="s">
        <v>27</v>
      </c>
      <c r="P628" s="18" t="s">
        <v>5215</v>
      </c>
      <c r="Q628" t="s">
        <v>5062</v>
      </c>
    </row>
    <row r="629" spans="1:17" ht="39" customHeight="1" x14ac:dyDescent="0.3">
      <c r="A629" s="17" t="s">
        <v>5173</v>
      </c>
      <c r="B629" s="18" t="s">
        <v>5217</v>
      </c>
      <c r="C629" s="18" t="s">
        <v>5218</v>
      </c>
      <c r="D629" s="18" t="s">
        <v>5176</v>
      </c>
      <c r="E629" s="18" t="s">
        <v>5219</v>
      </c>
      <c r="F629" s="18" t="s">
        <v>1768</v>
      </c>
      <c r="G629" s="18" t="s">
        <v>5220</v>
      </c>
      <c r="H629" s="17" t="s">
        <v>63</v>
      </c>
      <c r="I629" s="25"/>
      <c r="J629" s="26"/>
      <c r="K629" s="22"/>
      <c r="L629" s="23">
        <v>3.5</v>
      </c>
      <c r="M629" s="23">
        <v>7</v>
      </c>
      <c r="N629" s="24">
        <f t="shared" ref="N629" si="18">MAX(L629,M629)</f>
        <v>7</v>
      </c>
      <c r="O629" s="17" t="s">
        <v>27</v>
      </c>
      <c r="P629" s="18" t="s">
        <v>5221</v>
      </c>
      <c r="Q629" t="s">
        <v>5222</v>
      </c>
    </row>
    <row r="630" spans="1:17" ht="39" customHeight="1" x14ac:dyDescent="0.3">
      <c r="A630" s="17" t="s">
        <v>5181</v>
      </c>
      <c r="B630" s="18" t="s">
        <v>5224</v>
      </c>
      <c r="C630" s="18" t="s">
        <v>5225</v>
      </c>
      <c r="D630" s="18" t="s">
        <v>5226</v>
      </c>
      <c r="E630" s="18" t="s">
        <v>5227</v>
      </c>
      <c r="F630" s="18" t="s">
        <v>1768</v>
      </c>
      <c r="G630" s="18" t="s">
        <v>5228</v>
      </c>
      <c r="H630" s="17" t="s">
        <v>63</v>
      </c>
      <c r="I630" s="25"/>
      <c r="J630" s="26"/>
      <c r="K630" s="22"/>
      <c r="L630" s="23">
        <v>4</v>
      </c>
      <c r="M630" s="23">
        <v>8</v>
      </c>
      <c r="N630" s="24">
        <f t="shared" ref="N630:N637" si="19">MAX(L630,M630)</f>
        <v>8</v>
      </c>
      <c r="O630" s="17" t="s">
        <v>27</v>
      </c>
      <c r="P630" s="18" t="s">
        <v>5229</v>
      </c>
      <c r="Q630" t="s">
        <v>5230</v>
      </c>
    </row>
    <row r="631" spans="1:17" ht="39" customHeight="1" x14ac:dyDescent="0.3">
      <c r="A631" s="17" t="s">
        <v>5188</v>
      </c>
      <c r="B631" s="18" t="s">
        <v>5232</v>
      </c>
      <c r="C631" s="18" t="s">
        <v>5233</v>
      </c>
      <c r="D631" s="18" t="s">
        <v>5226</v>
      </c>
      <c r="E631" s="18" t="s">
        <v>5227</v>
      </c>
      <c r="F631" s="18" t="s">
        <v>5234</v>
      </c>
      <c r="G631" s="18" t="s">
        <v>5235</v>
      </c>
      <c r="H631" s="17" t="s">
        <v>63</v>
      </c>
      <c r="I631" s="25"/>
      <c r="J631" s="26"/>
      <c r="K631" s="22"/>
      <c r="L631" s="23">
        <v>3</v>
      </c>
      <c r="M631" s="23">
        <v>6</v>
      </c>
      <c r="N631" s="24">
        <f t="shared" si="19"/>
        <v>6</v>
      </c>
      <c r="O631" s="17" t="s">
        <v>27</v>
      </c>
      <c r="P631" s="18" t="s">
        <v>5236</v>
      </c>
      <c r="Q631" t="s">
        <v>5237</v>
      </c>
    </row>
    <row r="632" spans="1:17" ht="39" customHeight="1" x14ac:dyDescent="0.3">
      <c r="A632" s="17" t="s">
        <v>5196</v>
      </c>
      <c r="B632" s="18" t="s">
        <v>5261</v>
      </c>
      <c r="C632" s="18" t="s">
        <v>5262</v>
      </c>
      <c r="D632" s="18" t="s">
        <v>5129</v>
      </c>
      <c r="E632" s="18" t="s">
        <v>5263</v>
      </c>
      <c r="F632" s="18" t="s">
        <v>1697</v>
      </c>
      <c r="G632" s="18" t="s">
        <v>5264</v>
      </c>
      <c r="H632" s="17" t="s">
        <v>63</v>
      </c>
      <c r="I632" s="25"/>
      <c r="J632" s="26"/>
      <c r="K632" s="22"/>
      <c r="L632" s="23">
        <v>2.5</v>
      </c>
      <c r="M632" s="23">
        <v>5</v>
      </c>
      <c r="N632" s="24">
        <f t="shared" si="19"/>
        <v>5</v>
      </c>
      <c r="O632" s="17" t="s">
        <v>27</v>
      </c>
      <c r="P632" s="18" t="s">
        <v>5265</v>
      </c>
      <c r="Q632" t="s">
        <v>5133</v>
      </c>
    </row>
    <row r="633" spans="1:17" ht="39" customHeight="1" x14ac:dyDescent="0.3">
      <c r="A633" s="17" t="s">
        <v>5199</v>
      </c>
      <c r="B633" s="18" t="s">
        <v>5266</v>
      </c>
      <c r="C633" s="18" t="s">
        <v>5267</v>
      </c>
      <c r="D633" s="18" t="s">
        <v>5129</v>
      </c>
      <c r="E633" s="18" t="s">
        <v>5268</v>
      </c>
      <c r="F633" s="18" t="s">
        <v>1697</v>
      </c>
      <c r="G633" s="18" t="s">
        <v>5269</v>
      </c>
      <c r="H633" s="17" t="s">
        <v>63</v>
      </c>
      <c r="I633" s="25"/>
      <c r="J633" s="26"/>
      <c r="K633" s="22"/>
      <c r="L633" s="23">
        <v>2.5</v>
      </c>
      <c r="M633" s="23">
        <v>5</v>
      </c>
      <c r="N633" s="24">
        <f t="shared" si="19"/>
        <v>5</v>
      </c>
      <c r="O633" s="17" t="s">
        <v>27</v>
      </c>
      <c r="P633" s="18" t="s">
        <v>5270</v>
      </c>
      <c r="Q633" t="s">
        <v>5133</v>
      </c>
    </row>
    <row r="634" spans="1:17" ht="39" customHeight="1" x14ac:dyDescent="0.3">
      <c r="A634" s="17" t="s">
        <v>5202</v>
      </c>
      <c r="B634" s="18" t="s">
        <v>5271</v>
      </c>
      <c r="C634" s="18" t="s">
        <v>5272</v>
      </c>
      <c r="D634" s="18" t="s">
        <v>5201</v>
      </c>
      <c r="E634" s="18" t="s">
        <v>5273</v>
      </c>
      <c r="F634" s="18" t="s">
        <v>1768</v>
      </c>
      <c r="G634" s="18" t="s">
        <v>5274</v>
      </c>
      <c r="H634" s="17" t="s">
        <v>63</v>
      </c>
      <c r="I634" s="25"/>
      <c r="J634" s="26"/>
      <c r="K634" s="22"/>
      <c r="L634" s="23">
        <v>4.5</v>
      </c>
      <c r="M634" s="23">
        <v>9</v>
      </c>
      <c r="N634" s="24">
        <f t="shared" si="19"/>
        <v>9</v>
      </c>
      <c r="O634" s="17" t="s">
        <v>27</v>
      </c>
      <c r="P634" s="18" t="s">
        <v>5275</v>
      </c>
      <c r="Q634" t="s">
        <v>5062</v>
      </c>
    </row>
    <row r="635" spans="1:17" ht="39" customHeight="1" x14ac:dyDescent="0.3">
      <c r="A635" s="17" t="s">
        <v>5216</v>
      </c>
      <c r="B635" s="18" t="s">
        <v>5238</v>
      </c>
      <c r="C635" s="18" t="s">
        <v>5239</v>
      </c>
      <c r="D635" s="18" t="s">
        <v>5240</v>
      </c>
      <c r="E635" s="18" t="s">
        <v>5241</v>
      </c>
      <c r="F635" s="18" t="s">
        <v>5242</v>
      </c>
      <c r="G635" s="18" t="s">
        <v>5243</v>
      </c>
      <c r="H635" s="17" t="s">
        <v>63</v>
      </c>
      <c r="I635" s="25"/>
      <c r="J635" s="26"/>
      <c r="K635" s="22"/>
      <c r="L635" s="23">
        <v>4.5</v>
      </c>
      <c r="M635" s="60">
        <v>9</v>
      </c>
      <c r="N635" s="24">
        <f t="shared" si="19"/>
        <v>9</v>
      </c>
      <c r="O635" s="17" t="s">
        <v>5244</v>
      </c>
      <c r="P635" s="18" t="s">
        <v>5259</v>
      </c>
      <c r="Q635" t="s">
        <v>5245</v>
      </c>
    </row>
    <row r="636" spans="1:17" ht="39" customHeight="1" x14ac:dyDescent="0.3">
      <c r="A636" s="17" t="s">
        <v>5223</v>
      </c>
      <c r="B636" s="18" t="s">
        <v>5246</v>
      </c>
      <c r="C636" s="18" t="s">
        <v>5247</v>
      </c>
      <c r="D636" s="18" t="s">
        <v>5248</v>
      </c>
      <c r="E636" s="18" t="s">
        <v>5249</v>
      </c>
      <c r="F636" s="18" t="s">
        <v>5250</v>
      </c>
      <c r="G636" s="18" t="s">
        <v>5251</v>
      </c>
      <c r="H636" s="17" t="s">
        <v>63</v>
      </c>
      <c r="I636" s="25"/>
      <c r="J636" s="26"/>
      <c r="K636" s="22"/>
      <c r="L636" s="23">
        <v>4.5</v>
      </c>
      <c r="M636" s="23">
        <v>9</v>
      </c>
      <c r="N636" s="24">
        <f t="shared" si="19"/>
        <v>9</v>
      </c>
      <c r="O636" s="17" t="s">
        <v>5244</v>
      </c>
      <c r="P636" s="18" t="s">
        <v>5260</v>
      </c>
      <c r="Q636" t="s">
        <v>5252</v>
      </c>
    </row>
    <row r="637" spans="1:17" ht="39" customHeight="1" x14ac:dyDescent="0.3">
      <c r="A637" s="17" t="s">
        <v>5231</v>
      </c>
      <c r="B637" s="18" t="s">
        <v>5254</v>
      </c>
      <c r="C637" s="18" t="s">
        <v>21913</v>
      </c>
      <c r="D637" s="18" t="s">
        <v>5240</v>
      </c>
      <c r="E637" s="18" t="s">
        <v>5256</v>
      </c>
      <c r="F637" s="18" t="s">
        <v>5250</v>
      </c>
      <c r="G637" s="18" t="s">
        <v>5257</v>
      </c>
      <c r="H637" s="17" t="s">
        <v>63</v>
      </c>
      <c r="I637" s="25"/>
      <c r="J637" s="26"/>
      <c r="K637" s="22"/>
      <c r="L637" s="23">
        <v>3</v>
      </c>
      <c r="M637" s="23">
        <v>6</v>
      </c>
      <c r="N637" s="24">
        <f t="shared" si="19"/>
        <v>6</v>
      </c>
      <c r="O637" s="17" t="s">
        <v>5244</v>
      </c>
      <c r="P637" s="18" t="s">
        <v>5258</v>
      </c>
      <c r="Q637" t="s">
        <v>5252</v>
      </c>
    </row>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81" spans="1:16" ht="39" customHeight="1" x14ac:dyDescent="0.3">
      <c r="A681" s="17"/>
      <c r="B681" s="18"/>
      <c r="C681" s="18"/>
      <c r="D681" s="18"/>
      <c r="E681" s="18"/>
      <c r="F681" s="18"/>
      <c r="G681" s="18"/>
      <c r="H681" s="17"/>
      <c r="I681" s="25"/>
      <c r="J681" s="26"/>
      <c r="K681" s="22"/>
      <c r="L681" s="23"/>
      <c r="M681" s="23"/>
      <c r="N681" s="24"/>
      <c r="O681" s="17"/>
      <c r="P681" s="18"/>
    </row>
    <row r="682" spans="1:16" ht="39" customHeight="1" x14ac:dyDescent="0.3">
      <c r="A682" s="17"/>
      <c r="B682" s="18"/>
      <c r="C682" s="18"/>
      <c r="D682" s="18"/>
      <c r="E682" s="18"/>
      <c r="F682" s="18"/>
      <c r="G682" s="18"/>
      <c r="H682" s="17"/>
      <c r="I682" s="25"/>
      <c r="J682" s="26"/>
      <c r="K682" s="22"/>
      <c r="L682" s="23"/>
      <c r="M682" s="23"/>
      <c r="N682" s="24"/>
      <c r="O682" s="17"/>
      <c r="P682" s="18"/>
    </row>
    <row r="683" spans="1:16" ht="39" customHeight="1" x14ac:dyDescent="0.3">
      <c r="A683" s="17"/>
      <c r="B683" s="18"/>
      <c r="C683" s="18"/>
      <c r="D683" s="18"/>
      <c r="E683" s="18"/>
      <c r="F683" s="18"/>
      <c r="G683" s="18"/>
      <c r="H683" s="17"/>
      <c r="I683" s="25"/>
      <c r="J683" s="26"/>
      <c r="K683" s="22"/>
      <c r="L683" s="23"/>
      <c r="M683" s="23"/>
      <c r="N683" s="24"/>
      <c r="O683" s="17"/>
      <c r="P683" s="18"/>
    </row>
    <row r="684" spans="1:16" ht="39" customHeight="1" x14ac:dyDescent="0.3">
      <c r="A684" s="17"/>
      <c r="B684" s="18"/>
      <c r="C684" s="18"/>
      <c r="D684" s="18"/>
      <c r="E684" s="18"/>
      <c r="F684" s="18"/>
      <c r="G684" s="18"/>
      <c r="H684" s="17"/>
      <c r="I684" s="25"/>
      <c r="J684" s="26"/>
      <c r="K684" s="22"/>
      <c r="L684" s="23"/>
      <c r="M684" s="23"/>
      <c r="N684" s="24"/>
      <c r="O684" s="17"/>
      <c r="P684" s="18"/>
    </row>
    <row r="685" spans="1:16" ht="39" customHeight="1" x14ac:dyDescent="0.3">
      <c r="A685" s="17"/>
      <c r="B685" s="18"/>
      <c r="C685" s="18"/>
      <c r="D685" s="18"/>
      <c r="E685" s="18"/>
      <c r="F685" s="18"/>
      <c r="G685" s="18"/>
      <c r="H685" s="17"/>
      <c r="I685" s="25"/>
      <c r="J685" s="26"/>
      <c r="K685" s="22"/>
      <c r="L685" s="23"/>
      <c r="M685" s="23"/>
      <c r="N685" s="24"/>
      <c r="O685" s="17"/>
      <c r="P685" s="18"/>
    </row>
    <row r="686" spans="1:16" ht="39" customHeight="1" x14ac:dyDescent="0.3">
      <c r="A686" s="17"/>
      <c r="B686" s="18"/>
      <c r="C686" s="18"/>
      <c r="D686" s="18"/>
      <c r="E686" s="18"/>
      <c r="F686" s="18"/>
      <c r="G686" s="18"/>
      <c r="H686" s="17"/>
      <c r="I686" s="25"/>
      <c r="J686" s="26"/>
      <c r="K686" s="22"/>
      <c r="L686" s="23"/>
      <c r="M686" s="23"/>
      <c r="N686" s="24"/>
      <c r="O686" s="17"/>
      <c r="P686" s="18"/>
    </row>
    <row r="687" spans="1:16" ht="39" customHeight="1" x14ac:dyDescent="0.3">
      <c r="A687" s="17"/>
      <c r="B687" s="18"/>
      <c r="C687" s="18"/>
      <c r="D687" s="18"/>
      <c r="E687" s="18"/>
      <c r="F687" s="18"/>
      <c r="G687" s="18"/>
      <c r="H687" s="17"/>
      <c r="I687" s="25"/>
      <c r="J687" s="26"/>
      <c r="K687" s="22"/>
      <c r="L687" s="23"/>
      <c r="M687" s="23"/>
      <c r="N687" s="24"/>
      <c r="O687" s="17"/>
      <c r="P687" s="18"/>
    </row>
    <row r="688" spans="1:16" ht="39" customHeight="1" x14ac:dyDescent="0.3">
      <c r="A688" s="17"/>
      <c r="B688" s="18"/>
      <c r="C688" s="18"/>
      <c r="D688" s="18"/>
      <c r="E688" s="18"/>
      <c r="F688" s="18"/>
      <c r="G688" s="18"/>
      <c r="H688" s="17"/>
      <c r="I688" s="25"/>
      <c r="J688" s="26"/>
      <c r="K688" s="22"/>
      <c r="L688" s="23"/>
      <c r="M688" s="23"/>
      <c r="N688" s="24"/>
      <c r="O688" s="17"/>
      <c r="P688" s="18"/>
    </row>
    <row r="689" spans="1:16" ht="39" customHeight="1" x14ac:dyDescent="0.3">
      <c r="A689" s="17"/>
      <c r="B689" s="18"/>
      <c r="C689" s="18"/>
      <c r="D689" s="18"/>
      <c r="E689" s="18"/>
      <c r="F689" s="18"/>
      <c r="G689" s="18"/>
      <c r="H689" s="17"/>
      <c r="I689" s="25"/>
      <c r="J689" s="26"/>
      <c r="K689" s="22"/>
      <c r="L689" s="23"/>
      <c r="M689" s="23"/>
      <c r="N689" s="24"/>
      <c r="O689" s="17"/>
      <c r="P689" s="18"/>
    </row>
    <row r="690" spans="1:16" ht="39" customHeight="1" x14ac:dyDescent="0.3">
      <c r="A690" s="17"/>
      <c r="B690" s="18"/>
      <c r="C690" s="18"/>
      <c r="D690" s="18"/>
      <c r="E690" s="18"/>
      <c r="F690" s="18"/>
      <c r="G690" s="18"/>
      <c r="H690" s="17"/>
      <c r="I690" s="25"/>
      <c r="J690" s="26"/>
      <c r="K690" s="22"/>
      <c r="L690" s="23"/>
      <c r="M690" s="23"/>
      <c r="N690" s="24"/>
      <c r="O690" s="17"/>
      <c r="P690" s="18"/>
    </row>
    <row r="691" spans="1:16" ht="39" customHeight="1" x14ac:dyDescent="0.3">
      <c r="A691" s="17"/>
      <c r="B691" s="18"/>
      <c r="C691" s="18"/>
      <c r="D691" s="18"/>
      <c r="E691" s="18"/>
      <c r="F691" s="18"/>
      <c r="G691" s="18"/>
      <c r="H691" s="17"/>
      <c r="I691" s="25"/>
      <c r="J691" s="26"/>
      <c r="K691" s="22"/>
      <c r="L691" s="23"/>
      <c r="M691" s="23"/>
      <c r="N691" s="24"/>
      <c r="O691" s="17"/>
      <c r="P691" s="18"/>
    </row>
    <row r="692" spans="1:16" ht="39" customHeight="1" x14ac:dyDescent="0.3">
      <c r="A692" s="17"/>
      <c r="B692" s="18"/>
      <c r="C692" s="18"/>
      <c r="D692" s="18"/>
      <c r="E692" s="18"/>
      <c r="F692" s="18"/>
      <c r="G692" s="18"/>
      <c r="H692" s="17"/>
      <c r="I692" s="25"/>
      <c r="J692" s="26"/>
      <c r="K692" s="22"/>
      <c r="L692" s="23"/>
      <c r="M692" s="23"/>
      <c r="N692" s="24"/>
      <c r="O692" s="17"/>
      <c r="P692" s="18"/>
    </row>
    <row r="693" spans="1:16" ht="39" customHeight="1" x14ac:dyDescent="0.3">
      <c r="A693" s="17"/>
      <c r="B693" s="18"/>
      <c r="C693" s="18"/>
      <c r="D693" s="18"/>
      <c r="E693" s="18"/>
      <c r="F693" s="18"/>
      <c r="G693" s="18"/>
      <c r="H693" s="17"/>
      <c r="I693" s="25"/>
      <c r="J693" s="26"/>
      <c r="K693" s="22"/>
      <c r="L693" s="23"/>
      <c r="M693" s="23"/>
      <c r="N693" s="24"/>
      <c r="O693" s="17"/>
      <c r="P693" s="18"/>
    </row>
    <row r="694" spans="1:16" ht="39" customHeight="1" x14ac:dyDescent="0.3">
      <c r="A694" s="17"/>
      <c r="B694" s="18"/>
      <c r="C694" s="18"/>
      <c r="D694" s="18"/>
      <c r="E694" s="18"/>
      <c r="F694" s="18"/>
      <c r="G694" s="18"/>
      <c r="H694" s="17"/>
      <c r="I694" s="25"/>
      <c r="J694" s="26"/>
      <c r="K694" s="22"/>
      <c r="L694" s="23"/>
      <c r="M694" s="23"/>
      <c r="N694" s="24"/>
      <c r="O694" s="17"/>
      <c r="P694" s="18"/>
    </row>
    <row r="695" spans="1:16" ht="39" customHeight="1" x14ac:dyDescent="0.3">
      <c r="A695" s="17"/>
      <c r="B695" s="18"/>
      <c r="C695" s="18"/>
      <c r="D695" s="18"/>
      <c r="E695" s="18"/>
      <c r="F695" s="18"/>
      <c r="G695" s="18"/>
      <c r="H695" s="17"/>
      <c r="I695" s="25"/>
      <c r="J695" s="26"/>
      <c r="K695" s="22"/>
      <c r="L695" s="23"/>
      <c r="M695" s="23"/>
      <c r="N695" s="24"/>
      <c r="O695" s="17"/>
      <c r="P695" s="18"/>
    </row>
    <row r="696" spans="1:16" x14ac:dyDescent="0.3">
      <c r="N696" s="69">
        <f>SUM(N2:N695)</f>
        <v>5101.8999999999996</v>
      </c>
    </row>
  </sheetData>
  <phoneticPr fontId="2" type="noConversion"/>
  <pageMargins left="0.75" right="0.75" top="1" bottom="1" header="0.5" footer="0.5"/>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56D49-481F-4FE0-90DF-5B692AE2A267}">
  <dimension ref="A1:XFD50"/>
  <sheetViews>
    <sheetView topLeftCell="A2" workbookViewId="0">
      <selection activeCell="A8" sqref="A8:XFD8"/>
    </sheetView>
  </sheetViews>
  <sheetFormatPr baseColWidth="10" defaultRowHeight="14.4" x14ac:dyDescent="0.3"/>
  <cols>
    <col min="1" max="1" width="16.5546875" customWidth="1"/>
    <col min="4" max="4" width="14.109375" customWidth="1"/>
    <col min="5" max="5" width="84.77734375" customWidth="1"/>
    <col min="6" max="6" width="19.21875" customWidth="1"/>
    <col min="7" max="7" width="16.6640625" customWidth="1"/>
    <col min="8" max="8" width="15.88671875" customWidth="1"/>
    <col min="9" max="9" width="19" customWidth="1"/>
    <col min="10" max="10" width="14.44140625" customWidth="1"/>
    <col min="11" max="11" width="23.21875" customWidth="1"/>
    <col min="12" max="12" width="14.33203125" customWidth="1"/>
    <col min="13" max="13" width="14.6640625" customWidth="1"/>
    <col min="14" max="14" width="18" customWidth="1"/>
    <col min="16" max="16" width="21.6640625" customWidth="1"/>
    <col min="17" max="17" width="17.6640625" customWidth="1"/>
    <col min="1017" max="10016" width="12.109375" customWidth="1"/>
    <col min="10017" max="16384" width="13.109375" customWidth="1"/>
  </cols>
  <sheetData>
    <row r="1" spans="1:16384" customFormat="1" ht="30" customHeight="1" x14ac:dyDescent="0.3">
      <c r="A1" s="71" t="s">
        <v>0</v>
      </c>
      <c r="B1" s="2" t="s">
        <v>1</v>
      </c>
      <c r="C1" s="2" t="s">
        <v>2</v>
      </c>
      <c r="D1" s="2" t="s">
        <v>3</v>
      </c>
      <c r="E1" s="2" t="s">
        <v>4</v>
      </c>
      <c r="F1" s="2" t="s">
        <v>5</v>
      </c>
      <c r="G1" s="2" t="s">
        <v>6</v>
      </c>
      <c r="H1" s="1" t="s">
        <v>7</v>
      </c>
      <c r="I1" s="1" t="s">
        <v>8</v>
      </c>
      <c r="J1" s="2" t="s">
        <v>9</v>
      </c>
      <c r="K1" s="2" t="s">
        <v>10</v>
      </c>
      <c r="L1" s="3" t="s">
        <v>11</v>
      </c>
      <c r="M1" s="3" t="s">
        <v>12</v>
      </c>
      <c r="N1" s="4" t="s">
        <v>13</v>
      </c>
      <c r="O1" s="1" t="s">
        <v>14</v>
      </c>
      <c r="P1" s="2" t="s">
        <v>15</v>
      </c>
      <c r="Q1" t="s">
        <v>3323</v>
      </c>
      <c r="R1" t="s">
        <v>5546</v>
      </c>
      <c r="S1" t="s">
        <v>5547</v>
      </c>
      <c r="T1" t="s">
        <v>5548</v>
      </c>
      <c r="U1" t="s">
        <v>5549</v>
      </c>
      <c r="V1" t="s">
        <v>5550</v>
      </c>
      <c r="W1" t="s">
        <v>5551</v>
      </c>
      <c r="X1" t="s">
        <v>5552</v>
      </c>
      <c r="Y1" t="s">
        <v>5553</v>
      </c>
      <c r="Z1" t="s">
        <v>5554</v>
      </c>
      <c r="AA1" t="s">
        <v>5555</v>
      </c>
      <c r="AB1" t="s">
        <v>5556</v>
      </c>
      <c r="AC1" t="s">
        <v>5557</v>
      </c>
      <c r="AD1" t="s">
        <v>5558</v>
      </c>
      <c r="AE1" t="s">
        <v>5559</v>
      </c>
      <c r="AF1" t="s">
        <v>5560</v>
      </c>
      <c r="AG1" t="s">
        <v>5561</v>
      </c>
      <c r="AH1" t="s">
        <v>5562</v>
      </c>
      <c r="AI1" t="s">
        <v>5563</v>
      </c>
      <c r="AJ1" t="s">
        <v>5564</v>
      </c>
      <c r="AK1" t="s">
        <v>5565</v>
      </c>
      <c r="AL1" t="s">
        <v>5566</v>
      </c>
      <c r="AM1" t="s">
        <v>5567</v>
      </c>
      <c r="AN1" t="s">
        <v>5568</v>
      </c>
      <c r="AO1" t="s">
        <v>5569</v>
      </c>
      <c r="AP1" t="s">
        <v>5570</v>
      </c>
      <c r="AQ1" t="s">
        <v>5571</v>
      </c>
      <c r="AR1" t="s">
        <v>5572</v>
      </c>
      <c r="AS1" t="s">
        <v>5573</v>
      </c>
      <c r="AT1" t="s">
        <v>5574</v>
      </c>
      <c r="AU1" t="s">
        <v>5575</v>
      </c>
      <c r="AV1" t="s">
        <v>5576</v>
      </c>
      <c r="AW1" t="s">
        <v>5577</v>
      </c>
      <c r="AX1" t="s">
        <v>5578</v>
      </c>
      <c r="AY1" t="s">
        <v>5579</v>
      </c>
      <c r="AZ1" t="s">
        <v>5580</v>
      </c>
      <c r="BA1" t="s">
        <v>5581</v>
      </c>
      <c r="BB1" t="s">
        <v>5582</v>
      </c>
      <c r="BC1" t="s">
        <v>5583</v>
      </c>
      <c r="BD1" t="s">
        <v>5584</v>
      </c>
      <c r="BE1" t="s">
        <v>5585</v>
      </c>
      <c r="BF1" t="s">
        <v>5586</v>
      </c>
      <c r="BG1" t="s">
        <v>5587</v>
      </c>
      <c r="BH1" t="s">
        <v>5588</v>
      </c>
      <c r="BI1" t="s">
        <v>5589</v>
      </c>
      <c r="BJ1" t="s">
        <v>5590</v>
      </c>
      <c r="BK1" t="s">
        <v>5591</v>
      </c>
      <c r="BL1" t="s">
        <v>5592</v>
      </c>
      <c r="BM1" t="s">
        <v>5593</v>
      </c>
      <c r="BN1" t="s">
        <v>5594</v>
      </c>
      <c r="BO1" t="s">
        <v>5595</v>
      </c>
      <c r="BP1" t="s">
        <v>5596</v>
      </c>
      <c r="BQ1" t="s">
        <v>5597</v>
      </c>
      <c r="BR1" t="s">
        <v>5598</v>
      </c>
      <c r="BS1" t="s">
        <v>5599</v>
      </c>
      <c r="BT1" t="s">
        <v>5600</v>
      </c>
      <c r="BU1" t="s">
        <v>5601</v>
      </c>
      <c r="BV1" t="s">
        <v>5602</v>
      </c>
      <c r="BW1" t="s">
        <v>5603</v>
      </c>
      <c r="BX1" t="s">
        <v>5604</v>
      </c>
      <c r="BY1" t="s">
        <v>5605</v>
      </c>
      <c r="BZ1" t="s">
        <v>5606</v>
      </c>
      <c r="CA1" t="s">
        <v>5607</v>
      </c>
      <c r="CB1" t="s">
        <v>5608</v>
      </c>
      <c r="CC1" t="s">
        <v>5609</v>
      </c>
      <c r="CD1" t="s">
        <v>5610</v>
      </c>
      <c r="CE1" t="s">
        <v>5611</v>
      </c>
      <c r="CF1" t="s">
        <v>5612</v>
      </c>
      <c r="CG1" t="s">
        <v>5613</v>
      </c>
      <c r="CH1" t="s">
        <v>5614</v>
      </c>
      <c r="CI1" t="s">
        <v>5615</v>
      </c>
      <c r="CJ1" t="s">
        <v>5616</v>
      </c>
      <c r="CK1" t="s">
        <v>5617</v>
      </c>
      <c r="CL1" t="s">
        <v>5618</v>
      </c>
      <c r="CM1" t="s">
        <v>5619</v>
      </c>
      <c r="CN1" t="s">
        <v>5620</v>
      </c>
      <c r="CO1" t="s">
        <v>5621</v>
      </c>
      <c r="CP1" t="s">
        <v>5622</v>
      </c>
      <c r="CQ1" t="s">
        <v>5623</v>
      </c>
      <c r="CR1" t="s">
        <v>5624</v>
      </c>
      <c r="CS1" t="s">
        <v>5625</v>
      </c>
      <c r="CT1" t="s">
        <v>5626</v>
      </c>
      <c r="CU1" t="s">
        <v>5627</v>
      </c>
      <c r="CV1" t="s">
        <v>5628</v>
      </c>
      <c r="CW1" t="s">
        <v>5629</v>
      </c>
      <c r="CX1" t="s">
        <v>5630</v>
      </c>
      <c r="CY1" t="s">
        <v>5631</v>
      </c>
      <c r="CZ1" t="s">
        <v>5632</v>
      </c>
      <c r="DA1" t="s">
        <v>5633</v>
      </c>
      <c r="DB1" t="s">
        <v>5634</v>
      </c>
      <c r="DC1" t="s">
        <v>5635</v>
      </c>
      <c r="DD1" t="s">
        <v>5636</v>
      </c>
      <c r="DE1" t="s">
        <v>5637</v>
      </c>
      <c r="DF1" t="s">
        <v>5638</v>
      </c>
      <c r="DG1" t="s">
        <v>5639</v>
      </c>
      <c r="DH1" t="s">
        <v>5640</v>
      </c>
      <c r="DI1" t="s">
        <v>5641</v>
      </c>
      <c r="DJ1" t="s">
        <v>5642</v>
      </c>
      <c r="DK1" t="s">
        <v>5643</v>
      </c>
      <c r="DL1" t="s">
        <v>5644</v>
      </c>
      <c r="DM1" t="s">
        <v>5645</v>
      </c>
      <c r="DN1" t="s">
        <v>5646</v>
      </c>
      <c r="DO1" t="s">
        <v>5647</v>
      </c>
      <c r="DP1" t="s">
        <v>5648</v>
      </c>
      <c r="DQ1" t="s">
        <v>5649</v>
      </c>
      <c r="DR1" t="s">
        <v>5650</v>
      </c>
      <c r="DS1" t="s">
        <v>5651</v>
      </c>
      <c r="DT1" t="s">
        <v>5652</v>
      </c>
      <c r="DU1" t="s">
        <v>5653</v>
      </c>
      <c r="DV1" t="s">
        <v>5654</v>
      </c>
      <c r="DW1" t="s">
        <v>5655</v>
      </c>
      <c r="DX1" t="s">
        <v>5656</v>
      </c>
      <c r="DY1" t="s">
        <v>5657</v>
      </c>
      <c r="DZ1" t="s">
        <v>5658</v>
      </c>
      <c r="EA1" t="s">
        <v>5659</v>
      </c>
      <c r="EB1" t="s">
        <v>5660</v>
      </c>
      <c r="EC1" t="s">
        <v>5661</v>
      </c>
      <c r="ED1" t="s">
        <v>5662</v>
      </c>
      <c r="EE1" t="s">
        <v>5663</v>
      </c>
      <c r="EF1" t="s">
        <v>5664</v>
      </c>
      <c r="EG1" t="s">
        <v>5665</v>
      </c>
      <c r="EH1" t="s">
        <v>5666</v>
      </c>
      <c r="EI1" t="s">
        <v>5667</v>
      </c>
      <c r="EJ1" t="s">
        <v>5668</v>
      </c>
      <c r="EK1" t="s">
        <v>5669</v>
      </c>
      <c r="EL1" t="s">
        <v>5670</v>
      </c>
      <c r="EM1" t="s">
        <v>5671</v>
      </c>
      <c r="EN1" t="s">
        <v>5672</v>
      </c>
      <c r="EO1" t="s">
        <v>5673</v>
      </c>
      <c r="EP1" t="s">
        <v>5674</v>
      </c>
      <c r="EQ1" t="s">
        <v>5675</v>
      </c>
      <c r="ER1" t="s">
        <v>5676</v>
      </c>
      <c r="ES1" t="s">
        <v>5677</v>
      </c>
      <c r="ET1" t="s">
        <v>5678</v>
      </c>
      <c r="EU1" t="s">
        <v>5679</v>
      </c>
      <c r="EV1" t="s">
        <v>5680</v>
      </c>
      <c r="EW1" t="s">
        <v>5681</v>
      </c>
      <c r="EX1" t="s">
        <v>5682</v>
      </c>
      <c r="EY1" t="s">
        <v>5683</v>
      </c>
      <c r="EZ1" t="s">
        <v>5684</v>
      </c>
      <c r="FA1" t="s">
        <v>5685</v>
      </c>
      <c r="FB1" t="s">
        <v>5686</v>
      </c>
      <c r="FC1" t="s">
        <v>5687</v>
      </c>
      <c r="FD1" t="s">
        <v>5688</v>
      </c>
      <c r="FE1" t="s">
        <v>5689</v>
      </c>
      <c r="FF1" t="s">
        <v>5690</v>
      </c>
      <c r="FG1" t="s">
        <v>5691</v>
      </c>
      <c r="FH1" t="s">
        <v>5692</v>
      </c>
      <c r="FI1" t="s">
        <v>5693</v>
      </c>
      <c r="FJ1" t="s">
        <v>5694</v>
      </c>
      <c r="FK1" t="s">
        <v>5695</v>
      </c>
      <c r="FL1" t="s">
        <v>5696</v>
      </c>
      <c r="FM1" t="s">
        <v>5697</v>
      </c>
      <c r="FN1" t="s">
        <v>5698</v>
      </c>
      <c r="FO1" t="s">
        <v>5699</v>
      </c>
      <c r="FP1" t="s">
        <v>5700</v>
      </c>
      <c r="FQ1" t="s">
        <v>5701</v>
      </c>
      <c r="FR1" t="s">
        <v>5702</v>
      </c>
      <c r="FS1" t="s">
        <v>5703</v>
      </c>
      <c r="FT1" t="s">
        <v>5704</v>
      </c>
      <c r="FU1" t="s">
        <v>5705</v>
      </c>
      <c r="FV1" t="s">
        <v>5706</v>
      </c>
      <c r="FW1" t="s">
        <v>5707</v>
      </c>
      <c r="FX1" t="s">
        <v>5708</v>
      </c>
      <c r="FY1" t="s">
        <v>5709</v>
      </c>
      <c r="FZ1" t="s">
        <v>5710</v>
      </c>
      <c r="GA1" t="s">
        <v>5711</v>
      </c>
      <c r="GB1" t="s">
        <v>5712</v>
      </c>
      <c r="GC1" t="s">
        <v>5713</v>
      </c>
      <c r="GD1" t="s">
        <v>5714</v>
      </c>
      <c r="GE1" t="s">
        <v>5715</v>
      </c>
      <c r="GF1" t="s">
        <v>5716</v>
      </c>
      <c r="GG1" t="s">
        <v>5717</v>
      </c>
      <c r="GH1" t="s">
        <v>5718</v>
      </c>
      <c r="GI1" t="s">
        <v>5719</v>
      </c>
      <c r="GJ1" t="s">
        <v>5720</v>
      </c>
      <c r="GK1" t="s">
        <v>5721</v>
      </c>
      <c r="GL1" t="s">
        <v>5722</v>
      </c>
      <c r="GM1" t="s">
        <v>5723</v>
      </c>
      <c r="GN1" t="s">
        <v>5724</v>
      </c>
      <c r="GO1" t="s">
        <v>5725</v>
      </c>
      <c r="GP1" t="s">
        <v>5726</v>
      </c>
      <c r="GQ1" t="s">
        <v>5727</v>
      </c>
      <c r="GR1" t="s">
        <v>5728</v>
      </c>
      <c r="GS1" t="s">
        <v>5729</v>
      </c>
      <c r="GT1" t="s">
        <v>5730</v>
      </c>
      <c r="GU1" t="s">
        <v>5731</v>
      </c>
      <c r="GV1" t="s">
        <v>5732</v>
      </c>
      <c r="GW1" t="s">
        <v>5733</v>
      </c>
      <c r="GX1" t="s">
        <v>5734</v>
      </c>
      <c r="GY1" t="s">
        <v>5735</v>
      </c>
      <c r="GZ1" t="s">
        <v>5736</v>
      </c>
      <c r="HA1" t="s">
        <v>5737</v>
      </c>
      <c r="HB1" t="s">
        <v>5738</v>
      </c>
      <c r="HC1" t="s">
        <v>5739</v>
      </c>
      <c r="HD1" t="s">
        <v>5740</v>
      </c>
      <c r="HE1" t="s">
        <v>5741</v>
      </c>
      <c r="HF1" t="s">
        <v>5742</v>
      </c>
      <c r="HG1" t="s">
        <v>5743</v>
      </c>
      <c r="HH1" t="s">
        <v>5744</v>
      </c>
      <c r="HI1" t="s">
        <v>5745</v>
      </c>
      <c r="HJ1" t="s">
        <v>5746</v>
      </c>
      <c r="HK1" t="s">
        <v>5747</v>
      </c>
      <c r="HL1" t="s">
        <v>5748</v>
      </c>
      <c r="HM1" t="s">
        <v>5749</v>
      </c>
      <c r="HN1" t="s">
        <v>5750</v>
      </c>
      <c r="HO1" t="s">
        <v>5751</v>
      </c>
      <c r="HP1" t="s">
        <v>5752</v>
      </c>
      <c r="HQ1" t="s">
        <v>5753</v>
      </c>
      <c r="HR1" t="s">
        <v>5754</v>
      </c>
      <c r="HS1" t="s">
        <v>5755</v>
      </c>
      <c r="HT1" t="s">
        <v>5756</v>
      </c>
      <c r="HU1" t="s">
        <v>5757</v>
      </c>
      <c r="HV1" t="s">
        <v>5758</v>
      </c>
      <c r="HW1" t="s">
        <v>5759</v>
      </c>
      <c r="HX1" t="s">
        <v>5760</v>
      </c>
      <c r="HY1" t="s">
        <v>5761</v>
      </c>
      <c r="HZ1" t="s">
        <v>5762</v>
      </c>
      <c r="IA1" t="s">
        <v>5763</v>
      </c>
      <c r="IB1" t="s">
        <v>5764</v>
      </c>
      <c r="IC1" t="s">
        <v>5765</v>
      </c>
      <c r="ID1" t="s">
        <v>5766</v>
      </c>
      <c r="IE1" t="s">
        <v>5767</v>
      </c>
      <c r="IF1" t="s">
        <v>5768</v>
      </c>
      <c r="IG1" t="s">
        <v>5769</v>
      </c>
      <c r="IH1" t="s">
        <v>5770</v>
      </c>
      <c r="II1" t="s">
        <v>5771</v>
      </c>
      <c r="IJ1" t="s">
        <v>5772</v>
      </c>
      <c r="IK1" t="s">
        <v>5773</v>
      </c>
      <c r="IL1" t="s">
        <v>5774</v>
      </c>
      <c r="IM1" t="s">
        <v>5775</v>
      </c>
      <c r="IN1" t="s">
        <v>5776</v>
      </c>
      <c r="IO1" t="s">
        <v>5777</v>
      </c>
      <c r="IP1" t="s">
        <v>5778</v>
      </c>
      <c r="IQ1" t="s">
        <v>5779</v>
      </c>
      <c r="IR1" t="s">
        <v>5780</v>
      </c>
      <c r="IS1" t="s">
        <v>5781</v>
      </c>
      <c r="IT1" t="s">
        <v>5782</v>
      </c>
      <c r="IU1" t="s">
        <v>5783</v>
      </c>
      <c r="IV1" t="s">
        <v>5784</v>
      </c>
      <c r="IW1" t="s">
        <v>5785</v>
      </c>
      <c r="IX1" t="s">
        <v>5786</v>
      </c>
      <c r="IY1" t="s">
        <v>5787</v>
      </c>
      <c r="IZ1" t="s">
        <v>5788</v>
      </c>
      <c r="JA1" t="s">
        <v>5789</v>
      </c>
      <c r="JB1" t="s">
        <v>5790</v>
      </c>
      <c r="JC1" t="s">
        <v>5791</v>
      </c>
      <c r="JD1" t="s">
        <v>5792</v>
      </c>
      <c r="JE1" t="s">
        <v>5793</v>
      </c>
      <c r="JF1" t="s">
        <v>5794</v>
      </c>
      <c r="JG1" t="s">
        <v>5795</v>
      </c>
      <c r="JH1" t="s">
        <v>5796</v>
      </c>
      <c r="JI1" t="s">
        <v>5797</v>
      </c>
      <c r="JJ1" t="s">
        <v>5798</v>
      </c>
      <c r="JK1" t="s">
        <v>5799</v>
      </c>
      <c r="JL1" t="s">
        <v>5800</v>
      </c>
      <c r="JM1" t="s">
        <v>5801</v>
      </c>
      <c r="JN1" t="s">
        <v>5802</v>
      </c>
      <c r="JO1" t="s">
        <v>5803</v>
      </c>
      <c r="JP1" t="s">
        <v>5804</v>
      </c>
      <c r="JQ1" t="s">
        <v>5805</v>
      </c>
      <c r="JR1" t="s">
        <v>5806</v>
      </c>
      <c r="JS1" t="s">
        <v>5807</v>
      </c>
      <c r="JT1" t="s">
        <v>5808</v>
      </c>
      <c r="JU1" t="s">
        <v>5809</v>
      </c>
      <c r="JV1" t="s">
        <v>5810</v>
      </c>
      <c r="JW1" t="s">
        <v>5811</v>
      </c>
      <c r="JX1" t="s">
        <v>5812</v>
      </c>
      <c r="JY1" t="s">
        <v>5813</v>
      </c>
      <c r="JZ1" t="s">
        <v>5814</v>
      </c>
      <c r="KA1" t="s">
        <v>5815</v>
      </c>
      <c r="KB1" t="s">
        <v>5816</v>
      </c>
      <c r="KC1" t="s">
        <v>5817</v>
      </c>
      <c r="KD1" t="s">
        <v>5818</v>
      </c>
      <c r="KE1" t="s">
        <v>5819</v>
      </c>
      <c r="KF1" t="s">
        <v>5820</v>
      </c>
      <c r="KG1" t="s">
        <v>5821</v>
      </c>
      <c r="KH1" t="s">
        <v>5822</v>
      </c>
      <c r="KI1" t="s">
        <v>5823</v>
      </c>
      <c r="KJ1" t="s">
        <v>5824</v>
      </c>
      <c r="KK1" t="s">
        <v>5825</v>
      </c>
      <c r="KL1" t="s">
        <v>5826</v>
      </c>
      <c r="KM1" t="s">
        <v>5827</v>
      </c>
      <c r="KN1" t="s">
        <v>5828</v>
      </c>
      <c r="KO1" t="s">
        <v>5829</v>
      </c>
      <c r="KP1" t="s">
        <v>5830</v>
      </c>
      <c r="KQ1" t="s">
        <v>5831</v>
      </c>
      <c r="KR1" t="s">
        <v>5832</v>
      </c>
      <c r="KS1" t="s">
        <v>5833</v>
      </c>
      <c r="KT1" t="s">
        <v>5834</v>
      </c>
      <c r="KU1" t="s">
        <v>5835</v>
      </c>
      <c r="KV1" t="s">
        <v>5836</v>
      </c>
      <c r="KW1" t="s">
        <v>5837</v>
      </c>
      <c r="KX1" t="s">
        <v>5838</v>
      </c>
      <c r="KY1" t="s">
        <v>5839</v>
      </c>
      <c r="KZ1" t="s">
        <v>5840</v>
      </c>
      <c r="LA1" t="s">
        <v>5841</v>
      </c>
      <c r="LB1" t="s">
        <v>5842</v>
      </c>
      <c r="LC1" t="s">
        <v>5843</v>
      </c>
      <c r="LD1" t="s">
        <v>5844</v>
      </c>
      <c r="LE1" t="s">
        <v>5845</v>
      </c>
      <c r="LF1" t="s">
        <v>5846</v>
      </c>
      <c r="LG1" t="s">
        <v>5847</v>
      </c>
      <c r="LH1" t="s">
        <v>5848</v>
      </c>
      <c r="LI1" t="s">
        <v>5849</v>
      </c>
      <c r="LJ1" t="s">
        <v>5850</v>
      </c>
      <c r="LK1" t="s">
        <v>5851</v>
      </c>
      <c r="LL1" t="s">
        <v>5852</v>
      </c>
      <c r="LM1" t="s">
        <v>5853</v>
      </c>
      <c r="LN1" t="s">
        <v>5854</v>
      </c>
      <c r="LO1" t="s">
        <v>5855</v>
      </c>
      <c r="LP1" t="s">
        <v>5856</v>
      </c>
      <c r="LQ1" t="s">
        <v>5857</v>
      </c>
      <c r="LR1" t="s">
        <v>5858</v>
      </c>
      <c r="LS1" t="s">
        <v>5859</v>
      </c>
      <c r="LT1" t="s">
        <v>5860</v>
      </c>
      <c r="LU1" t="s">
        <v>5861</v>
      </c>
      <c r="LV1" t="s">
        <v>5862</v>
      </c>
      <c r="LW1" t="s">
        <v>5863</v>
      </c>
      <c r="LX1" t="s">
        <v>5864</v>
      </c>
      <c r="LY1" t="s">
        <v>5865</v>
      </c>
      <c r="LZ1" t="s">
        <v>5866</v>
      </c>
      <c r="MA1" t="s">
        <v>5867</v>
      </c>
      <c r="MB1" t="s">
        <v>5868</v>
      </c>
      <c r="MC1" t="s">
        <v>5869</v>
      </c>
      <c r="MD1" t="s">
        <v>5870</v>
      </c>
      <c r="ME1" t="s">
        <v>5871</v>
      </c>
      <c r="MF1" t="s">
        <v>5872</v>
      </c>
      <c r="MG1" t="s">
        <v>5873</v>
      </c>
      <c r="MH1" t="s">
        <v>5874</v>
      </c>
      <c r="MI1" t="s">
        <v>5875</v>
      </c>
      <c r="MJ1" t="s">
        <v>5876</v>
      </c>
      <c r="MK1" t="s">
        <v>5877</v>
      </c>
      <c r="ML1" t="s">
        <v>5878</v>
      </c>
      <c r="MM1" t="s">
        <v>5879</v>
      </c>
      <c r="MN1" t="s">
        <v>5880</v>
      </c>
      <c r="MO1" t="s">
        <v>5881</v>
      </c>
      <c r="MP1" t="s">
        <v>5882</v>
      </c>
      <c r="MQ1" t="s">
        <v>5883</v>
      </c>
      <c r="MR1" t="s">
        <v>5884</v>
      </c>
      <c r="MS1" t="s">
        <v>5885</v>
      </c>
      <c r="MT1" t="s">
        <v>5886</v>
      </c>
      <c r="MU1" t="s">
        <v>5887</v>
      </c>
      <c r="MV1" t="s">
        <v>5888</v>
      </c>
      <c r="MW1" t="s">
        <v>5889</v>
      </c>
      <c r="MX1" t="s">
        <v>5890</v>
      </c>
      <c r="MY1" t="s">
        <v>5891</v>
      </c>
      <c r="MZ1" t="s">
        <v>5892</v>
      </c>
      <c r="NA1" t="s">
        <v>5893</v>
      </c>
      <c r="NB1" t="s">
        <v>5894</v>
      </c>
      <c r="NC1" t="s">
        <v>5895</v>
      </c>
      <c r="ND1" t="s">
        <v>5896</v>
      </c>
      <c r="NE1" t="s">
        <v>5897</v>
      </c>
      <c r="NF1" t="s">
        <v>5898</v>
      </c>
      <c r="NG1" t="s">
        <v>5899</v>
      </c>
      <c r="NH1" t="s">
        <v>5900</v>
      </c>
      <c r="NI1" t="s">
        <v>5901</v>
      </c>
      <c r="NJ1" t="s">
        <v>5902</v>
      </c>
      <c r="NK1" t="s">
        <v>5903</v>
      </c>
      <c r="NL1" t="s">
        <v>5904</v>
      </c>
      <c r="NM1" t="s">
        <v>5905</v>
      </c>
      <c r="NN1" t="s">
        <v>5906</v>
      </c>
      <c r="NO1" t="s">
        <v>5907</v>
      </c>
      <c r="NP1" t="s">
        <v>5908</v>
      </c>
      <c r="NQ1" t="s">
        <v>5909</v>
      </c>
      <c r="NR1" t="s">
        <v>5910</v>
      </c>
      <c r="NS1" t="s">
        <v>5911</v>
      </c>
      <c r="NT1" t="s">
        <v>5912</v>
      </c>
      <c r="NU1" t="s">
        <v>5913</v>
      </c>
      <c r="NV1" t="s">
        <v>5914</v>
      </c>
      <c r="NW1" t="s">
        <v>5915</v>
      </c>
      <c r="NX1" t="s">
        <v>5916</v>
      </c>
      <c r="NY1" t="s">
        <v>5917</v>
      </c>
      <c r="NZ1" t="s">
        <v>5918</v>
      </c>
      <c r="OA1" t="s">
        <v>5919</v>
      </c>
      <c r="OB1" t="s">
        <v>5920</v>
      </c>
      <c r="OC1" t="s">
        <v>5921</v>
      </c>
      <c r="OD1" t="s">
        <v>5922</v>
      </c>
      <c r="OE1" t="s">
        <v>5923</v>
      </c>
      <c r="OF1" t="s">
        <v>5924</v>
      </c>
      <c r="OG1" t="s">
        <v>5925</v>
      </c>
      <c r="OH1" t="s">
        <v>5926</v>
      </c>
      <c r="OI1" t="s">
        <v>5927</v>
      </c>
      <c r="OJ1" t="s">
        <v>5928</v>
      </c>
      <c r="OK1" t="s">
        <v>5929</v>
      </c>
      <c r="OL1" t="s">
        <v>5930</v>
      </c>
      <c r="OM1" t="s">
        <v>5931</v>
      </c>
      <c r="ON1" t="s">
        <v>5932</v>
      </c>
      <c r="OO1" t="s">
        <v>5933</v>
      </c>
      <c r="OP1" t="s">
        <v>5934</v>
      </c>
      <c r="OQ1" t="s">
        <v>5935</v>
      </c>
      <c r="OR1" t="s">
        <v>5936</v>
      </c>
      <c r="OS1" t="s">
        <v>5937</v>
      </c>
      <c r="OT1" t="s">
        <v>5938</v>
      </c>
      <c r="OU1" t="s">
        <v>5939</v>
      </c>
      <c r="OV1" t="s">
        <v>5940</v>
      </c>
      <c r="OW1" t="s">
        <v>5941</v>
      </c>
      <c r="OX1" t="s">
        <v>5942</v>
      </c>
      <c r="OY1" t="s">
        <v>5943</v>
      </c>
      <c r="OZ1" t="s">
        <v>5944</v>
      </c>
      <c r="PA1" t="s">
        <v>5945</v>
      </c>
      <c r="PB1" t="s">
        <v>5946</v>
      </c>
      <c r="PC1" t="s">
        <v>5947</v>
      </c>
      <c r="PD1" t="s">
        <v>5948</v>
      </c>
      <c r="PE1" t="s">
        <v>5949</v>
      </c>
      <c r="PF1" t="s">
        <v>5950</v>
      </c>
      <c r="PG1" t="s">
        <v>5951</v>
      </c>
      <c r="PH1" t="s">
        <v>5952</v>
      </c>
      <c r="PI1" t="s">
        <v>5953</v>
      </c>
      <c r="PJ1" t="s">
        <v>5954</v>
      </c>
      <c r="PK1" t="s">
        <v>5955</v>
      </c>
      <c r="PL1" t="s">
        <v>5956</v>
      </c>
      <c r="PM1" t="s">
        <v>5957</v>
      </c>
      <c r="PN1" t="s">
        <v>5958</v>
      </c>
      <c r="PO1" t="s">
        <v>5959</v>
      </c>
      <c r="PP1" t="s">
        <v>5960</v>
      </c>
      <c r="PQ1" t="s">
        <v>5961</v>
      </c>
      <c r="PR1" t="s">
        <v>5962</v>
      </c>
      <c r="PS1" t="s">
        <v>5963</v>
      </c>
      <c r="PT1" t="s">
        <v>5964</v>
      </c>
      <c r="PU1" t="s">
        <v>5965</v>
      </c>
      <c r="PV1" t="s">
        <v>5966</v>
      </c>
      <c r="PW1" t="s">
        <v>5967</v>
      </c>
      <c r="PX1" t="s">
        <v>5968</v>
      </c>
      <c r="PY1" t="s">
        <v>5969</v>
      </c>
      <c r="PZ1" t="s">
        <v>5970</v>
      </c>
      <c r="QA1" t="s">
        <v>5971</v>
      </c>
      <c r="QB1" t="s">
        <v>5972</v>
      </c>
      <c r="QC1" t="s">
        <v>5973</v>
      </c>
      <c r="QD1" t="s">
        <v>5974</v>
      </c>
      <c r="QE1" t="s">
        <v>5975</v>
      </c>
      <c r="QF1" t="s">
        <v>5976</v>
      </c>
      <c r="QG1" t="s">
        <v>5977</v>
      </c>
      <c r="QH1" t="s">
        <v>5978</v>
      </c>
      <c r="QI1" t="s">
        <v>5979</v>
      </c>
      <c r="QJ1" t="s">
        <v>5980</v>
      </c>
      <c r="QK1" t="s">
        <v>5981</v>
      </c>
      <c r="QL1" t="s">
        <v>5982</v>
      </c>
      <c r="QM1" t="s">
        <v>5983</v>
      </c>
      <c r="QN1" t="s">
        <v>5984</v>
      </c>
      <c r="QO1" t="s">
        <v>5985</v>
      </c>
      <c r="QP1" t="s">
        <v>5986</v>
      </c>
      <c r="QQ1" t="s">
        <v>5987</v>
      </c>
      <c r="QR1" t="s">
        <v>5988</v>
      </c>
      <c r="QS1" t="s">
        <v>5989</v>
      </c>
      <c r="QT1" t="s">
        <v>5990</v>
      </c>
      <c r="QU1" t="s">
        <v>5991</v>
      </c>
      <c r="QV1" t="s">
        <v>5992</v>
      </c>
      <c r="QW1" t="s">
        <v>5993</v>
      </c>
      <c r="QX1" t="s">
        <v>5994</v>
      </c>
      <c r="QY1" t="s">
        <v>5995</v>
      </c>
      <c r="QZ1" t="s">
        <v>5996</v>
      </c>
      <c r="RA1" t="s">
        <v>5997</v>
      </c>
      <c r="RB1" t="s">
        <v>5998</v>
      </c>
      <c r="RC1" t="s">
        <v>5999</v>
      </c>
      <c r="RD1" t="s">
        <v>6000</v>
      </c>
      <c r="RE1" t="s">
        <v>6001</v>
      </c>
      <c r="RF1" t="s">
        <v>6002</v>
      </c>
      <c r="RG1" t="s">
        <v>6003</v>
      </c>
      <c r="RH1" t="s">
        <v>6004</v>
      </c>
      <c r="RI1" t="s">
        <v>6005</v>
      </c>
      <c r="RJ1" t="s">
        <v>6006</v>
      </c>
      <c r="RK1" t="s">
        <v>6007</v>
      </c>
      <c r="RL1" t="s">
        <v>6008</v>
      </c>
      <c r="RM1" t="s">
        <v>6009</v>
      </c>
      <c r="RN1" t="s">
        <v>6010</v>
      </c>
      <c r="RO1" t="s">
        <v>6011</v>
      </c>
      <c r="RP1" t="s">
        <v>6012</v>
      </c>
      <c r="RQ1" t="s">
        <v>6013</v>
      </c>
      <c r="RR1" t="s">
        <v>6014</v>
      </c>
      <c r="RS1" t="s">
        <v>6015</v>
      </c>
      <c r="RT1" t="s">
        <v>6016</v>
      </c>
      <c r="RU1" t="s">
        <v>6017</v>
      </c>
      <c r="RV1" t="s">
        <v>6018</v>
      </c>
      <c r="RW1" t="s">
        <v>6019</v>
      </c>
      <c r="RX1" t="s">
        <v>6020</v>
      </c>
      <c r="RY1" t="s">
        <v>6021</v>
      </c>
      <c r="RZ1" t="s">
        <v>6022</v>
      </c>
      <c r="SA1" t="s">
        <v>6023</v>
      </c>
      <c r="SB1" t="s">
        <v>6024</v>
      </c>
      <c r="SC1" t="s">
        <v>6025</v>
      </c>
      <c r="SD1" t="s">
        <v>6026</v>
      </c>
      <c r="SE1" t="s">
        <v>6027</v>
      </c>
      <c r="SF1" t="s">
        <v>6028</v>
      </c>
      <c r="SG1" t="s">
        <v>6029</v>
      </c>
      <c r="SH1" t="s">
        <v>6030</v>
      </c>
      <c r="SI1" t="s">
        <v>6031</v>
      </c>
      <c r="SJ1" t="s">
        <v>6032</v>
      </c>
      <c r="SK1" t="s">
        <v>6033</v>
      </c>
      <c r="SL1" t="s">
        <v>6034</v>
      </c>
      <c r="SM1" t="s">
        <v>6035</v>
      </c>
      <c r="SN1" t="s">
        <v>6036</v>
      </c>
      <c r="SO1" t="s">
        <v>6037</v>
      </c>
      <c r="SP1" t="s">
        <v>6038</v>
      </c>
      <c r="SQ1" t="s">
        <v>6039</v>
      </c>
      <c r="SR1" t="s">
        <v>6040</v>
      </c>
      <c r="SS1" t="s">
        <v>6041</v>
      </c>
      <c r="ST1" t="s">
        <v>6042</v>
      </c>
      <c r="SU1" t="s">
        <v>6043</v>
      </c>
      <c r="SV1" t="s">
        <v>6044</v>
      </c>
      <c r="SW1" t="s">
        <v>6045</v>
      </c>
      <c r="SX1" t="s">
        <v>6046</v>
      </c>
      <c r="SY1" t="s">
        <v>6047</v>
      </c>
      <c r="SZ1" t="s">
        <v>6048</v>
      </c>
      <c r="TA1" t="s">
        <v>6049</v>
      </c>
      <c r="TB1" t="s">
        <v>6050</v>
      </c>
      <c r="TC1" t="s">
        <v>6051</v>
      </c>
      <c r="TD1" t="s">
        <v>6052</v>
      </c>
      <c r="TE1" t="s">
        <v>6053</v>
      </c>
      <c r="TF1" t="s">
        <v>6054</v>
      </c>
      <c r="TG1" t="s">
        <v>6055</v>
      </c>
      <c r="TH1" t="s">
        <v>6056</v>
      </c>
      <c r="TI1" t="s">
        <v>6057</v>
      </c>
      <c r="TJ1" t="s">
        <v>6058</v>
      </c>
      <c r="TK1" t="s">
        <v>6059</v>
      </c>
      <c r="TL1" t="s">
        <v>6060</v>
      </c>
      <c r="TM1" t="s">
        <v>6061</v>
      </c>
      <c r="TN1" t="s">
        <v>6062</v>
      </c>
      <c r="TO1" t="s">
        <v>6063</v>
      </c>
      <c r="TP1" t="s">
        <v>6064</v>
      </c>
      <c r="TQ1" t="s">
        <v>6065</v>
      </c>
      <c r="TR1" t="s">
        <v>6066</v>
      </c>
      <c r="TS1" t="s">
        <v>6067</v>
      </c>
      <c r="TT1" t="s">
        <v>6068</v>
      </c>
      <c r="TU1" t="s">
        <v>6069</v>
      </c>
      <c r="TV1" t="s">
        <v>6070</v>
      </c>
      <c r="TW1" t="s">
        <v>6071</v>
      </c>
      <c r="TX1" t="s">
        <v>6072</v>
      </c>
      <c r="TY1" t="s">
        <v>6073</v>
      </c>
      <c r="TZ1" t="s">
        <v>6074</v>
      </c>
      <c r="UA1" t="s">
        <v>6075</v>
      </c>
      <c r="UB1" t="s">
        <v>6076</v>
      </c>
      <c r="UC1" t="s">
        <v>6077</v>
      </c>
      <c r="UD1" t="s">
        <v>6078</v>
      </c>
      <c r="UE1" t="s">
        <v>6079</v>
      </c>
      <c r="UF1" t="s">
        <v>6080</v>
      </c>
      <c r="UG1" t="s">
        <v>6081</v>
      </c>
      <c r="UH1" t="s">
        <v>6082</v>
      </c>
      <c r="UI1" t="s">
        <v>6083</v>
      </c>
      <c r="UJ1" t="s">
        <v>6084</v>
      </c>
      <c r="UK1" t="s">
        <v>6085</v>
      </c>
      <c r="UL1" t="s">
        <v>6086</v>
      </c>
      <c r="UM1" t="s">
        <v>6087</v>
      </c>
      <c r="UN1" t="s">
        <v>6088</v>
      </c>
      <c r="UO1" t="s">
        <v>6089</v>
      </c>
      <c r="UP1" t="s">
        <v>6090</v>
      </c>
      <c r="UQ1" t="s">
        <v>6091</v>
      </c>
      <c r="UR1" t="s">
        <v>6092</v>
      </c>
      <c r="US1" t="s">
        <v>6093</v>
      </c>
      <c r="UT1" t="s">
        <v>6094</v>
      </c>
      <c r="UU1" t="s">
        <v>6095</v>
      </c>
      <c r="UV1" t="s">
        <v>6096</v>
      </c>
      <c r="UW1" t="s">
        <v>6097</v>
      </c>
      <c r="UX1" t="s">
        <v>6098</v>
      </c>
      <c r="UY1" t="s">
        <v>6099</v>
      </c>
      <c r="UZ1" t="s">
        <v>6100</v>
      </c>
      <c r="VA1" t="s">
        <v>6101</v>
      </c>
      <c r="VB1" t="s">
        <v>6102</v>
      </c>
      <c r="VC1" t="s">
        <v>6103</v>
      </c>
      <c r="VD1" t="s">
        <v>6104</v>
      </c>
      <c r="VE1" t="s">
        <v>6105</v>
      </c>
      <c r="VF1" t="s">
        <v>6106</v>
      </c>
      <c r="VG1" t="s">
        <v>6107</v>
      </c>
      <c r="VH1" t="s">
        <v>6108</v>
      </c>
      <c r="VI1" t="s">
        <v>6109</v>
      </c>
      <c r="VJ1" t="s">
        <v>6110</v>
      </c>
      <c r="VK1" t="s">
        <v>6111</v>
      </c>
      <c r="VL1" t="s">
        <v>6112</v>
      </c>
      <c r="VM1" t="s">
        <v>6113</v>
      </c>
      <c r="VN1" t="s">
        <v>6114</v>
      </c>
      <c r="VO1" t="s">
        <v>6115</v>
      </c>
      <c r="VP1" t="s">
        <v>6116</v>
      </c>
      <c r="VQ1" t="s">
        <v>6117</v>
      </c>
      <c r="VR1" t="s">
        <v>6118</v>
      </c>
      <c r="VS1" t="s">
        <v>6119</v>
      </c>
      <c r="VT1" t="s">
        <v>6120</v>
      </c>
      <c r="VU1" t="s">
        <v>6121</v>
      </c>
      <c r="VV1" t="s">
        <v>6122</v>
      </c>
      <c r="VW1" t="s">
        <v>6123</v>
      </c>
      <c r="VX1" t="s">
        <v>6124</v>
      </c>
      <c r="VY1" t="s">
        <v>6125</v>
      </c>
      <c r="VZ1" t="s">
        <v>6126</v>
      </c>
      <c r="WA1" t="s">
        <v>6127</v>
      </c>
      <c r="WB1" t="s">
        <v>6128</v>
      </c>
      <c r="WC1" t="s">
        <v>6129</v>
      </c>
      <c r="WD1" t="s">
        <v>6130</v>
      </c>
      <c r="WE1" t="s">
        <v>6131</v>
      </c>
      <c r="WF1" t="s">
        <v>6132</v>
      </c>
      <c r="WG1" t="s">
        <v>6133</v>
      </c>
      <c r="WH1" t="s">
        <v>6134</v>
      </c>
      <c r="WI1" t="s">
        <v>6135</v>
      </c>
      <c r="WJ1" t="s">
        <v>6136</v>
      </c>
      <c r="WK1" t="s">
        <v>6137</v>
      </c>
      <c r="WL1" t="s">
        <v>6138</v>
      </c>
      <c r="WM1" t="s">
        <v>6139</v>
      </c>
      <c r="WN1" t="s">
        <v>6140</v>
      </c>
      <c r="WO1" t="s">
        <v>6141</v>
      </c>
      <c r="WP1" t="s">
        <v>6142</v>
      </c>
      <c r="WQ1" t="s">
        <v>6143</v>
      </c>
      <c r="WR1" t="s">
        <v>6144</v>
      </c>
      <c r="WS1" t="s">
        <v>6145</v>
      </c>
      <c r="WT1" t="s">
        <v>6146</v>
      </c>
      <c r="WU1" t="s">
        <v>6147</v>
      </c>
      <c r="WV1" t="s">
        <v>6148</v>
      </c>
      <c r="WW1" t="s">
        <v>6149</v>
      </c>
      <c r="WX1" t="s">
        <v>6150</v>
      </c>
      <c r="WY1" t="s">
        <v>6151</v>
      </c>
      <c r="WZ1" t="s">
        <v>6152</v>
      </c>
      <c r="XA1" t="s">
        <v>6153</v>
      </c>
      <c r="XB1" t="s">
        <v>6154</v>
      </c>
      <c r="XC1" t="s">
        <v>6155</v>
      </c>
      <c r="XD1" t="s">
        <v>6156</v>
      </c>
      <c r="XE1" t="s">
        <v>6157</v>
      </c>
      <c r="XF1" t="s">
        <v>6158</v>
      </c>
      <c r="XG1" t="s">
        <v>6159</v>
      </c>
      <c r="XH1" t="s">
        <v>6160</v>
      </c>
      <c r="XI1" t="s">
        <v>6161</v>
      </c>
      <c r="XJ1" t="s">
        <v>6162</v>
      </c>
      <c r="XK1" t="s">
        <v>6163</v>
      </c>
      <c r="XL1" t="s">
        <v>6164</v>
      </c>
      <c r="XM1" t="s">
        <v>6165</v>
      </c>
      <c r="XN1" t="s">
        <v>6166</v>
      </c>
      <c r="XO1" t="s">
        <v>6167</v>
      </c>
      <c r="XP1" t="s">
        <v>6168</v>
      </c>
      <c r="XQ1" t="s">
        <v>6169</v>
      </c>
      <c r="XR1" t="s">
        <v>6170</v>
      </c>
      <c r="XS1" t="s">
        <v>6171</v>
      </c>
      <c r="XT1" t="s">
        <v>6172</v>
      </c>
      <c r="XU1" t="s">
        <v>6173</v>
      </c>
      <c r="XV1" t="s">
        <v>6174</v>
      </c>
      <c r="XW1" t="s">
        <v>6175</v>
      </c>
      <c r="XX1" t="s">
        <v>6176</v>
      </c>
      <c r="XY1" t="s">
        <v>6177</v>
      </c>
      <c r="XZ1" t="s">
        <v>6178</v>
      </c>
      <c r="YA1" t="s">
        <v>6179</v>
      </c>
      <c r="YB1" t="s">
        <v>6180</v>
      </c>
      <c r="YC1" t="s">
        <v>6181</v>
      </c>
      <c r="YD1" t="s">
        <v>6182</v>
      </c>
      <c r="YE1" t="s">
        <v>6183</v>
      </c>
      <c r="YF1" t="s">
        <v>6184</v>
      </c>
      <c r="YG1" t="s">
        <v>6185</v>
      </c>
      <c r="YH1" t="s">
        <v>6186</v>
      </c>
      <c r="YI1" t="s">
        <v>6187</v>
      </c>
      <c r="YJ1" t="s">
        <v>6188</v>
      </c>
      <c r="YK1" t="s">
        <v>6189</v>
      </c>
      <c r="YL1" t="s">
        <v>6190</v>
      </c>
      <c r="YM1" t="s">
        <v>6191</v>
      </c>
      <c r="YN1" t="s">
        <v>6192</v>
      </c>
      <c r="YO1" t="s">
        <v>6193</v>
      </c>
      <c r="YP1" t="s">
        <v>6194</v>
      </c>
      <c r="YQ1" t="s">
        <v>6195</v>
      </c>
      <c r="YR1" t="s">
        <v>6196</v>
      </c>
      <c r="YS1" t="s">
        <v>6197</v>
      </c>
      <c r="YT1" t="s">
        <v>6198</v>
      </c>
      <c r="YU1" t="s">
        <v>6199</v>
      </c>
      <c r="YV1" t="s">
        <v>6200</v>
      </c>
      <c r="YW1" t="s">
        <v>6201</v>
      </c>
      <c r="YX1" t="s">
        <v>6202</v>
      </c>
      <c r="YY1" t="s">
        <v>6203</v>
      </c>
      <c r="YZ1" t="s">
        <v>6204</v>
      </c>
      <c r="ZA1" t="s">
        <v>6205</v>
      </c>
      <c r="ZB1" t="s">
        <v>6206</v>
      </c>
      <c r="ZC1" t="s">
        <v>6207</v>
      </c>
      <c r="ZD1" t="s">
        <v>6208</v>
      </c>
      <c r="ZE1" t="s">
        <v>6209</v>
      </c>
      <c r="ZF1" t="s">
        <v>6210</v>
      </c>
      <c r="ZG1" t="s">
        <v>6211</v>
      </c>
      <c r="ZH1" t="s">
        <v>6212</v>
      </c>
      <c r="ZI1" t="s">
        <v>6213</v>
      </c>
      <c r="ZJ1" t="s">
        <v>6214</v>
      </c>
      <c r="ZK1" t="s">
        <v>6215</v>
      </c>
      <c r="ZL1" t="s">
        <v>6216</v>
      </c>
      <c r="ZM1" t="s">
        <v>6217</v>
      </c>
      <c r="ZN1" t="s">
        <v>6218</v>
      </c>
      <c r="ZO1" t="s">
        <v>6219</v>
      </c>
      <c r="ZP1" t="s">
        <v>6220</v>
      </c>
      <c r="ZQ1" t="s">
        <v>6221</v>
      </c>
      <c r="ZR1" t="s">
        <v>6222</v>
      </c>
      <c r="ZS1" t="s">
        <v>6223</v>
      </c>
      <c r="ZT1" t="s">
        <v>6224</v>
      </c>
      <c r="ZU1" t="s">
        <v>6225</v>
      </c>
      <c r="ZV1" t="s">
        <v>6226</v>
      </c>
      <c r="ZW1" t="s">
        <v>6227</v>
      </c>
      <c r="ZX1" t="s">
        <v>6228</v>
      </c>
      <c r="ZY1" t="s">
        <v>6229</v>
      </c>
      <c r="ZZ1" t="s">
        <v>6230</v>
      </c>
      <c r="AAA1" t="s">
        <v>6231</v>
      </c>
      <c r="AAB1" t="s">
        <v>6232</v>
      </c>
      <c r="AAC1" t="s">
        <v>6233</v>
      </c>
      <c r="AAD1" t="s">
        <v>6234</v>
      </c>
      <c r="AAE1" t="s">
        <v>6235</v>
      </c>
      <c r="AAF1" t="s">
        <v>6236</v>
      </c>
      <c r="AAG1" t="s">
        <v>6237</v>
      </c>
      <c r="AAH1" t="s">
        <v>6238</v>
      </c>
      <c r="AAI1" t="s">
        <v>6239</v>
      </c>
      <c r="AAJ1" t="s">
        <v>6240</v>
      </c>
      <c r="AAK1" t="s">
        <v>6241</v>
      </c>
      <c r="AAL1" t="s">
        <v>6242</v>
      </c>
      <c r="AAM1" t="s">
        <v>6243</v>
      </c>
      <c r="AAN1" t="s">
        <v>6244</v>
      </c>
      <c r="AAO1" t="s">
        <v>6245</v>
      </c>
      <c r="AAP1" t="s">
        <v>6246</v>
      </c>
      <c r="AAQ1" t="s">
        <v>6247</v>
      </c>
      <c r="AAR1" t="s">
        <v>6248</v>
      </c>
      <c r="AAS1" t="s">
        <v>6249</v>
      </c>
      <c r="AAT1" t="s">
        <v>6250</v>
      </c>
      <c r="AAU1" t="s">
        <v>6251</v>
      </c>
      <c r="AAV1" t="s">
        <v>6252</v>
      </c>
      <c r="AAW1" t="s">
        <v>6253</v>
      </c>
      <c r="AAX1" t="s">
        <v>6254</v>
      </c>
      <c r="AAY1" t="s">
        <v>6255</v>
      </c>
      <c r="AAZ1" t="s">
        <v>6256</v>
      </c>
      <c r="ABA1" t="s">
        <v>6257</v>
      </c>
      <c r="ABB1" t="s">
        <v>6258</v>
      </c>
      <c r="ABC1" t="s">
        <v>6259</v>
      </c>
      <c r="ABD1" t="s">
        <v>6260</v>
      </c>
      <c r="ABE1" t="s">
        <v>6261</v>
      </c>
      <c r="ABF1" t="s">
        <v>6262</v>
      </c>
      <c r="ABG1" t="s">
        <v>6263</v>
      </c>
      <c r="ABH1" t="s">
        <v>6264</v>
      </c>
      <c r="ABI1" t="s">
        <v>6265</v>
      </c>
      <c r="ABJ1" t="s">
        <v>6266</v>
      </c>
      <c r="ABK1" t="s">
        <v>6267</v>
      </c>
      <c r="ABL1" t="s">
        <v>6268</v>
      </c>
      <c r="ABM1" t="s">
        <v>6269</v>
      </c>
      <c r="ABN1" t="s">
        <v>6270</v>
      </c>
      <c r="ABO1" t="s">
        <v>6271</v>
      </c>
      <c r="ABP1" t="s">
        <v>6272</v>
      </c>
      <c r="ABQ1" t="s">
        <v>6273</v>
      </c>
      <c r="ABR1" t="s">
        <v>6274</v>
      </c>
      <c r="ABS1" t="s">
        <v>6275</v>
      </c>
      <c r="ABT1" t="s">
        <v>6276</v>
      </c>
      <c r="ABU1" t="s">
        <v>6277</v>
      </c>
      <c r="ABV1" t="s">
        <v>6278</v>
      </c>
      <c r="ABW1" t="s">
        <v>6279</v>
      </c>
      <c r="ABX1" t="s">
        <v>6280</v>
      </c>
      <c r="ABY1" t="s">
        <v>6281</v>
      </c>
      <c r="ABZ1" t="s">
        <v>6282</v>
      </c>
      <c r="ACA1" t="s">
        <v>6283</v>
      </c>
      <c r="ACB1" t="s">
        <v>6284</v>
      </c>
      <c r="ACC1" t="s">
        <v>6285</v>
      </c>
      <c r="ACD1" t="s">
        <v>6286</v>
      </c>
      <c r="ACE1" t="s">
        <v>6287</v>
      </c>
      <c r="ACF1" t="s">
        <v>6288</v>
      </c>
      <c r="ACG1" t="s">
        <v>6289</v>
      </c>
      <c r="ACH1" t="s">
        <v>6290</v>
      </c>
      <c r="ACI1" t="s">
        <v>6291</v>
      </c>
      <c r="ACJ1" t="s">
        <v>6292</v>
      </c>
      <c r="ACK1" t="s">
        <v>6293</v>
      </c>
      <c r="ACL1" t="s">
        <v>6294</v>
      </c>
      <c r="ACM1" t="s">
        <v>6295</v>
      </c>
      <c r="ACN1" t="s">
        <v>6296</v>
      </c>
      <c r="ACO1" t="s">
        <v>6297</v>
      </c>
      <c r="ACP1" t="s">
        <v>6298</v>
      </c>
      <c r="ACQ1" t="s">
        <v>6299</v>
      </c>
      <c r="ACR1" t="s">
        <v>6300</v>
      </c>
      <c r="ACS1" t="s">
        <v>6301</v>
      </c>
      <c r="ACT1" t="s">
        <v>6302</v>
      </c>
      <c r="ACU1" t="s">
        <v>6303</v>
      </c>
      <c r="ACV1" t="s">
        <v>6304</v>
      </c>
      <c r="ACW1" t="s">
        <v>6305</v>
      </c>
      <c r="ACX1" t="s">
        <v>6306</v>
      </c>
      <c r="ACY1" t="s">
        <v>6307</v>
      </c>
      <c r="ACZ1" t="s">
        <v>6308</v>
      </c>
      <c r="ADA1" t="s">
        <v>6309</v>
      </c>
      <c r="ADB1" t="s">
        <v>6310</v>
      </c>
      <c r="ADC1" t="s">
        <v>6311</v>
      </c>
      <c r="ADD1" t="s">
        <v>6312</v>
      </c>
      <c r="ADE1" t="s">
        <v>6313</v>
      </c>
      <c r="ADF1" t="s">
        <v>6314</v>
      </c>
      <c r="ADG1" t="s">
        <v>6315</v>
      </c>
      <c r="ADH1" t="s">
        <v>6316</v>
      </c>
      <c r="ADI1" t="s">
        <v>6317</v>
      </c>
      <c r="ADJ1" t="s">
        <v>6318</v>
      </c>
      <c r="ADK1" t="s">
        <v>6319</v>
      </c>
      <c r="ADL1" t="s">
        <v>6320</v>
      </c>
      <c r="ADM1" t="s">
        <v>6321</v>
      </c>
      <c r="ADN1" t="s">
        <v>6322</v>
      </c>
      <c r="ADO1" t="s">
        <v>6323</v>
      </c>
      <c r="ADP1" t="s">
        <v>6324</v>
      </c>
      <c r="ADQ1" t="s">
        <v>6325</v>
      </c>
      <c r="ADR1" t="s">
        <v>6326</v>
      </c>
      <c r="ADS1" t="s">
        <v>6327</v>
      </c>
      <c r="ADT1" t="s">
        <v>6328</v>
      </c>
      <c r="ADU1" t="s">
        <v>6329</v>
      </c>
      <c r="ADV1" t="s">
        <v>6330</v>
      </c>
      <c r="ADW1" t="s">
        <v>6331</v>
      </c>
      <c r="ADX1" t="s">
        <v>6332</v>
      </c>
      <c r="ADY1" t="s">
        <v>6333</v>
      </c>
      <c r="ADZ1" t="s">
        <v>6334</v>
      </c>
      <c r="AEA1" t="s">
        <v>6335</v>
      </c>
      <c r="AEB1" t="s">
        <v>6336</v>
      </c>
      <c r="AEC1" t="s">
        <v>6337</v>
      </c>
      <c r="AED1" t="s">
        <v>6338</v>
      </c>
      <c r="AEE1" t="s">
        <v>6339</v>
      </c>
      <c r="AEF1" t="s">
        <v>6340</v>
      </c>
      <c r="AEG1" t="s">
        <v>6341</v>
      </c>
      <c r="AEH1" t="s">
        <v>6342</v>
      </c>
      <c r="AEI1" t="s">
        <v>6343</v>
      </c>
      <c r="AEJ1" t="s">
        <v>6344</v>
      </c>
      <c r="AEK1" t="s">
        <v>6345</v>
      </c>
      <c r="AEL1" t="s">
        <v>6346</v>
      </c>
      <c r="AEM1" t="s">
        <v>6347</v>
      </c>
      <c r="AEN1" t="s">
        <v>6348</v>
      </c>
      <c r="AEO1" t="s">
        <v>6349</v>
      </c>
      <c r="AEP1" t="s">
        <v>6350</v>
      </c>
      <c r="AEQ1" t="s">
        <v>6351</v>
      </c>
      <c r="AER1" t="s">
        <v>6352</v>
      </c>
      <c r="AES1" t="s">
        <v>6353</v>
      </c>
      <c r="AET1" t="s">
        <v>6354</v>
      </c>
      <c r="AEU1" t="s">
        <v>6355</v>
      </c>
      <c r="AEV1" t="s">
        <v>6356</v>
      </c>
      <c r="AEW1" t="s">
        <v>6357</v>
      </c>
      <c r="AEX1" t="s">
        <v>6358</v>
      </c>
      <c r="AEY1" t="s">
        <v>6359</v>
      </c>
      <c r="AEZ1" t="s">
        <v>6360</v>
      </c>
      <c r="AFA1" t="s">
        <v>6361</v>
      </c>
      <c r="AFB1" t="s">
        <v>6362</v>
      </c>
      <c r="AFC1" t="s">
        <v>6363</v>
      </c>
      <c r="AFD1" t="s">
        <v>6364</v>
      </c>
      <c r="AFE1" t="s">
        <v>6365</v>
      </c>
      <c r="AFF1" t="s">
        <v>6366</v>
      </c>
      <c r="AFG1" t="s">
        <v>6367</v>
      </c>
      <c r="AFH1" t="s">
        <v>6368</v>
      </c>
      <c r="AFI1" t="s">
        <v>6369</v>
      </c>
      <c r="AFJ1" t="s">
        <v>6370</v>
      </c>
      <c r="AFK1" t="s">
        <v>6371</v>
      </c>
      <c r="AFL1" t="s">
        <v>6372</v>
      </c>
      <c r="AFM1" t="s">
        <v>6373</v>
      </c>
      <c r="AFN1" t="s">
        <v>6374</v>
      </c>
      <c r="AFO1" t="s">
        <v>6375</v>
      </c>
      <c r="AFP1" t="s">
        <v>6376</v>
      </c>
      <c r="AFQ1" t="s">
        <v>6377</v>
      </c>
      <c r="AFR1" t="s">
        <v>6378</v>
      </c>
      <c r="AFS1" t="s">
        <v>6379</v>
      </c>
      <c r="AFT1" t="s">
        <v>6380</v>
      </c>
      <c r="AFU1" t="s">
        <v>6381</v>
      </c>
      <c r="AFV1" t="s">
        <v>6382</v>
      </c>
      <c r="AFW1" t="s">
        <v>6383</v>
      </c>
      <c r="AFX1" t="s">
        <v>6384</v>
      </c>
      <c r="AFY1" t="s">
        <v>6385</v>
      </c>
      <c r="AFZ1" t="s">
        <v>6386</v>
      </c>
      <c r="AGA1" t="s">
        <v>6387</v>
      </c>
      <c r="AGB1" t="s">
        <v>6388</v>
      </c>
      <c r="AGC1" t="s">
        <v>6389</v>
      </c>
      <c r="AGD1" t="s">
        <v>6390</v>
      </c>
      <c r="AGE1" t="s">
        <v>6391</v>
      </c>
      <c r="AGF1" t="s">
        <v>6392</v>
      </c>
      <c r="AGG1" t="s">
        <v>6393</v>
      </c>
      <c r="AGH1" t="s">
        <v>6394</v>
      </c>
      <c r="AGI1" t="s">
        <v>6395</v>
      </c>
      <c r="AGJ1" t="s">
        <v>6396</v>
      </c>
      <c r="AGK1" t="s">
        <v>6397</v>
      </c>
      <c r="AGL1" t="s">
        <v>6398</v>
      </c>
      <c r="AGM1" t="s">
        <v>6399</v>
      </c>
      <c r="AGN1" t="s">
        <v>6400</v>
      </c>
      <c r="AGO1" t="s">
        <v>6401</v>
      </c>
      <c r="AGP1" t="s">
        <v>6402</v>
      </c>
      <c r="AGQ1" t="s">
        <v>6403</v>
      </c>
      <c r="AGR1" t="s">
        <v>6404</v>
      </c>
      <c r="AGS1" t="s">
        <v>6405</v>
      </c>
      <c r="AGT1" t="s">
        <v>6406</v>
      </c>
      <c r="AGU1" t="s">
        <v>6407</v>
      </c>
      <c r="AGV1" t="s">
        <v>6408</v>
      </c>
      <c r="AGW1" t="s">
        <v>6409</v>
      </c>
      <c r="AGX1" t="s">
        <v>6410</v>
      </c>
      <c r="AGY1" t="s">
        <v>6411</v>
      </c>
      <c r="AGZ1" t="s">
        <v>6412</v>
      </c>
      <c r="AHA1" t="s">
        <v>6413</v>
      </c>
      <c r="AHB1" t="s">
        <v>6414</v>
      </c>
      <c r="AHC1" t="s">
        <v>6415</v>
      </c>
      <c r="AHD1" t="s">
        <v>6416</v>
      </c>
      <c r="AHE1" t="s">
        <v>6417</v>
      </c>
      <c r="AHF1" t="s">
        <v>6418</v>
      </c>
      <c r="AHG1" t="s">
        <v>6419</v>
      </c>
      <c r="AHH1" t="s">
        <v>6420</v>
      </c>
      <c r="AHI1" t="s">
        <v>6421</v>
      </c>
      <c r="AHJ1" t="s">
        <v>6422</v>
      </c>
      <c r="AHK1" t="s">
        <v>6423</v>
      </c>
      <c r="AHL1" t="s">
        <v>6424</v>
      </c>
      <c r="AHM1" t="s">
        <v>6425</v>
      </c>
      <c r="AHN1" t="s">
        <v>6426</v>
      </c>
      <c r="AHO1" t="s">
        <v>6427</v>
      </c>
      <c r="AHP1" t="s">
        <v>6428</v>
      </c>
      <c r="AHQ1" t="s">
        <v>6429</v>
      </c>
      <c r="AHR1" t="s">
        <v>6430</v>
      </c>
      <c r="AHS1" t="s">
        <v>6431</v>
      </c>
      <c r="AHT1" t="s">
        <v>6432</v>
      </c>
      <c r="AHU1" t="s">
        <v>6433</v>
      </c>
      <c r="AHV1" t="s">
        <v>6434</v>
      </c>
      <c r="AHW1" t="s">
        <v>6435</v>
      </c>
      <c r="AHX1" t="s">
        <v>6436</v>
      </c>
      <c r="AHY1" t="s">
        <v>6437</v>
      </c>
      <c r="AHZ1" t="s">
        <v>6438</v>
      </c>
      <c r="AIA1" t="s">
        <v>6439</v>
      </c>
      <c r="AIB1" t="s">
        <v>6440</v>
      </c>
      <c r="AIC1" t="s">
        <v>6441</v>
      </c>
      <c r="AID1" t="s">
        <v>6442</v>
      </c>
      <c r="AIE1" t="s">
        <v>6443</v>
      </c>
      <c r="AIF1" t="s">
        <v>6444</v>
      </c>
      <c r="AIG1" t="s">
        <v>6445</v>
      </c>
      <c r="AIH1" t="s">
        <v>6446</v>
      </c>
      <c r="AII1" t="s">
        <v>6447</v>
      </c>
      <c r="AIJ1" t="s">
        <v>6448</v>
      </c>
      <c r="AIK1" t="s">
        <v>6449</v>
      </c>
      <c r="AIL1" t="s">
        <v>6450</v>
      </c>
      <c r="AIM1" t="s">
        <v>6451</v>
      </c>
      <c r="AIN1" t="s">
        <v>6452</v>
      </c>
      <c r="AIO1" t="s">
        <v>6453</v>
      </c>
      <c r="AIP1" t="s">
        <v>6454</v>
      </c>
      <c r="AIQ1" t="s">
        <v>6455</v>
      </c>
      <c r="AIR1" t="s">
        <v>6456</v>
      </c>
      <c r="AIS1" t="s">
        <v>6457</v>
      </c>
      <c r="AIT1" t="s">
        <v>6458</v>
      </c>
      <c r="AIU1" t="s">
        <v>6459</v>
      </c>
      <c r="AIV1" t="s">
        <v>6460</v>
      </c>
      <c r="AIW1" t="s">
        <v>6461</v>
      </c>
      <c r="AIX1" t="s">
        <v>6462</v>
      </c>
      <c r="AIY1" t="s">
        <v>6463</v>
      </c>
      <c r="AIZ1" t="s">
        <v>6464</v>
      </c>
      <c r="AJA1" t="s">
        <v>6465</v>
      </c>
      <c r="AJB1" t="s">
        <v>6466</v>
      </c>
      <c r="AJC1" t="s">
        <v>6467</v>
      </c>
      <c r="AJD1" t="s">
        <v>6468</v>
      </c>
      <c r="AJE1" t="s">
        <v>6469</v>
      </c>
      <c r="AJF1" t="s">
        <v>6470</v>
      </c>
      <c r="AJG1" t="s">
        <v>6471</v>
      </c>
      <c r="AJH1" t="s">
        <v>6472</v>
      </c>
      <c r="AJI1" t="s">
        <v>6473</v>
      </c>
      <c r="AJJ1" t="s">
        <v>6474</v>
      </c>
      <c r="AJK1" t="s">
        <v>6475</v>
      </c>
      <c r="AJL1" t="s">
        <v>6476</v>
      </c>
      <c r="AJM1" t="s">
        <v>6477</v>
      </c>
      <c r="AJN1" t="s">
        <v>6478</v>
      </c>
      <c r="AJO1" t="s">
        <v>6479</v>
      </c>
      <c r="AJP1" t="s">
        <v>6480</v>
      </c>
      <c r="AJQ1" t="s">
        <v>6481</v>
      </c>
      <c r="AJR1" t="s">
        <v>6482</v>
      </c>
      <c r="AJS1" t="s">
        <v>6483</v>
      </c>
      <c r="AJT1" t="s">
        <v>6484</v>
      </c>
      <c r="AJU1" t="s">
        <v>6485</v>
      </c>
      <c r="AJV1" t="s">
        <v>6486</v>
      </c>
      <c r="AJW1" t="s">
        <v>6487</v>
      </c>
      <c r="AJX1" t="s">
        <v>6488</v>
      </c>
      <c r="AJY1" t="s">
        <v>6489</v>
      </c>
      <c r="AJZ1" t="s">
        <v>6490</v>
      </c>
      <c r="AKA1" t="s">
        <v>6491</v>
      </c>
      <c r="AKB1" t="s">
        <v>6492</v>
      </c>
      <c r="AKC1" t="s">
        <v>6493</v>
      </c>
      <c r="AKD1" t="s">
        <v>6494</v>
      </c>
      <c r="AKE1" t="s">
        <v>6495</v>
      </c>
      <c r="AKF1" t="s">
        <v>6496</v>
      </c>
      <c r="AKG1" t="s">
        <v>6497</v>
      </c>
      <c r="AKH1" t="s">
        <v>6498</v>
      </c>
      <c r="AKI1" t="s">
        <v>6499</v>
      </c>
      <c r="AKJ1" t="s">
        <v>6500</v>
      </c>
      <c r="AKK1" t="s">
        <v>6501</v>
      </c>
      <c r="AKL1" t="s">
        <v>6502</v>
      </c>
      <c r="AKM1" t="s">
        <v>6503</v>
      </c>
      <c r="AKN1" t="s">
        <v>6504</v>
      </c>
      <c r="AKO1" t="s">
        <v>6505</v>
      </c>
      <c r="AKP1" t="s">
        <v>6506</v>
      </c>
      <c r="AKQ1" t="s">
        <v>6507</v>
      </c>
      <c r="AKR1" t="s">
        <v>6508</v>
      </c>
      <c r="AKS1" t="s">
        <v>6509</v>
      </c>
      <c r="AKT1" t="s">
        <v>6510</v>
      </c>
      <c r="AKU1" t="s">
        <v>6511</v>
      </c>
      <c r="AKV1" t="s">
        <v>6512</v>
      </c>
      <c r="AKW1" t="s">
        <v>6513</v>
      </c>
      <c r="AKX1" t="s">
        <v>6514</v>
      </c>
      <c r="AKY1" t="s">
        <v>6515</v>
      </c>
      <c r="AKZ1" t="s">
        <v>6516</v>
      </c>
      <c r="ALA1" t="s">
        <v>6517</v>
      </c>
      <c r="ALB1" t="s">
        <v>6518</v>
      </c>
      <c r="ALC1" t="s">
        <v>6519</v>
      </c>
      <c r="ALD1" t="s">
        <v>6520</v>
      </c>
      <c r="ALE1" t="s">
        <v>6521</v>
      </c>
      <c r="ALF1" t="s">
        <v>6522</v>
      </c>
      <c r="ALG1" t="s">
        <v>6523</v>
      </c>
      <c r="ALH1" t="s">
        <v>6524</v>
      </c>
      <c r="ALI1" t="s">
        <v>6525</v>
      </c>
      <c r="ALJ1" t="s">
        <v>6526</v>
      </c>
      <c r="ALK1" t="s">
        <v>6527</v>
      </c>
      <c r="ALL1" t="s">
        <v>6528</v>
      </c>
      <c r="ALM1" t="s">
        <v>6529</v>
      </c>
      <c r="ALN1" t="s">
        <v>6530</v>
      </c>
      <c r="ALO1" t="s">
        <v>6531</v>
      </c>
      <c r="ALP1" t="s">
        <v>6532</v>
      </c>
      <c r="ALQ1" t="s">
        <v>6533</v>
      </c>
      <c r="ALR1" t="s">
        <v>6534</v>
      </c>
      <c r="ALS1" t="s">
        <v>6535</v>
      </c>
      <c r="ALT1" t="s">
        <v>6536</v>
      </c>
      <c r="ALU1" t="s">
        <v>6537</v>
      </c>
      <c r="ALV1" t="s">
        <v>6538</v>
      </c>
      <c r="ALW1" t="s">
        <v>6539</v>
      </c>
      <c r="ALX1" t="s">
        <v>6540</v>
      </c>
      <c r="ALY1" t="s">
        <v>6541</v>
      </c>
      <c r="ALZ1" t="s">
        <v>6542</v>
      </c>
      <c r="AMA1" t="s">
        <v>6543</v>
      </c>
      <c r="AMB1" t="s">
        <v>6544</v>
      </c>
      <c r="AMC1" t="s">
        <v>6545</v>
      </c>
      <c r="AMD1" t="s">
        <v>6546</v>
      </c>
      <c r="AME1" t="s">
        <v>6547</v>
      </c>
      <c r="AMF1" t="s">
        <v>6548</v>
      </c>
      <c r="AMG1" t="s">
        <v>6549</v>
      </c>
      <c r="AMH1" t="s">
        <v>6550</v>
      </c>
      <c r="AMI1" t="s">
        <v>6551</v>
      </c>
      <c r="AMJ1" t="s">
        <v>6552</v>
      </c>
      <c r="AMK1" t="s">
        <v>6553</v>
      </c>
      <c r="AML1" t="s">
        <v>6554</v>
      </c>
      <c r="AMM1" t="s">
        <v>6555</v>
      </c>
      <c r="AMN1" t="s">
        <v>6556</v>
      </c>
      <c r="AMO1" t="s">
        <v>6557</v>
      </c>
      <c r="AMP1" t="s">
        <v>6558</v>
      </c>
      <c r="AMQ1" t="s">
        <v>6559</v>
      </c>
      <c r="AMR1" t="s">
        <v>6560</v>
      </c>
      <c r="AMS1" t="s">
        <v>6561</v>
      </c>
      <c r="AMT1" t="s">
        <v>6562</v>
      </c>
      <c r="AMU1" t="s">
        <v>6563</v>
      </c>
      <c r="AMV1" t="s">
        <v>6564</v>
      </c>
      <c r="AMW1" t="s">
        <v>6565</v>
      </c>
      <c r="AMX1" t="s">
        <v>6566</v>
      </c>
      <c r="AMY1" t="s">
        <v>6567</v>
      </c>
      <c r="AMZ1" t="s">
        <v>6568</v>
      </c>
      <c r="ANA1" t="s">
        <v>6569</v>
      </c>
      <c r="ANB1" t="s">
        <v>6570</v>
      </c>
      <c r="ANC1" t="s">
        <v>6571</v>
      </c>
      <c r="AND1" t="s">
        <v>6572</v>
      </c>
      <c r="ANE1" t="s">
        <v>6573</v>
      </c>
      <c r="ANF1" t="s">
        <v>6574</v>
      </c>
      <c r="ANG1" t="s">
        <v>6575</v>
      </c>
      <c r="ANH1" t="s">
        <v>6576</v>
      </c>
      <c r="ANI1" t="s">
        <v>6577</v>
      </c>
      <c r="ANJ1" t="s">
        <v>6578</v>
      </c>
      <c r="ANK1" t="s">
        <v>6579</v>
      </c>
      <c r="ANL1" t="s">
        <v>6580</v>
      </c>
      <c r="ANM1" t="s">
        <v>6581</v>
      </c>
      <c r="ANN1" t="s">
        <v>6582</v>
      </c>
      <c r="ANO1" t="s">
        <v>6583</v>
      </c>
      <c r="ANP1" t="s">
        <v>6584</v>
      </c>
      <c r="ANQ1" t="s">
        <v>6585</v>
      </c>
      <c r="ANR1" t="s">
        <v>6586</v>
      </c>
      <c r="ANS1" t="s">
        <v>6587</v>
      </c>
      <c r="ANT1" t="s">
        <v>6588</v>
      </c>
      <c r="ANU1" t="s">
        <v>6589</v>
      </c>
      <c r="ANV1" t="s">
        <v>6590</v>
      </c>
      <c r="ANW1" t="s">
        <v>6591</v>
      </c>
      <c r="ANX1" t="s">
        <v>6592</v>
      </c>
      <c r="ANY1" t="s">
        <v>6593</v>
      </c>
      <c r="ANZ1" t="s">
        <v>6594</v>
      </c>
      <c r="AOA1" t="s">
        <v>6595</v>
      </c>
      <c r="AOB1" t="s">
        <v>6596</v>
      </c>
      <c r="AOC1" t="s">
        <v>6597</v>
      </c>
      <c r="AOD1" t="s">
        <v>6598</v>
      </c>
      <c r="AOE1" t="s">
        <v>6599</v>
      </c>
      <c r="AOF1" t="s">
        <v>6600</v>
      </c>
      <c r="AOG1" t="s">
        <v>6601</v>
      </c>
      <c r="AOH1" t="s">
        <v>6602</v>
      </c>
      <c r="AOI1" t="s">
        <v>6603</v>
      </c>
      <c r="AOJ1" t="s">
        <v>6604</v>
      </c>
      <c r="AOK1" t="s">
        <v>6605</v>
      </c>
      <c r="AOL1" t="s">
        <v>6606</v>
      </c>
      <c r="AOM1" t="s">
        <v>6607</v>
      </c>
      <c r="AON1" t="s">
        <v>6608</v>
      </c>
      <c r="AOO1" t="s">
        <v>6609</v>
      </c>
      <c r="AOP1" t="s">
        <v>6610</v>
      </c>
      <c r="AOQ1" t="s">
        <v>6611</v>
      </c>
      <c r="AOR1" t="s">
        <v>6612</v>
      </c>
      <c r="AOS1" t="s">
        <v>6613</v>
      </c>
      <c r="AOT1" t="s">
        <v>6614</v>
      </c>
      <c r="AOU1" t="s">
        <v>6615</v>
      </c>
      <c r="AOV1" t="s">
        <v>6616</v>
      </c>
      <c r="AOW1" t="s">
        <v>6617</v>
      </c>
      <c r="AOX1" t="s">
        <v>6618</v>
      </c>
      <c r="AOY1" t="s">
        <v>6619</v>
      </c>
      <c r="AOZ1" t="s">
        <v>6620</v>
      </c>
      <c r="APA1" t="s">
        <v>6621</v>
      </c>
      <c r="APB1" t="s">
        <v>6622</v>
      </c>
      <c r="APC1" t="s">
        <v>6623</v>
      </c>
      <c r="APD1" t="s">
        <v>6624</v>
      </c>
      <c r="APE1" t="s">
        <v>6625</v>
      </c>
      <c r="APF1" t="s">
        <v>6626</v>
      </c>
      <c r="APG1" t="s">
        <v>6627</v>
      </c>
      <c r="APH1" t="s">
        <v>6628</v>
      </c>
      <c r="API1" t="s">
        <v>6629</v>
      </c>
      <c r="APJ1" t="s">
        <v>6630</v>
      </c>
      <c r="APK1" t="s">
        <v>6631</v>
      </c>
      <c r="APL1" t="s">
        <v>6632</v>
      </c>
      <c r="APM1" t="s">
        <v>6633</v>
      </c>
      <c r="APN1" t="s">
        <v>6634</v>
      </c>
      <c r="APO1" t="s">
        <v>6635</v>
      </c>
      <c r="APP1" t="s">
        <v>6636</v>
      </c>
      <c r="APQ1" t="s">
        <v>6637</v>
      </c>
      <c r="APR1" t="s">
        <v>6638</v>
      </c>
      <c r="APS1" t="s">
        <v>6639</v>
      </c>
      <c r="APT1" t="s">
        <v>6640</v>
      </c>
      <c r="APU1" t="s">
        <v>6641</v>
      </c>
      <c r="APV1" t="s">
        <v>6642</v>
      </c>
      <c r="APW1" t="s">
        <v>6643</v>
      </c>
      <c r="APX1" t="s">
        <v>6644</v>
      </c>
      <c r="APY1" t="s">
        <v>6645</v>
      </c>
      <c r="APZ1" t="s">
        <v>6646</v>
      </c>
      <c r="AQA1" t="s">
        <v>6647</v>
      </c>
      <c r="AQB1" t="s">
        <v>6648</v>
      </c>
      <c r="AQC1" t="s">
        <v>6649</v>
      </c>
      <c r="AQD1" t="s">
        <v>6650</v>
      </c>
      <c r="AQE1" t="s">
        <v>6651</v>
      </c>
      <c r="AQF1" t="s">
        <v>6652</v>
      </c>
      <c r="AQG1" t="s">
        <v>6653</v>
      </c>
      <c r="AQH1" t="s">
        <v>6654</v>
      </c>
      <c r="AQI1" t="s">
        <v>6655</v>
      </c>
      <c r="AQJ1" t="s">
        <v>6656</v>
      </c>
      <c r="AQK1" t="s">
        <v>6657</v>
      </c>
      <c r="AQL1" t="s">
        <v>6658</v>
      </c>
      <c r="AQM1" t="s">
        <v>6659</v>
      </c>
      <c r="AQN1" t="s">
        <v>6660</v>
      </c>
      <c r="AQO1" t="s">
        <v>6661</v>
      </c>
      <c r="AQP1" t="s">
        <v>6662</v>
      </c>
      <c r="AQQ1" t="s">
        <v>6663</v>
      </c>
      <c r="AQR1" t="s">
        <v>6664</v>
      </c>
      <c r="AQS1" t="s">
        <v>6665</v>
      </c>
      <c r="AQT1" t="s">
        <v>6666</v>
      </c>
      <c r="AQU1" t="s">
        <v>6667</v>
      </c>
      <c r="AQV1" t="s">
        <v>6668</v>
      </c>
      <c r="AQW1" t="s">
        <v>6669</v>
      </c>
      <c r="AQX1" t="s">
        <v>6670</v>
      </c>
      <c r="AQY1" t="s">
        <v>6671</v>
      </c>
      <c r="AQZ1" t="s">
        <v>6672</v>
      </c>
      <c r="ARA1" t="s">
        <v>6673</v>
      </c>
      <c r="ARB1" t="s">
        <v>6674</v>
      </c>
      <c r="ARC1" t="s">
        <v>6675</v>
      </c>
      <c r="ARD1" t="s">
        <v>6676</v>
      </c>
      <c r="ARE1" t="s">
        <v>6677</v>
      </c>
      <c r="ARF1" t="s">
        <v>6678</v>
      </c>
      <c r="ARG1" t="s">
        <v>6679</v>
      </c>
      <c r="ARH1" t="s">
        <v>6680</v>
      </c>
      <c r="ARI1" t="s">
        <v>6681</v>
      </c>
      <c r="ARJ1" t="s">
        <v>6682</v>
      </c>
      <c r="ARK1" t="s">
        <v>6683</v>
      </c>
      <c r="ARL1" t="s">
        <v>6684</v>
      </c>
      <c r="ARM1" t="s">
        <v>6685</v>
      </c>
      <c r="ARN1" t="s">
        <v>6686</v>
      </c>
      <c r="ARO1" t="s">
        <v>6687</v>
      </c>
      <c r="ARP1" t="s">
        <v>6688</v>
      </c>
      <c r="ARQ1" t="s">
        <v>6689</v>
      </c>
      <c r="ARR1" t="s">
        <v>6690</v>
      </c>
      <c r="ARS1" t="s">
        <v>6691</v>
      </c>
      <c r="ART1" t="s">
        <v>6692</v>
      </c>
      <c r="ARU1" t="s">
        <v>6693</v>
      </c>
      <c r="ARV1" t="s">
        <v>6694</v>
      </c>
      <c r="ARW1" t="s">
        <v>6695</v>
      </c>
      <c r="ARX1" t="s">
        <v>6696</v>
      </c>
      <c r="ARY1" t="s">
        <v>6697</v>
      </c>
      <c r="ARZ1" t="s">
        <v>6698</v>
      </c>
      <c r="ASA1" t="s">
        <v>6699</v>
      </c>
      <c r="ASB1" t="s">
        <v>6700</v>
      </c>
      <c r="ASC1" t="s">
        <v>6701</v>
      </c>
      <c r="ASD1" t="s">
        <v>6702</v>
      </c>
      <c r="ASE1" t="s">
        <v>6703</v>
      </c>
      <c r="ASF1" t="s">
        <v>6704</v>
      </c>
      <c r="ASG1" t="s">
        <v>6705</v>
      </c>
      <c r="ASH1" t="s">
        <v>6706</v>
      </c>
      <c r="ASI1" t="s">
        <v>6707</v>
      </c>
      <c r="ASJ1" t="s">
        <v>6708</v>
      </c>
      <c r="ASK1" t="s">
        <v>6709</v>
      </c>
      <c r="ASL1" t="s">
        <v>6710</v>
      </c>
      <c r="ASM1" t="s">
        <v>6711</v>
      </c>
      <c r="ASN1" t="s">
        <v>6712</v>
      </c>
      <c r="ASO1" t="s">
        <v>6713</v>
      </c>
      <c r="ASP1" t="s">
        <v>6714</v>
      </c>
      <c r="ASQ1" t="s">
        <v>6715</v>
      </c>
      <c r="ASR1" t="s">
        <v>6716</v>
      </c>
      <c r="ASS1" t="s">
        <v>6717</v>
      </c>
      <c r="AST1" t="s">
        <v>6718</v>
      </c>
      <c r="ASU1" t="s">
        <v>6719</v>
      </c>
      <c r="ASV1" t="s">
        <v>6720</v>
      </c>
      <c r="ASW1" t="s">
        <v>6721</v>
      </c>
      <c r="ASX1" t="s">
        <v>6722</v>
      </c>
      <c r="ASY1" t="s">
        <v>6723</v>
      </c>
      <c r="ASZ1" t="s">
        <v>6724</v>
      </c>
      <c r="ATA1" t="s">
        <v>6725</v>
      </c>
      <c r="ATB1" t="s">
        <v>6726</v>
      </c>
      <c r="ATC1" t="s">
        <v>6727</v>
      </c>
      <c r="ATD1" t="s">
        <v>6728</v>
      </c>
      <c r="ATE1" t="s">
        <v>6729</v>
      </c>
      <c r="ATF1" t="s">
        <v>6730</v>
      </c>
      <c r="ATG1" t="s">
        <v>6731</v>
      </c>
      <c r="ATH1" t="s">
        <v>6732</v>
      </c>
      <c r="ATI1" t="s">
        <v>6733</v>
      </c>
      <c r="ATJ1" t="s">
        <v>6734</v>
      </c>
      <c r="ATK1" t="s">
        <v>6735</v>
      </c>
      <c r="ATL1" t="s">
        <v>6736</v>
      </c>
      <c r="ATM1" t="s">
        <v>6737</v>
      </c>
      <c r="ATN1" t="s">
        <v>6738</v>
      </c>
      <c r="ATO1" t="s">
        <v>6739</v>
      </c>
      <c r="ATP1" t="s">
        <v>6740</v>
      </c>
      <c r="ATQ1" t="s">
        <v>6741</v>
      </c>
      <c r="ATR1" t="s">
        <v>6742</v>
      </c>
      <c r="ATS1" t="s">
        <v>6743</v>
      </c>
      <c r="ATT1" t="s">
        <v>6744</v>
      </c>
      <c r="ATU1" t="s">
        <v>6745</v>
      </c>
      <c r="ATV1" t="s">
        <v>6746</v>
      </c>
      <c r="ATW1" t="s">
        <v>6747</v>
      </c>
      <c r="ATX1" t="s">
        <v>6748</v>
      </c>
      <c r="ATY1" t="s">
        <v>6749</v>
      </c>
      <c r="ATZ1" t="s">
        <v>6750</v>
      </c>
      <c r="AUA1" t="s">
        <v>6751</v>
      </c>
      <c r="AUB1" t="s">
        <v>6752</v>
      </c>
      <c r="AUC1" t="s">
        <v>6753</v>
      </c>
      <c r="AUD1" t="s">
        <v>6754</v>
      </c>
      <c r="AUE1" t="s">
        <v>6755</v>
      </c>
      <c r="AUF1" t="s">
        <v>6756</v>
      </c>
      <c r="AUG1" t="s">
        <v>6757</v>
      </c>
      <c r="AUH1" t="s">
        <v>6758</v>
      </c>
      <c r="AUI1" t="s">
        <v>6759</v>
      </c>
      <c r="AUJ1" t="s">
        <v>6760</v>
      </c>
      <c r="AUK1" t="s">
        <v>6761</v>
      </c>
      <c r="AUL1" t="s">
        <v>6762</v>
      </c>
      <c r="AUM1" t="s">
        <v>6763</v>
      </c>
      <c r="AUN1" t="s">
        <v>6764</v>
      </c>
      <c r="AUO1" t="s">
        <v>6765</v>
      </c>
      <c r="AUP1" t="s">
        <v>6766</v>
      </c>
      <c r="AUQ1" t="s">
        <v>6767</v>
      </c>
      <c r="AUR1" t="s">
        <v>6768</v>
      </c>
      <c r="AUS1" t="s">
        <v>6769</v>
      </c>
      <c r="AUT1" t="s">
        <v>6770</v>
      </c>
      <c r="AUU1" t="s">
        <v>6771</v>
      </c>
      <c r="AUV1" t="s">
        <v>6772</v>
      </c>
      <c r="AUW1" t="s">
        <v>6773</v>
      </c>
      <c r="AUX1" t="s">
        <v>6774</v>
      </c>
      <c r="AUY1" t="s">
        <v>6775</v>
      </c>
      <c r="AUZ1" t="s">
        <v>6776</v>
      </c>
      <c r="AVA1" t="s">
        <v>6777</v>
      </c>
      <c r="AVB1" t="s">
        <v>6778</v>
      </c>
      <c r="AVC1" t="s">
        <v>6779</v>
      </c>
      <c r="AVD1" t="s">
        <v>6780</v>
      </c>
      <c r="AVE1" t="s">
        <v>6781</v>
      </c>
      <c r="AVF1" t="s">
        <v>6782</v>
      </c>
      <c r="AVG1" t="s">
        <v>6783</v>
      </c>
      <c r="AVH1" t="s">
        <v>6784</v>
      </c>
      <c r="AVI1" t="s">
        <v>6785</v>
      </c>
      <c r="AVJ1" t="s">
        <v>6786</v>
      </c>
      <c r="AVK1" t="s">
        <v>6787</v>
      </c>
      <c r="AVL1" t="s">
        <v>6788</v>
      </c>
      <c r="AVM1" t="s">
        <v>6789</v>
      </c>
      <c r="AVN1" t="s">
        <v>6790</v>
      </c>
      <c r="AVO1" t="s">
        <v>6791</v>
      </c>
      <c r="AVP1" t="s">
        <v>6792</v>
      </c>
      <c r="AVQ1" t="s">
        <v>6793</v>
      </c>
      <c r="AVR1" t="s">
        <v>6794</v>
      </c>
      <c r="AVS1" t="s">
        <v>6795</v>
      </c>
      <c r="AVT1" t="s">
        <v>6796</v>
      </c>
      <c r="AVU1" t="s">
        <v>6797</v>
      </c>
      <c r="AVV1" t="s">
        <v>6798</v>
      </c>
      <c r="AVW1" t="s">
        <v>6799</v>
      </c>
      <c r="AVX1" t="s">
        <v>6800</v>
      </c>
      <c r="AVY1" t="s">
        <v>6801</v>
      </c>
      <c r="AVZ1" t="s">
        <v>6802</v>
      </c>
      <c r="AWA1" t="s">
        <v>6803</v>
      </c>
      <c r="AWB1" t="s">
        <v>6804</v>
      </c>
      <c r="AWC1" t="s">
        <v>6805</v>
      </c>
      <c r="AWD1" t="s">
        <v>6806</v>
      </c>
      <c r="AWE1" t="s">
        <v>6807</v>
      </c>
      <c r="AWF1" t="s">
        <v>6808</v>
      </c>
      <c r="AWG1" t="s">
        <v>6809</v>
      </c>
      <c r="AWH1" t="s">
        <v>6810</v>
      </c>
      <c r="AWI1" t="s">
        <v>6811</v>
      </c>
      <c r="AWJ1" t="s">
        <v>6812</v>
      </c>
      <c r="AWK1" t="s">
        <v>6813</v>
      </c>
      <c r="AWL1" t="s">
        <v>6814</v>
      </c>
      <c r="AWM1" t="s">
        <v>6815</v>
      </c>
      <c r="AWN1" t="s">
        <v>6816</v>
      </c>
      <c r="AWO1" t="s">
        <v>6817</v>
      </c>
      <c r="AWP1" t="s">
        <v>6818</v>
      </c>
      <c r="AWQ1" t="s">
        <v>6819</v>
      </c>
      <c r="AWR1" t="s">
        <v>6820</v>
      </c>
      <c r="AWS1" t="s">
        <v>6821</v>
      </c>
      <c r="AWT1" t="s">
        <v>6822</v>
      </c>
      <c r="AWU1" t="s">
        <v>6823</v>
      </c>
      <c r="AWV1" t="s">
        <v>6824</v>
      </c>
      <c r="AWW1" t="s">
        <v>6825</v>
      </c>
      <c r="AWX1" t="s">
        <v>6826</v>
      </c>
      <c r="AWY1" t="s">
        <v>6827</v>
      </c>
      <c r="AWZ1" t="s">
        <v>6828</v>
      </c>
      <c r="AXA1" t="s">
        <v>6829</v>
      </c>
      <c r="AXB1" t="s">
        <v>6830</v>
      </c>
      <c r="AXC1" t="s">
        <v>6831</v>
      </c>
      <c r="AXD1" t="s">
        <v>6832</v>
      </c>
      <c r="AXE1" t="s">
        <v>6833</v>
      </c>
      <c r="AXF1" t="s">
        <v>6834</v>
      </c>
      <c r="AXG1" t="s">
        <v>6835</v>
      </c>
      <c r="AXH1" t="s">
        <v>6836</v>
      </c>
      <c r="AXI1" t="s">
        <v>6837</v>
      </c>
      <c r="AXJ1" t="s">
        <v>6838</v>
      </c>
      <c r="AXK1" t="s">
        <v>6839</v>
      </c>
      <c r="AXL1" t="s">
        <v>6840</v>
      </c>
      <c r="AXM1" t="s">
        <v>6841</v>
      </c>
      <c r="AXN1" t="s">
        <v>6842</v>
      </c>
      <c r="AXO1" t="s">
        <v>6843</v>
      </c>
      <c r="AXP1" t="s">
        <v>6844</v>
      </c>
      <c r="AXQ1" t="s">
        <v>6845</v>
      </c>
      <c r="AXR1" t="s">
        <v>6846</v>
      </c>
      <c r="AXS1" t="s">
        <v>6847</v>
      </c>
      <c r="AXT1" t="s">
        <v>6848</v>
      </c>
      <c r="AXU1" t="s">
        <v>6849</v>
      </c>
      <c r="AXV1" t="s">
        <v>6850</v>
      </c>
      <c r="AXW1" t="s">
        <v>6851</v>
      </c>
      <c r="AXX1" t="s">
        <v>6852</v>
      </c>
      <c r="AXY1" t="s">
        <v>6853</v>
      </c>
      <c r="AXZ1" t="s">
        <v>6854</v>
      </c>
      <c r="AYA1" t="s">
        <v>6855</v>
      </c>
      <c r="AYB1" t="s">
        <v>6856</v>
      </c>
      <c r="AYC1" t="s">
        <v>6857</v>
      </c>
      <c r="AYD1" t="s">
        <v>6858</v>
      </c>
      <c r="AYE1" t="s">
        <v>6859</v>
      </c>
      <c r="AYF1" t="s">
        <v>6860</v>
      </c>
      <c r="AYG1" t="s">
        <v>6861</v>
      </c>
      <c r="AYH1" t="s">
        <v>6862</v>
      </c>
      <c r="AYI1" t="s">
        <v>6863</v>
      </c>
      <c r="AYJ1" t="s">
        <v>6864</v>
      </c>
      <c r="AYK1" t="s">
        <v>6865</v>
      </c>
      <c r="AYL1" t="s">
        <v>6866</v>
      </c>
      <c r="AYM1" t="s">
        <v>6867</v>
      </c>
      <c r="AYN1" t="s">
        <v>6868</v>
      </c>
      <c r="AYO1" t="s">
        <v>6869</v>
      </c>
      <c r="AYP1" t="s">
        <v>6870</v>
      </c>
      <c r="AYQ1" t="s">
        <v>6871</v>
      </c>
      <c r="AYR1" t="s">
        <v>6872</v>
      </c>
      <c r="AYS1" t="s">
        <v>6873</v>
      </c>
      <c r="AYT1" t="s">
        <v>6874</v>
      </c>
      <c r="AYU1" t="s">
        <v>6875</v>
      </c>
      <c r="AYV1" t="s">
        <v>6876</v>
      </c>
      <c r="AYW1" t="s">
        <v>6877</v>
      </c>
      <c r="AYX1" t="s">
        <v>6878</v>
      </c>
      <c r="AYY1" t="s">
        <v>6879</v>
      </c>
      <c r="AYZ1" t="s">
        <v>6880</v>
      </c>
      <c r="AZA1" t="s">
        <v>6881</v>
      </c>
      <c r="AZB1" t="s">
        <v>6882</v>
      </c>
      <c r="AZC1" t="s">
        <v>6883</v>
      </c>
      <c r="AZD1" t="s">
        <v>6884</v>
      </c>
      <c r="AZE1" t="s">
        <v>6885</v>
      </c>
      <c r="AZF1" t="s">
        <v>6886</v>
      </c>
      <c r="AZG1" t="s">
        <v>6887</v>
      </c>
      <c r="AZH1" t="s">
        <v>6888</v>
      </c>
      <c r="AZI1" t="s">
        <v>6889</v>
      </c>
      <c r="AZJ1" t="s">
        <v>6890</v>
      </c>
      <c r="AZK1" t="s">
        <v>6891</v>
      </c>
      <c r="AZL1" t="s">
        <v>6892</v>
      </c>
      <c r="AZM1" t="s">
        <v>6893</v>
      </c>
      <c r="AZN1" t="s">
        <v>6894</v>
      </c>
      <c r="AZO1" t="s">
        <v>6895</v>
      </c>
      <c r="AZP1" t="s">
        <v>6896</v>
      </c>
      <c r="AZQ1" t="s">
        <v>6897</v>
      </c>
      <c r="AZR1" t="s">
        <v>6898</v>
      </c>
      <c r="AZS1" t="s">
        <v>6899</v>
      </c>
      <c r="AZT1" t="s">
        <v>6900</v>
      </c>
      <c r="AZU1" t="s">
        <v>6901</v>
      </c>
      <c r="AZV1" t="s">
        <v>6902</v>
      </c>
      <c r="AZW1" t="s">
        <v>6903</v>
      </c>
      <c r="AZX1" t="s">
        <v>6904</v>
      </c>
      <c r="AZY1" t="s">
        <v>6905</v>
      </c>
      <c r="AZZ1" t="s">
        <v>6906</v>
      </c>
      <c r="BAA1" t="s">
        <v>6907</v>
      </c>
      <c r="BAB1" t="s">
        <v>6908</v>
      </c>
      <c r="BAC1" t="s">
        <v>6909</v>
      </c>
      <c r="BAD1" t="s">
        <v>6910</v>
      </c>
      <c r="BAE1" t="s">
        <v>6911</v>
      </c>
      <c r="BAF1" t="s">
        <v>6912</v>
      </c>
      <c r="BAG1" t="s">
        <v>6913</v>
      </c>
      <c r="BAH1" t="s">
        <v>6914</v>
      </c>
      <c r="BAI1" t="s">
        <v>6915</v>
      </c>
      <c r="BAJ1" t="s">
        <v>6916</v>
      </c>
      <c r="BAK1" t="s">
        <v>6917</v>
      </c>
      <c r="BAL1" t="s">
        <v>6918</v>
      </c>
      <c r="BAM1" t="s">
        <v>6919</v>
      </c>
      <c r="BAN1" t="s">
        <v>6920</v>
      </c>
      <c r="BAO1" t="s">
        <v>6921</v>
      </c>
      <c r="BAP1" t="s">
        <v>6922</v>
      </c>
      <c r="BAQ1" t="s">
        <v>6923</v>
      </c>
      <c r="BAR1" t="s">
        <v>6924</v>
      </c>
      <c r="BAS1" t="s">
        <v>6925</v>
      </c>
      <c r="BAT1" t="s">
        <v>6926</v>
      </c>
      <c r="BAU1" t="s">
        <v>6927</v>
      </c>
      <c r="BAV1" t="s">
        <v>6928</v>
      </c>
      <c r="BAW1" t="s">
        <v>6929</v>
      </c>
      <c r="BAX1" t="s">
        <v>6930</v>
      </c>
      <c r="BAY1" t="s">
        <v>6931</v>
      </c>
      <c r="BAZ1" t="s">
        <v>6932</v>
      </c>
      <c r="BBA1" t="s">
        <v>6933</v>
      </c>
      <c r="BBB1" t="s">
        <v>6934</v>
      </c>
      <c r="BBC1" t="s">
        <v>6935</v>
      </c>
      <c r="BBD1" t="s">
        <v>6936</v>
      </c>
      <c r="BBE1" t="s">
        <v>6937</v>
      </c>
      <c r="BBF1" t="s">
        <v>6938</v>
      </c>
      <c r="BBG1" t="s">
        <v>6939</v>
      </c>
      <c r="BBH1" t="s">
        <v>6940</v>
      </c>
      <c r="BBI1" t="s">
        <v>6941</v>
      </c>
      <c r="BBJ1" t="s">
        <v>6942</v>
      </c>
      <c r="BBK1" t="s">
        <v>6943</v>
      </c>
      <c r="BBL1" t="s">
        <v>6944</v>
      </c>
      <c r="BBM1" t="s">
        <v>6945</v>
      </c>
      <c r="BBN1" t="s">
        <v>6946</v>
      </c>
      <c r="BBO1" t="s">
        <v>6947</v>
      </c>
      <c r="BBP1" t="s">
        <v>6948</v>
      </c>
      <c r="BBQ1" t="s">
        <v>6949</v>
      </c>
      <c r="BBR1" t="s">
        <v>6950</v>
      </c>
      <c r="BBS1" t="s">
        <v>6951</v>
      </c>
      <c r="BBT1" t="s">
        <v>6952</v>
      </c>
      <c r="BBU1" t="s">
        <v>6953</v>
      </c>
      <c r="BBV1" t="s">
        <v>6954</v>
      </c>
      <c r="BBW1" t="s">
        <v>6955</v>
      </c>
      <c r="BBX1" t="s">
        <v>6956</v>
      </c>
      <c r="BBY1" t="s">
        <v>6957</v>
      </c>
      <c r="BBZ1" t="s">
        <v>6958</v>
      </c>
      <c r="BCA1" t="s">
        <v>6959</v>
      </c>
      <c r="BCB1" t="s">
        <v>6960</v>
      </c>
      <c r="BCC1" t="s">
        <v>6961</v>
      </c>
      <c r="BCD1" t="s">
        <v>6962</v>
      </c>
      <c r="BCE1" t="s">
        <v>6963</v>
      </c>
      <c r="BCF1" t="s">
        <v>6964</v>
      </c>
      <c r="BCG1" t="s">
        <v>6965</v>
      </c>
      <c r="BCH1" t="s">
        <v>6966</v>
      </c>
      <c r="BCI1" t="s">
        <v>6967</v>
      </c>
      <c r="BCJ1" t="s">
        <v>6968</v>
      </c>
      <c r="BCK1" t="s">
        <v>6969</v>
      </c>
      <c r="BCL1" t="s">
        <v>6970</v>
      </c>
      <c r="BCM1" t="s">
        <v>6971</v>
      </c>
      <c r="BCN1" t="s">
        <v>6972</v>
      </c>
      <c r="BCO1" t="s">
        <v>6973</v>
      </c>
      <c r="BCP1" t="s">
        <v>6974</v>
      </c>
      <c r="BCQ1" t="s">
        <v>6975</v>
      </c>
      <c r="BCR1" t="s">
        <v>6976</v>
      </c>
      <c r="BCS1" t="s">
        <v>6977</v>
      </c>
      <c r="BCT1" t="s">
        <v>6978</v>
      </c>
      <c r="BCU1" t="s">
        <v>6979</v>
      </c>
      <c r="BCV1" t="s">
        <v>6980</v>
      </c>
      <c r="BCW1" t="s">
        <v>6981</v>
      </c>
      <c r="BCX1" t="s">
        <v>6982</v>
      </c>
      <c r="BCY1" t="s">
        <v>6983</v>
      </c>
      <c r="BCZ1" t="s">
        <v>6984</v>
      </c>
      <c r="BDA1" t="s">
        <v>6985</v>
      </c>
      <c r="BDB1" t="s">
        <v>6986</v>
      </c>
      <c r="BDC1" t="s">
        <v>6987</v>
      </c>
      <c r="BDD1" t="s">
        <v>6988</v>
      </c>
      <c r="BDE1" t="s">
        <v>6989</v>
      </c>
      <c r="BDF1" t="s">
        <v>6990</v>
      </c>
      <c r="BDG1" t="s">
        <v>6991</v>
      </c>
      <c r="BDH1" t="s">
        <v>6992</v>
      </c>
      <c r="BDI1" t="s">
        <v>6993</v>
      </c>
      <c r="BDJ1" t="s">
        <v>6994</v>
      </c>
      <c r="BDK1" t="s">
        <v>6995</v>
      </c>
      <c r="BDL1" t="s">
        <v>6996</v>
      </c>
      <c r="BDM1" t="s">
        <v>6997</v>
      </c>
      <c r="BDN1" t="s">
        <v>6998</v>
      </c>
      <c r="BDO1" t="s">
        <v>6999</v>
      </c>
      <c r="BDP1" t="s">
        <v>7000</v>
      </c>
      <c r="BDQ1" t="s">
        <v>7001</v>
      </c>
      <c r="BDR1" t="s">
        <v>7002</v>
      </c>
      <c r="BDS1" t="s">
        <v>7003</v>
      </c>
      <c r="BDT1" t="s">
        <v>7004</v>
      </c>
      <c r="BDU1" t="s">
        <v>7005</v>
      </c>
      <c r="BDV1" t="s">
        <v>7006</v>
      </c>
      <c r="BDW1" t="s">
        <v>7007</v>
      </c>
      <c r="BDX1" t="s">
        <v>7008</v>
      </c>
      <c r="BDY1" t="s">
        <v>7009</v>
      </c>
      <c r="BDZ1" t="s">
        <v>7010</v>
      </c>
      <c r="BEA1" t="s">
        <v>7011</v>
      </c>
      <c r="BEB1" t="s">
        <v>7012</v>
      </c>
      <c r="BEC1" t="s">
        <v>7013</v>
      </c>
      <c r="BED1" t="s">
        <v>7014</v>
      </c>
      <c r="BEE1" t="s">
        <v>7015</v>
      </c>
      <c r="BEF1" t="s">
        <v>7016</v>
      </c>
      <c r="BEG1" t="s">
        <v>7017</v>
      </c>
      <c r="BEH1" t="s">
        <v>7018</v>
      </c>
      <c r="BEI1" t="s">
        <v>7019</v>
      </c>
      <c r="BEJ1" t="s">
        <v>7020</v>
      </c>
      <c r="BEK1" t="s">
        <v>7021</v>
      </c>
      <c r="BEL1" t="s">
        <v>7022</v>
      </c>
      <c r="BEM1" t="s">
        <v>7023</v>
      </c>
      <c r="BEN1" t="s">
        <v>7024</v>
      </c>
      <c r="BEO1" t="s">
        <v>7025</v>
      </c>
      <c r="BEP1" t="s">
        <v>7026</v>
      </c>
      <c r="BEQ1" t="s">
        <v>7027</v>
      </c>
      <c r="BER1" t="s">
        <v>7028</v>
      </c>
      <c r="BES1" t="s">
        <v>7029</v>
      </c>
      <c r="BET1" t="s">
        <v>7030</v>
      </c>
      <c r="BEU1" t="s">
        <v>7031</v>
      </c>
      <c r="BEV1" t="s">
        <v>7032</v>
      </c>
      <c r="BEW1" t="s">
        <v>7033</v>
      </c>
      <c r="BEX1" t="s">
        <v>7034</v>
      </c>
      <c r="BEY1" t="s">
        <v>7035</v>
      </c>
      <c r="BEZ1" t="s">
        <v>7036</v>
      </c>
      <c r="BFA1" t="s">
        <v>7037</v>
      </c>
      <c r="BFB1" t="s">
        <v>7038</v>
      </c>
      <c r="BFC1" t="s">
        <v>7039</v>
      </c>
      <c r="BFD1" t="s">
        <v>7040</v>
      </c>
      <c r="BFE1" t="s">
        <v>7041</v>
      </c>
      <c r="BFF1" t="s">
        <v>7042</v>
      </c>
      <c r="BFG1" t="s">
        <v>7043</v>
      </c>
      <c r="BFH1" t="s">
        <v>7044</v>
      </c>
      <c r="BFI1" t="s">
        <v>7045</v>
      </c>
      <c r="BFJ1" t="s">
        <v>7046</v>
      </c>
      <c r="BFK1" t="s">
        <v>7047</v>
      </c>
      <c r="BFL1" t="s">
        <v>7048</v>
      </c>
      <c r="BFM1" t="s">
        <v>7049</v>
      </c>
      <c r="BFN1" t="s">
        <v>7050</v>
      </c>
      <c r="BFO1" t="s">
        <v>7051</v>
      </c>
      <c r="BFP1" t="s">
        <v>7052</v>
      </c>
      <c r="BFQ1" t="s">
        <v>7053</v>
      </c>
      <c r="BFR1" t="s">
        <v>7054</v>
      </c>
      <c r="BFS1" t="s">
        <v>7055</v>
      </c>
      <c r="BFT1" t="s">
        <v>7056</v>
      </c>
      <c r="BFU1" t="s">
        <v>7057</v>
      </c>
      <c r="BFV1" t="s">
        <v>7058</v>
      </c>
      <c r="BFW1" t="s">
        <v>7059</v>
      </c>
      <c r="BFX1" t="s">
        <v>7060</v>
      </c>
      <c r="BFY1" t="s">
        <v>7061</v>
      </c>
      <c r="BFZ1" t="s">
        <v>7062</v>
      </c>
      <c r="BGA1" t="s">
        <v>7063</v>
      </c>
      <c r="BGB1" t="s">
        <v>7064</v>
      </c>
      <c r="BGC1" t="s">
        <v>7065</v>
      </c>
      <c r="BGD1" t="s">
        <v>7066</v>
      </c>
      <c r="BGE1" t="s">
        <v>7067</v>
      </c>
      <c r="BGF1" t="s">
        <v>7068</v>
      </c>
      <c r="BGG1" t="s">
        <v>7069</v>
      </c>
      <c r="BGH1" t="s">
        <v>7070</v>
      </c>
      <c r="BGI1" t="s">
        <v>7071</v>
      </c>
      <c r="BGJ1" t="s">
        <v>7072</v>
      </c>
      <c r="BGK1" t="s">
        <v>7073</v>
      </c>
      <c r="BGL1" t="s">
        <v>7074</v>
      </c>
      <c r="BGM1" t="s">
        <v>7075</v>
      </c>
      <c r="BGN1" t="s">
        <v>7076</v>
      </c>
      <c r="BGO1" t="s">
        <v>7077</v>
      </c>
      <c r="BGP1" t="s">
        <v>7078</v>
      </c>
      <c r="BGQ1" t="s">
        <v>7079</v>
      </c>
      <c r="BGR1" t="s">
        <v>7080</v>
      </c>
      <c r="BGS1" t="s">
        <v>7081</v>
      </c>
      <c r="BGT1" t="s">
        <v>7082</v>
      </c>
      <c r="BGU1" t="s">
        <v>7083</v>
      </c>
      <c r="BGV1" t="s">
        <v>7084</v>
      </c>
      <c r="BGW1" t="s">
        <v>7085</v>
      </c>
      <c r="BGX1" t="s">
        <v>7086</v>
      </c>
      <c r="BGY1" t="s">
        <v>7087</v>
      </c>
      <c r="BGZ1" t="s">
        <v>7088</v>
      </c>
      <c r="BHA1" t="s">
        <v>7089</v>
      </c>
      <c r="BHB1" t="s">
        <v>7090</v>
      </c>
      <c r="BHC1" t="s">
        <v>7091</v>
      </c>
      <c r="BHD1" t="s">
        <v>7092</v>
      </c>
      <c r="BHE1" t="s">
        <v>7093</v>
      </c>
      <c r="BHF1" t="s">
        <v>7094</v>
      </c>
      <c r="BHG1" t="s">
        <v>7095</v>
      </c>
      <c r="BHH1" t="s">
        <v>7096</v>
      </c>
      <c r="BHI1" t="s">
        <v>7097</v>
      </c>
      <c r="BHJ1" t="s">
        <v>7098</v>
      </c>
      <c r="BHK1" t="s">
        <v>7099</v>
      </c>
      <c r="BHL1" t="s">
        <v>7100</v>
      </c>
      <c r="BHM1" t="s">
        <v>7101</v>
      </c>
      <c r="BHN1" t="s">
        <v>7102</v>
      </c>
      <c r="BHO1" t="s">
        <v>7103</v>
      </c>
      <c r="BHP1" t="s">
        <v>7104</v>
      </c>
      <c r="BHQ1" t="s">
        <v>7105</v>
      </c>
      <c r="BHR1" t="s">
        <v>7106</v>
      </c>
      <c r="BHS1" t="s">
        <v>7107</v>
      </c>
      <c r="BHT1" t="s">
        <v>7108</v>
      </c>
      <c r="BHU1" t="s">
        <v>7109</v>
      </c>
      <c r="BHV1" t="s">
        <v>7110</v>
      </c>
      <c r="BHW1" t="s">
        <v>7111</v>
      </c>
      <c r="BHX1" t="s">
        <v>7112</v>
      </c>
      <c r="BHY1" t="s">
        <v>7113</v>
      </c>
      <c r="BHZ1" t="s">
        <v>7114</v>
      </c>
      <c r="BIA1" t="s">
        <v>7115</v>
      </c>
      <c r="BIB1" t="s">
        <v>7116</v>
      </c>
      <c r="BIC1" t="s">
        <v>7117</v>
      </c>
      <c r="BID1" t="s">
        <v>7118</v>
      </c>
      <c r="BIE1" t="s">
        <v>7119</v>
      </c>
      <c r="BIF1" t="s">
        <v>7120</v>
      </c>
      <c r="BIG1" t="s">
        <v>7121</v>
      </c>
      <c r="BIH1" t="s">
        <v>7122</v>
      </c>
      <c r="BII1" t="s">
        <v>7123</v>
      </c>
      <c r="BIJ1" t="s">
        <v>7124</v>
      </c>
      <c r="BIK1" t="s">
        <v>7125</v>
      </c>
      <c r="BIL1" t="s">
        <v>7126</v>
      </c>
      <c r="BIM1" t="s">
        <v>7127</v>
      </c>
      <c r="BIN1" t="s">
        <v>7128</v>
      </c>
      <c r="BIO1" t="s">
        <v>7129</v>
      </c>
      <c r="BIP1" t="s">
        <v>7130</v>
      </c>
      <c r="BIQ1" t="s">
        <v>7131</v>
      </c>
      <c r="BIR1" t="s">
        <v>7132</v>
      </c>
      <c r="BIS1" t="s">
        <v>7133</v>
      </c>
      <c r="BIT1" t="s">
        <v>7134</v>
      </c>
      <c r="BIU1" t="s">
        <v>7135</v>
      </c>
      <c r="BIV1" t="s">
        <v>7136</v>
      </c>
      <c r="BIW1" t="s">
        <v>7137</v>
      </c>
      <c r="BIX1" t="s">
        <v>7138</v>
      </c>
      <c r="BIY1" t="s">
        <v>7139</v>
      </c>
      <c r="BIZ1" t="s">
        <v>7140</v>
      </c>
      <c r="BJA1" t="s">
        <v>7141</v>
      </c>
      <c r="BJB1" t="s">
        <v>7142</v>
      </c>
      <c r="BJC1" t="s">
        <v>7143</v>
      </c>
      <c r="BJD1" t="s">
        <v>7144</v>
      </c>
      <c r="BJE1" t="s">
        <v>7145</v>
      </c>
      <c r="BJF1" t="s">
        <v>7146</v>
      </c>
      <c r="BJG1" t="s">
        <v>7147</v>
      </c>
      <c r="BJH1" t="s">
        <v>7148</v>
      </c>
      <c r="BJI1" t="s">
        <v>7149</v>
      </c>
      <c r="BJJ1" t="s">
        <v>7150</v>
      </c>
      <c r="BJK1" t="s">
        <v>7151</v>
      </c>
      <c r="BJL1" t="s">
        <v>7152</v>
      </c>
      <c r="BJM1" t="s">
        <v>7153</v>
      </c>
      <c r="BJN1" t="s">
        <v>7154</v>
      </c>
      <c r="BJO1" t="s">
        <v>7155</v>
      </c>
      <c r="BJP1" t="s">
        <v>7156</v>
      </c>
      <c r="BJQ1" t="s">
        <v>7157</v>
      </c>
      <c r="BJR1" t="s">
        <v>7158</v>
      </c>
      <c r="BJS1" t="s">
        <v>7159</v>
      </c>
      <c r="BJT1" t="s">
        <v>7160</v>
      </c>
      <c r="BJU1" t="s">
        <v>7161</v>
      </c>
      <c r="BJV1" t="s">
        <v>7162</v>
      </c>
      <c r="BJW1" t="s">
        <v>7163</v>
      </c>
      <c r="BJX1" t="s">
        <v>7164</v>
      </c>
      <c r="BJY1" t="s">
        <v>7165</v>
      </c>
      <c r="BJZ1" t="s">
        <v>7166</v>
      </c>
      <c r="BKA1" t="s">
        <v>7167</v>
      </c>
      <c r="BKB1" t="s">
        <v>7168</v>
      </c>
      <c r="BKC1" t="s">
        <v>7169</v>
      </c>
      <c r="BKD1" t="s">
        <v>7170</v>
      </c>
      <c r="BKE1" t="s">
        <v>7171</v>
      </c>
      <c r="BKF1" t="s">
        <v>7172</v>
      </c>
      <c r="BKG1" t="s">
        <v>7173</v>
      </c>
      <c r="BKH1" t="s">
        <v>7174</v>
      </c>
      <c r="BKI1" t="s">
        <v>7175</v>
      </c>
      <c r="BKJ1" t="s">
        <v>7176</v>
      </c>
      <c r="BKK1" t="s">
        <v>7177</v>
      </c>
      <c r="BKL1" t="s">
        <v>7178</v>
      </c>
      <c r="BKM1" t="s">
        <v>7179</v>
      </c>
      <c r="BKN1" t="s">
        <v>7180</v>
      </c>
      <c r="BKO1" t="s">
        <v>7181</v>
      </c>
      <c r="BKP1" t="s">
        <v>7182</v>
      </c>
      <c r="BKQ1" t="s">
        <v>7183</v>
      </c>
      <c r="BKR1" t="s">
        <v>7184</v>
      </c>
      <c r="BKS1" t="s">
        <v>7185</v>
      </c>
      <c r="BKT1" t="s">
        <v>7186</v>
      </c>
      <c r="BKU1" t="s">
        <v>7187</v>
      </c>
      <c r="BKV1" t="s">
        <v>7188</v>
      </c>
      <c r="BKW1" t="s">
        <v>7189</v>
      </c>
      <c r="BKX1" t="s">
        <v>7190</v>
      </c>
      <c r="BKY1" t="s">
        <v>7191</v>
      </c>
      <c r="BKZ1" t="s">
        <v>7192</v>
      </c>
      <c r="BLA1" t="s">
        <v>7193</v>
      </c>
      <c r="BLB1" t="s">
        <v>7194</v>
      </c>
      <c r="BLC1" t="s">
        <v>7195</v>
      </c>
      <c r="BLD1" t="s">
        <v>7196</v>
      </c>
      <c r="BLE1" t="s">
        <v>7197</v>
      </c>
      <c r="BLF1" t="s">
        <v>7198</v>
      </c>
      <c r="BLG1" t="s">
        <v>7199</v>
      </c>
      <c r="BLH1" t="s">
        <v>7200</v>
      </c>
      <c r="BLI1" t="s">
        <v>7201</v>
      </c>
      <c r="BLJ1" t="s">
        <v>7202</v>
      </c>
      <c r="BLK1" t="s">
        <v>7203</v>
      </c>
      <c r="BLL1" t="s">
        <v>7204</v>
      </c>
      <c r="BLM1" t="s">
        <v>7205</v>
      </c>
      <c r="BLN1" t="s">
        <v>7206</v>
      </c>
      <c r="BLO1" t="s">
        <v>7207</v>
      </c>
      <c r="BLP1" t="s">
        <v>7208</v>
      </c>
      <c r="BLQ1" t="s">
        <v>7209</v>
      </c>
      <c r="BLR1" t="s">
        <v>7210</v>
      </c>
      <c r="BLS1" t="s">
        <v>7211</v>
      </c>
      <c r="BLT1" t="s">
        <v>7212</v>
      </c>
      <c r="BLU1" t="s">
        <v>7213</v>
      </c>
      <c r="BLV1" t="s">
        <v>7214</v>
      </c>
      <c r="BLW1" t="s">
        <v>7215</v>
      </c>
      <c r="BLX1" t="s">
        <v>7216</v>
      </c>
      <c r="BLY1" t="s">
        <v>7217</v>
      </c>
      <c r="BLZ1" t="s">
        <v>7218</v>
      </c>
      <c r="BMA1" t="s">
        <v>7219</v>
      </c>
      <c r="BMB1" t="s">
        <v>7220</v>
      </c>
      <c r="BMC1" t="s">
        <v>7221</v>
      </c>
      <c r="BMD1" t="s">
        <v>7222</v>
      </c>
      <c r="BME1" t="s">
        <v>7223</v>
      </c>
      <c r="BMF1" t="s">
        <v>7224</v>
      </c>
      <c r="BMG1" t="s">
        <v>7225</v>
      </c>
      <c r="BMH1" t="s">
        <v>7226</v>
      </c>
      <c r="BMI1" t="s">
        <v>7227</v>
      </c>
      <c r="BMJ1" t="s">
        <v>7228</v>
      </c>
      <c r="BMK1" t="s">
        <v>7229</v>
      </c>
      <c r="BML1" t="s">
        <v>7230</v>
      </c>
      <c r="BMM1" t="s">
        <v>7231</v>
      </c>
      <c r="BMN1" t="s">
        <v>7232</v>
      </c>
      <c r="BMO1" t="s">
        <v>7233</v>
      </c>
      <c r="BMP1" t="s">
        <v>7234</v>
      </c>
      <c r="BMQ1" t="s">
        <v>7235</v>
      </c>
      <c r="BMR1" t="s">
        <v>7236</v>
      </c>
      <c r="BMS1" t="s">
        <v>7237</v>
      </c>
      <c r="BMT1" t="s">
        <v>7238</v>
      </c>
      <c r="BMU1" t="s">
        <v>7239</v>
      </c>
      <c r="BMV1" t="s">
        <v>7240</v>
      </c>
      <c r="BMW1" t="s">
        <v>7241</v>
      </c>
      <c r="BMX1" t="s">
        <v>7242</v>
      </c>
      <c r="BMY1" t="s">
        <v>7243</v>
      </c>
      <c r="BMZ1" t="s">
        <v>7244</v>
      </c>
      <c r="BNA1" t="s">
        <v>7245</v>
      </c>
      <c r="BNB1" t="s">
        <v>7246</v>
      </c>
      <c r="BNC1" t="s">
        <v>7247</v>
      </c>
      <c r="BND1" t="s">
        <v>7248</v>
      </c>
      <c r="BNE1" t="s">
        <v>7249</v>
      </c>
      <c r="BNF1" t="s">
        <v>7250</v>
      </c>
      <c r="BNG1" t="s">
        <v>7251</v>
      </c>
      <c r="BNH1" t="s">
        <v>7252</v>
      </c>
      <c r="BNI1" t="s">
        <v>7253</v>
      </c>
      <c r="BNJ1" t="s">
        <v>7254</v>
      </c>
      <c r="BNK1" t="s">
        <v>7255</v>
      </c>
      <c r="BNL1" t="s">
        <v>7256</v>
      </c>
      <c r="BNM1" t="s">
        <v>7257</v>
      </c>
      <c r="BNN1" t="s">
        <v>7258</v>
      </c>
      <c r="BNO1" t="s">
        <v>7259</v>
      </c>
      <c r="BNP1" t="s">
        <v>7260</v>
      </c>
      <c r="BNQ1" t="s">
        <v>7261</v>
      </c>
      <c r="BNR1" t="s">
        <v>7262</v>
      </c>
      <c r="BNS1" t="s">
        <v>7263</v>
      </c>
      <c r="BNT1" t="s">
        <v>7264</v>
      </c>
      <c r="BNU1" t="s">
        <v>7265</v>
      </c>
      <c r="BNV1" t="s">
        <v>7266</v>
      </c>
      <c r="BNW1" t="s">
        <v>7267</v>
      </c>
      <c r="BNX1" t="s">
        <v>7268</v>
      </c>
      <c r="BNY1" t="s">
        <v>7269</v>
      </c>
      <c r="BNZ1" t="s">
        <v>7270</v>
      </c>
      <c r="BOA1" t="s">
        <v>7271</v>
      </c>
      <c r="BOB1" t="s">
        <v>7272</v>
      </c>
      <c r="BOC1" t="s">
        <v>7273</v>
      </c>
      <c r="BOD1" t="s">
        <v>7274</v>
      </c>
      <c r="BOE1" t="s">
        <v>7275</v>
      </c>
      <c r="BOF1" t="s">
        <v>7276</v>
      </c>
      <c r="BOG1" t="s">
        <v>7277</v>
      </c>
      <c r="BOH1" t="s">
        <v>7278</v>
      </c>
      <c r="BOI1" t="s">
        <v>7279</v>
      </c>
      <c r="BOJ1" t="s">
        <v>7280</v>
      </c>
      <c r="BOK1" t="s">
        <v>7281</v>
      </c>
      <c r="BOL1" t="s">
        <v>7282</v>
      </c>
      <c r="BOM1" t="s">
        <v>7283</v>
      </c>
      <c r="BON1" t="s">
        <v>7284</v>
      </c>
      <c r="BOO1" t="s">
        <v>7285</v>
      </c>
      <c r="BOP1" t="s">
        <v>7286</v>
      </c>
      <c r="BOQ1" t="s">
        <v>7287</v>
      </c>
      <c r="BOR1" t="s">
        <v>7288</v>
      </c>
      <c r="BOS1" t="s">
        <v>7289</v>
      </c>
      <c r="BOT1" t="s">
        <v>7290</v>
      </c>
      <c r="BOU1" t="s">
        <v>7291</v>
      </c>
      <c r="BOV1" t="s">
        <v>7292</v>
      </c>
      <c r="BOW1" t="s">
        <v>7293</v>
      </c>
      <c r="BOX1" t="s">
        <v>7294</v>
      </c>
      <c r="BOY1" t="s">
        <v>7295</v>
      </c>
      <c r="BOZ1" t="s">
        <v>7296</v>
      </c>
      <c r="BPA1" t="s">
        <v>7297</v>
      </c>
      <c r="BPB1" t="s">
        <v>7298</v>
      </c>
      <c r="BPC1" t="s">
        <v>7299</v>
      </c>
      <c r="BPD1" t="s">
        <v>7300</v>
      </c>
      <c r="BPE1" t="s">
        <v>7301</v>
      </c>
      <c r="BPF1" t="s">
        <v>7302</v>
      </c>
      <c r="BPG1" t="s">
        <v>7303</v>
      </c>
      <c r="BPH1" t="s">
        <v>7304</v>
      </c>
      <c r="BPI1" t="s">
        <v>7305</v>
      </c>
      <c r="BPJ1" t="s">
        <v>7306</v>
      </c>
      <c r="BPK1" t="s">
        <v>7307</v>
      </c>
      <c r="BPL1" t="s">
        <v>7308</v>
      </c>
      <c r="BPM1" t="s">
        <v>7309</v>
      </c>
      <c r="BPN1" t="s">
        <v>7310</v>
      </c>
      <c r="BPO1" t="s">
        <v>7311</v>
      </c>
      <c r="BPP1" t="s">
        <v>7312</v>
      </c>
      <c r="BPQ1" t="s">
        <v>7313</v>
      </c>
      <c r="BPR1" t="s">
        <v>7314</v>
      </c>
      <c r="BPS1" t="s">
        <v>7315</v>
      </c>
      <c r="BPT1" t="s">
        <v>7316</v>
      </c>
      <c r="BPU1" t="s">
        <v>7317</v>
      </c>
      <c r="BPV1" t="s">
        <v>7318</v>
      </c>
      <c r="BPW1" t="s">
        <v>7319</v>
      </c>
      <c r="BPX1" t="s">
        <v>7320</v>
      </c>
      <c r="BPY1" t="s">
        <v>7321</v>
      </c>
      <c r="BPZ1" t="s">
        <v>7322</v>
      </c>
      <c r="BQA1" t="s">
        <v>7323</v>
      </c>
      <c r="BQB1" t="s">
        <v>7324</v>
      </c>
      <c r="BQC1" t="s">
        <v>7325</v>
      </c>
      <c r="BQD1" t="s">
        <v>7326</v>
      </c>
      <c r="BQE1" t="s">
        <v>7327</v>
      </c>
      <c r="BQF1" t="s">
        <v>7328</v>
      </c>
      <c r="BQG1" t="s">
        <v>7329</v>
      </c>
      <c r="BQH1" t="s">
        <v>7330</v>
      </c>
      <c r="BQI1" t="s">
        <v>7331</v>
      </c>
      <c r="BQJ1" t="s">
        <v>7332</v>
      </c>
      <c r="BQK1" t="s">
        <v>7333</v>
      </c>
      <c r="BQL1" t="s">
        <v>7334</v>
      </c>
      <c r="BQM1" t="s">
        <v>7335</v>
      </c>
      <c r="BQN1" t="s">
        <v>7336</v>
      </c>
      <c r="BQO1" t="s">
        <v>7337</v>
      </c>
      <c r="BQP1" t="s">
        <v>7338</v>
      </c>
      <c r="BQQ1" t="s">
        <v>7339</v>
      </c>
      <c r="BQR1" t="s">
        <v>7340</v>
      </c>
      <c r="BQS1" t="s">
        <v>7341</v>
      </c>
      <c r="BQT1" t="s">
        <v>7342</v>
      </c>
      <c r="BQU1" t="s">
        <v>7343</v>
      </c>
      <c r="BQV1" t="s">
        <v>7344</v>
      </c>
      <c r="BQW1" t="s">
        <v>7345</v>
      </c>
      <c r="BQX1" t="s">
        <v>7346</v>
      </c>
      <c r="BQY1" t="s">
        <v>7347</v>
      </c>
      <c r="BQZ1" t="s">
        <v>7348</v>
      </c>
      <c r="BRA1" t="s">
        <v>7349</v>
      </c>
      <c r="BRB1" t="s">
        <v>7350</v>
      </c>
      <c r="BRC1" t="s">
        <v>7351</v>
      </c>
      <c r="BRD1" t="s">
        <v>7352</v>
      </c>
      <c r="BRE1" t="s">
        <v>7353</v>
      </c>
      <c r="BRF1" t="s">
        <v>7354</v>
      </c>
      <c r="BRG1" t="s">
        <v>7355</v>
      </c>
      <c r="BRH1" t="s">
        <v>7356</v>
      </c>
      <c r="BRI1" t="s">
        <v>7357</v>
      </c>
      <c r="BRJ1" t="s">
        <v>7358</v>
      </c>
      <c r="BRK1" t="s">
        <v>7359</v>
      </c>
      <c r="BRL1" t="s">
        <v>7360</v>
      </c>
      <c r="BRM1" t="s">
        <v>7361</v>
      </c>
      <c r="BRN1" t="s">
        <v>7362</v>
      </c>
      <c r="BRO1" t="s">
        <v>7363</v>
      </c>
      <c r="BRP1" t="s">
        <v>7364</v>
      </c>
      <c r="BRQ1" t="s">
        <v>7365</v>
      </c>
      <c r="BRR1" t="s">
        <v>7366</v>
      </c>
      <c r="BRS1" t="s">
        <v>7367</v>
      </c>
      <c r="BRT1" t="s">
        <v>7368</v>
      </c>
      <c r="BRU1" t="s">
        <v>7369</v>
      </c>
      <c r="BRV1" t="s">
        <v>7370</v>
      </c>
      <c r="BRW1" t="s">
        <v>7371</v>
      </c>
      <c r="BRX1" t="s">
        <v>7372</v>
      </c>
      <c r="BRY1" t="s">
        <v>7373</v>
      </c>
      <c r="BRZ1" t="s">
        <v>7374</v>
      </c>
      <c r="BSA1" t="s">
        <v>7375</v>
      </c>
      <c r="BSB1" t="s">
        <v>7376</v>
      </c>
      <c r="BSC1" t="s">
        <v>7377</v>
      </c>
      <c r="BSD1" t="s">
        <v>7378</v>
      </c>
      <c r="BSE1" t="s">
        <v>7379</v>
      </c>
      <c r="BSF1" t="s">
        <v>7380</v>
      </c>
      <c r="BSG1" t="s">
        <v>7381</v>
      </c>
      <c r="BSH1" t="s">
        <v>7382</v>
      </c>
      <c r="BSI1" t="s">
        <v>7383</v>
      </c>
      <c r="BSJ1" t="s">
        <v>7384</v>
      </c>
      <c r="BSK1" t="s">
        <v>7385</v>
      </c>
      <c r="BSL1" t="s">
        <v>7386</v>
      </c>
      <c r="BSM1" t="s">
        <v>7387</v>
      </c>
      <c r="BSN1" t="s">
        <v>7388</v>
      </c>
      <c r="BSO1" t="s">
        <v>7389</v>
      </c>
      <c r="BSP1" t="s">
        <v>7390</v>
      </c>
      <c r="BSQ1" t="s">
        <v>7391</v>
      </c>
      <c r="BSR1" t="s">
        <v>7392</v>
      </c>
      <c r="BSS1" t="s">
        <v>7393</v>
      </c>
      <c r="BST1" t="s">
        <v>7394</v>
      </c>
      <c r="BSU1" t="s">
        <v>7395</v>
      </c>
      <c r="BSV1" t="s">
        <v>7396</v>
      </c>
      <c r="BSW1" t="s">
        <v>7397</v>
      </c>
      <c r="BSX1" t="s">
        <v>7398</v>
      </c>
      <c r="BSY1" t="s">
        <v>7399</v>
      </c>
      <c r="BSZ1" t="s">
        <v>7400</v>
      </c>
      <c r="BTA1" t="s">
        <v>7401</v>
      </c>
      <c r="BTB1" t="s">
        <v>7402</v>
      </c>
      <c r="BTC1" t="s">
        <v>7403</v>
      </c>
      <c r="BTD1" t="s">
        <v>7404</v>
      </c>
      <c r="BTE1" t="s">
        <v>7405</v>
      </c>
      <c r="BTF1" t="s">
        <v>7406</v>
      </c>
      <c r="BTG1" t="s">
        <v>7407</v>
      </c>
      <c r="BTH1" t="s">
        <v>7408</v>
      </c>
      <c r="BTI1" t="s">
        <v>7409</v>
      </c>
      <c r="BTJ1" t="s">
        <v>7410</v>
      </c>
      <c r="BTK1" t="s">
        <v>7411</v>
      </c>
      <c r="BTL1" t="s">
        <v>7412</v>
      </c>
      <c r="BTM1" t="s">
        <v>7413</v>
      </c>
      <c r="BTN1" t="s">
        <v>7414</v>
      </c>
      <c r="BTO1" t="s">
        <v>7415</v>
      </c>
      <c r="BTP1" t="s">
        <v>7416</v>
      </c>
      <c r="BTQ1" t="s">
        <v>7417</v>
      </c>
      <c r="BTR1" t="s">
        <v>7418</v>
      </c>
      <c r="BTS1" t="s">
        <v>7419</v>
      </c>
      <c r="BTT1" t="s">
        <v>7420</v>
      </c>
      <c r="BTU1" t="s">
        <v>7421</v>
      </c>
      <c r="BTV1" t="s">
        <v>7422</v>
      </c>
      <c r="BTW1" t="s">
        <v>7423</v>
      </c>
      <c r="BTX1" t="s">
        <v>7424</v>
      </c>
      <c r="BTY1" t="s">
        <v>7425</v>
      </c>
      <c r="BTZ1" t="s">
        <v>7426</v>
      </c>
      <c r="BUA1" t="s">
        <v>7427</v>
      </c>
      <c r="BUB1" t="s">
        <v>7428</v>
      </c>
      <c r="BUC1" t="s">
        <v>7429</v>
      </c>
      <c r="BUD1" t="s">
        <v>7430</v>
      </c>
      <c r="BUE1" t="s">
        <v>7431</v>
      </c>
      <c r="BUF1" t="s">
        <v>7432</v>
      </c>
      <c r="BUG1" t="s">
        <v>7433</v>
      </c>
      <c r="BUH1" t="s">
        <v>7434</v>
      </c>
      <c r="BUI1" t="s">
        <v>7435</v>
      </c>
      <c r="BUJ1" t="s">
        <v>7436</v>
      </c>
      <c r="BUK1" t="s">
        <v>7437</v>
      </c>
      <c r="BUL1" t="s">
        <v>7438</v>
      </c>
      <c r="BUM1" t="s">
        <v>7439</v>
      </c>
      <c r="BUN1" t="s">
        <v>7440</v>
      </c>
      <c r="BUO1" t="s">
        <v>7441</v>
      </c>
      <c r="BUP1" t="s">
        <v>7442</v>
      </c>
      <c r="BUQ1" t="s">
        <v>7443</v>
      </c>
      <c r="BUR1" t="s">
        <v>7444</v>
      </c>
      <c r="BUS1" t="s">
        <v>7445</v>
      </c>
      <c r="BUT1" t="s">
        <v>7446</v>
      </c>
      <c r="BUU1" t="s">
        <v>7447</v>
      </c>
      <c r="BUV1" t="s">
        <v>7448</v>
      </c>
      <c r="BUW1" t="s">
        <v>7449</v>
      </c>
      <c r="BUX1" t="s">
        <v>7450</v>
      </c>
      <c r="BUY1" t="s">
        <v>7451</v>
      </c>
      <c r="BUZ1" t="s">
        <v>7452</v>
      </c>
      <c r="BVA1" t="s">
        <v>7453</v>
      </c>
      <c r="BVB1" t="s">
        <v>7454</v>
      </c>
      <c r="BVC1" t="s">
        <v>7455</v>
      </c>
      <c r="BVD1" t="s">
        <v>7456</v>
      </c>
      <c r="BVE1" t="s">
        <v>7457</v>
      </c>
      <c r="BVF1" t="s">
        <v>7458</v>
      </c>
      <c r="BVG1" t="s">
        <v>7459</v>
      </c>
      <c r="BVH1" t="s">
        <v>7460</v>
      </c>
      <c r="BVI1" t="s">
        <v>7461</v>
      </c>
      <c r="BVJ1" t="s">
        <v>7462</v>
      </c>
      <c r="BVK1" t="s">
        <v>7463</v>
      </c>
      <c r="BVL1" t="s">
        <v>7464</v>
      </c>
      <c r="BVM1" t="s">
        <v>7465</v>
      </c>
      <c r="BVN1" t="s">
        <v>7466</v>
      </c>
      <c r="BVO1" t="s">
        <v>7467</v>
      </c>
      <c r="BVP1" t="s">
        <v>7468</v>
      </c>
      <c r="BVQ1" t="s">
        <v>7469</v>
      </c>
      <c r="BVR1" t="s">
        <v>7470</v>
      </c>
      <c r="BVS1" t="s">
        <v>7471</v>
      </c>
      <c r="BVT1" t="s">
        <v>7472</v>
      </c>
      <c r="BVU1" t="s">
        <v>7473</v>
      </c>
      <c r="BVV1" t="s">
        <v>7474</v>
      </c>
      <c r="BVW1" t="s">
        <v>7475</v>
      </c>
      <c r="BVX1" t="s">
        <v>7476</v>
      </c>
      <c r="BVY1" t="s">
        <v>7477</v>
      </c>
      <c r="BVZ1" t="s">
        <v>7478</v>
      </c>
      <c r="BWA1" t="s">
        <v>7479</v>
      </c>
      <c r="BWB1" t="s">
        <v>7480</v>
      </c>
      <c r="BWC1" t="s">
        <v>7481</v>
      </c>
      <c r="BWD1" t="s">
        <v>7482</v>
      </c>
      <c r="BWE1" t="s">
        <v>7483</v>
      </c>
      <c r="BWF1" t="s">
        <v>7484</v>
      </c>
      <c r="BWG1" t="s">
        <v>7485</v>
      </c>
      <c r="BWH1" t="s">
        <v>7486</v>
      </c>
      <c r="BWI1" t="s">
        <v>7487</v>
      </c>
      <c r="BWJ1" t="s">
        <v>7488</v>
      </c>
      <c r="BWK1" t="s">
        <v>7489</v>
      </c>
      <c r="BWL1" t="s">
        <v>7490</v>
      </c>
      <c r="BWM1" t="s">
        <v>7491</v>
      </c>
      <c r="BWN1" t="s">
        <v>7492</v>
      </c>
      <c r="BWO1" t="s">
        <v>7493</v>
      </c>
      <c r="BWP1" t="s">
        <v>7494</v>
      </c>
      <c r="BWQ1" t="s">
        <v>7495</v>
      </c>
      <c r="BWR1" t="s">
        <v>7496</v>
      </c>
      <c r="BWS1" t="s">
        <v>7497</v>
      </c>
      <c r="BWT1" t="s">
        <v>7498</v>
      </c>
      <c r="BWU1" t="s">
        <v>7499</v>
      </c>
      <c r="BWV1" t="s">
        <v>7500</v>
      </c>
      <c r="BWW1" t="s">
        <v>7501</v>
      </c>
      <c r="BWX1" t="s">
        <v>7502</v>
      </c>
      <c r="BWY1" t="s">
        <v>7503</v>
      </c>
      <c r="BWZ1" t="s">
        <v>7504</v>
      </c>
      <c r="BXA1" t="s">
        <v>7505</v>
      </c>
      <c r="BXB1" t="s">
        <v>7506</v>
      </c>
      <c r="BXC1" t="s">
        <v>7507</v>
      </c>
      <c r="BXD1" t="s">
        <v>7508</v>
      </c>
      <c r="BXE1" t="s">
        <v>7509</v>
      </c>
      <c r="BXF1" t="s">
        <v>7510</v>
      </c>
      <c r="BXG1" t="s">
        <v>7511</v>
      </c>
      <c r="BXH1" t="s">
        <v>7512</v>
      </c>
      <c r="BXI1" t="s">
        <v>7513</v>
      </c>
      <c r="BXJ1" t="s">
        <v>7514</v>
      </c>
      <c r="BXK1" t="s">
        <v>7515</v>
      </c>
      <c r="BXL1" t="s">
        <v>7516</v>
      </c>
      <c r="BXM1" t="s">
        <v>7517</v>
      </c>
      <c r="BXN1" t="s">
        <v>7518</v>
      </c>
      <c r="BXO1" t="s">
        <v>7519</v>
      </c>
      <c r="BXP1" t="s">
        <v>7520</v>
      </c>
      <c r="BXQ1" t="s">
        <v>7521</v>
      </c>
      <c r="BXR1" t="s">
        <v>7522</v>
      </c>
      <c r="BXS1" t="s">
        <v>7523</v>
      </c>
      <c r="BXT1" t="s">
        <v>7524</v>
      </c>
      <c r="BXU1" t="s">
        <v>7525</v>
      </c>
      <c r="BXV1" t="s">
        <v>7526</v>
      </c>
      <c r="BXW1" t="s">
        <v>7527</v>
      </c>
      <c r="BXX1" t="s">
        <v>7528</v>
      </c>
      <c r="BXY1" t="s">
        <v>7529</v>
      </c>
      <c r="BXZ1" t="s">
        <v>7530</v>
      </c>
      <c r="BYA1" t="s">
        <v>7531</v>
      </c>
      <c r="BYB1" t="s">
        <v>7532</v>
      </c>
      <c r="BYC1" t="s">
        <v>7533</v>
      </c>
      <c r="BYD1" t="s">
        <v>7534</v>
      </c>
      <c r="BYE1" t="s">
        <v>7535</v>
      </c>
      <c r="BYF1" t="s">
        <v>7536</v>
      </c>
      <c r="BYG1" t="s">
        <v>7537</v>
      </c>
      <c r="BYH1" t="s">
        <v>7538</v>
      </c>
      <c r="BYI1" t="s">
        <v>7539</v>
      </c>
      <c r="BYJ1" t="s">
        <v>7540</v>
      </c>
      <c r="BYK1" t="s">
        <v>7541</v>
      </c>
      <c r="BYL1" t="s">
        <v>7542</v>
      </c>
      <c r="BYM1" t="s">
        <v>7543</v>
      </c>
      <c r="BYN1" t="s">
        <v>7544</v>
      </c>
      <c r="BYO1" t="s">
        <v>7545</v>
      </c>
      <c r="BYP1" t="s">
        <v>7546</v>
      </c>
      <c r="BYQ1" t="s">
        <v>7547</v>
      </c>
      <c r="BYR1" t="s">
        <v>7548</v>
      </c>
      <c r="BYS1" t="s">
        <v>7549</v>
      </c>
      <c r="BYT1" t="s">
        <v>7550</v>
      </c>
      <c r="BYU1" t="s">
        <v>7551</v>
      </c>
      <c r="BYV1" t="s">
        <v>7552</v>
      </c>
      <c r="BYW1" t="s">
        <v>7553</v>
      </c>
      <c r="BYX1" t="s">
        <v>7554</v>
      </c>
      <c r="BYY1" t="s">
        <v>7555</v>
      </c>
      <c r="BYZ1" t="s">
        <v>7556</v>
      </c>
      <c r="BZA1" t="s">
        <v>7557</v>
      </c>
      <c r="BZB1" t="s">
        <v>7558</v>
      </c>
      <c r="BZC1" t="s">
        <v>7559</v>
      </c>
      <c r="BZD1" t="s">
        <v>7560</v>
      </c>
      <c r="BZE1" t="s">
        <v>7561</v>
      </c>
      <c r="BZF1" t="s">
        <v>7562</v>
      </c>
      <c r="BZG1" t="s">
        <v>7563</v>
      </c>
      <c r="BZH1" t="s">
        <v>7564</v>
      </c>
      <c r="BZI1" t="s">
        <v>7565</v>
      </c>
      <c r="BZJ1" t="s">
        <v>7566</v>
      </c>
      <c r="BZK1" t="s">
        <v>7567</v>
      </c>
      <c r="BZL1" t="s">
        <v>7568</v>
      </c>
      <c r="BZM1" t="s">
        <v>7569</v>
      </c>
      <c r="BZN1" t="s">
        <v>7570</v>
      </c>
      <c r="BZO1" t="s">
        <v>7571</v>
      </c>
      <c r="BZP1" t="s">
        <v>7572</v>
      </c>
      <c r="BZQ1" t="s">
        <v>7573</v>
      </c>
      <c r="BZR1" t="s">
        <v>7574</v>
      </c>
      <c r="BZS1" t="s">
        <v>7575</v>
      </c>
      <c r="BZT1" t="s">
        <v>7576</v>
      </c>
      <c r="BZU1" t="s">
        <v>7577</v>
      </c>
      <c r="BZV1" t="s">
        <v>7578</v>
      </c>
      <c r="BZW1" t="s">
        <v>7579</v>
      </c>
      <c r="BZX1" t="s">
        <v>7580</v>
      </c>
      <c r="BZY1" t="s">
        <v>7581</v>
      </c>
      <c r="BZZ1" t="s">
        <v>7582</v>
      </c>
      <c r="CAA1" t="s">
        <v>7583</v>
      </c>
      <c r="CAB1" t="s">
        <v>7584</v>
      </c>
      <c r="CAC1" t="s">
        <v>7585</v>
      </c>
      <c r="CAD1" t="s">
        <v>7586</v>
      </c>
      <c r="CAE1" t="s">
        <v>7587</v>
      </c>
      <c r="CAF1" t="s">
        <v>7588</v>
      </c>
      <c r="CAG1" t="s">
        <v>7589</v>
      </c>
      <c r="CAH1" t="s">
        <v>7590</v>
      </c>
      <c r="CAI1" t="s">
        <v>7591</v>
      </c>
      <c r="CAJ1" t="s">
        <v>7592</v>
      </c>
      <c r="CAK1" t="s">
        <v>7593</v>
      </c>
      <c r="CAL1" t="s">
        <v>7594</v>
      </c>
      <c r="CAM1" t="s">
        <v>7595</v>
      </c>
      <c r="CAN1" t="s">
        <v>7596</v>
      </c>
      <c r="CAO1" t="s">
        <v>7597</v>
      </c>
      <c r="CAP1" t="s">
        <v>7598</v>
      </c>
      <c r="CAQ1" t="s">
        <v>7599</v>
      </c>
      <c r="CAR1" t="s">
        <v>7600</v>
      </c>
      <c r="CAS1" t="s">
        <v>7601</v>
      </c>
      <c r="CAT1" t="s">
        <v>7602</v>
      </c>
      <c r="CAU1" t="s">
        <v>7603</v>
      </c>
      <c r="CAV1" t="s">
        <v>7604</v>
      </c>
      <c r="CAW1" t="s">
        <v>7605</v>
      </c>
      <c r="CAX1" t="s">
        <v>7606</v>
      </c>
      <c r="CAY1" t="s">
        <v>7607</v>
      </c>
      <c r="CAZ1" t="s">
        <v>7608</v>
      </c>
      <c r="CBA1" t="s">
        <v>7609</v>
      </c>
      <c r="CBB1" t="s">
        <v>7610</v>
      </c>
      <c r="CBC1" t="s">
        <v>7611</v>
      </c>
      <c r="CBD1" t="s">
        <v>7612</v>
      </c>
      <c r="CBE1" t="s">
        <v>7613</v>
      </c>
      <c r="CBF1" t="s">
        <v>7614</v>
      </c>
      <c r="CBG1" t="s">
        <v>7615</v>
      </c>
      <c r="CBH1" t="s">
        <v>7616</v>
      </c>
      <c r="CBI1" t="s">
        <v>7617</v>
      </c>
      <c r="CBJ1" t="s">
        <v>7618</v>
      </c>
      <c r="CBK1" t="s">
        <v>7619</v>
      </c>
      <c r="CBL1" t="s">
        <v>7620</v>
      </c>
      <c r="CBM1" t="s">
        <v>7621</v>
      </c>
      <c r="CBN1" t="s">
        <v>7622</v>
      </c>
      <c r="CBO1" t="s">
        <v>7623</v>
      </c>
      <c r="CBP1" t="s">
        <v>7624</v>
      </c>
      <c r="CBQ1" t="s">
        <v>7625</v>
      </c>
      <c r="CBR1" t="s">
        <v>7626</v>
      </c>
      <c r="CBS1" t="s">
        <v>7627</v>
      </c>
      <c r="CBT1" t="s">
        <v>7628</v>
      </c>
      <c r="CBU1" t="s">
        <v>7629</v>
      </c>
      <c r="CBV1" t="s">
        <v>7630</v>
      </c>
      <c r="CBW1" t="s">
        <v>7631</v>
      </c>
      <c r="CBX1" t="s">
        <v>7632</v>
      </c>
      <c r="CBY1" t="s">
        <v>7633</v>
      </c>
      <c r="CBZ1" t="s">
        <v>7634</v>
      </c>
      <c r="CCA1" t="s">
        <v>7635</v>
      </c>
      <c r="CCB1" t="s">
        <v>7636</v>
      </c>
      <c r="CCC1" t="s">
        <v>7637</v>
      </c>
      <c r="CCD1" t="s">
        <v>7638</v>
      </c>
      <c r="CCE1" t="s">
        <v>7639</v>
      </c>
      <c r="CCF1" t="s">
        <v>7640</v>
      </c>
      <c r="CCG1" t="s">
        <v>7641</v>
      </c>
      <c r="CCH1" t="s">
        <v>7642</v>
      </c>
      <c r="CCI1" t="s">
        <v>7643</v>
      </c>
      <c r="CCJ1" t="s">
        <v>7644</v>
      </c>
      <c r="CCK1" t="s">
        <v>7645</v>
      </c>
      <c r="CCL1" t="s">
        <v>7646</v>
      </c>
      <c r="CCM1" t="s">
        <v>7647</v>
      </c>
      <c r="CCN1" t="s">
        <v>7648</v>
      </c>
      <c r="CCO1" t="s">
        <v>7649</v>
      </c>
      <c r="CCP1" t="s">
        <v>7650</v>
      </c>
      <c r="CCQ1" t="s">
        <v>7651</v>
      </c>
      <c r="CCR1" t="s">
        <v>7652</v>
      </c>
      <c r="CCS1" t="s">
        <v>7653</v>
      </c>
      <c r="CCT1" t="s">
        <v>7654</v>
      </c>
      <c r="CCU1" t="s">
        <v>7655</v>
      </c>
      <c r="CCV1" t="s">
        <v>7656</v>
      </c>
      <c r="CCW1" t="s">
        <v>7657</v>
      </c>
      <c r="CCX1" t="s">
        <v>7658</v>
      </c>
      <c r="CCY1" t="s">
        <v>7659</v>
      </c>
      <c r="CCZ1" t="s">
        <v>7660</v>
      </c>
      <c r="CDA1" t="s">
        <v>7661</v>
      </c>
      <c r="CDB1" t="s">
        <v>7662</v>
      </c>
      <c r="CDC1" t="s">
        <v>7663</v>
      </c>
      <c r="CDD1" t="s">
        <v>7664</v>
      </c>
      <c r="CDE1" t="s">
        <v>7665</v>
      </c>
      <c r="CDF1" t="s">
        <v>7666</v>
      </c>
      <c r="CDG1" t="s">
        <v>7667</v>
      </c>
      <c r="CDH1" t="s">
        <v>7668</v>
      </c>
      <c r="CDI1" t="s">
        <v>7669</v>
      </c>
      <c r="CDJ1" t="s">
        <v>7670</v>
      </c>
      <c r="CDK1" t="s">
        <v>7671</v>
      </c>
      <c r="CDL1" t="s">
        <v>7672</v>
      </c>
      <c r="CDM1" t="s">
        <v>7673</v>
      </c>
      <c r="CDN1" t="s">
        <v>7674</v>
      </c>
      <c r="CDO1" t="s">
        <v>7675</v>
      </c>
      <c r="CDP1" t="s">
        <v>7676</v>
      </c>
      <c r="CDQ1" t="s">
        <v>7677</v>
      </c>
      <c r="CDR1" t="s">
        <v>7678</v>
      </c>
      <c r="CDS1" t="s">
        <v>7679</v>
      </c>
      <c r="CDT1" t="s">
        <v>7680</v>
      </c>
      <c r="CDU1" t="s">
        <v>7681</v>
      </c>
      <c r="CDV1" t="s">
        <v>7682</v>
      </c>
      <c r="CDW1" t="s">
        <v>7683</v>
      </c>
      <c r="CDX1" t="s">
        <v>7684</v>
      </c>
      <c r="CDY1" t="s">
        <v>7685</v>
      </c>
      <c r="CDZ1" t="s">
        <v>7686</v>
      </c>
      <c r="CEA1" t="s">
        <v>7687</v>
      </c>
      <c r="CEB1" t="s">
        <v>7688</v>
      </c>
      <c r="CEC1" t="s">
        <v>7689</v>
      </c>
      <c r="CED1" t="s">
        <v>7690</v>
      </c>
      <c r="CEE1" t="s">
        <v>7691</v>
      </c>
      <c r="CEF1" t="s">
        <v>7692</v>
      </c>
      <c r="CEG1" t="s">
        <v>7693</v>
      </c>
      <c r="CEH1" t="s">
        <v>7694</v>
      </c>
      <c r="CEI1" t="s">
        <v>7695</v>
      </c>
      <c r="CEJ1" t="s">
        <v>7696</v>
      </c>
      <c r="CEK1" t="s">
        <v>7697</v>
      </c>
      <c r="CEL1" t="s">
        <v>7698</v>
      </c>
      <c r="CEM1" t="s">
        <v>7699</v>
      </c>
      <c r="CEN1" t="s">
        <v>7700</v>
      </c>
      <c r="CEO1" t="s">
        <v>7701</v>
      </c>
      <c r="CEP1" t="s">
        <v>7702</v>
      </c>
      <c r="CEQ1" t="s">
        <v>7703</v>
      </c>
      <c r="CER1" t="s">
        <v>7704</v>
      </c>
      <c r="CES1" t="s">
        <v>7705</v>
      </c>
      <c r="CET1" t="s">
        <v>7706</v>
      </c>
      <c r="CEU1" t="s">
        <v>7707</v>
      </c>
      <c r="CEV1" t="s">
        <v>7708</v>
      </c>
      <c r="CEW1" t="s">
        <v>7709</v>
      </c>
      <c r="CEX1" t="s">
        <v>7710</v>
      </c>
      <c r="CEY1" t="s">
        <v>7711</v>
      </c>
      <c r="CEZ1" t="s">
        <v>7712</v>
      </c>
      <c r="CFA1" t="s">
        <v>7713</v>
      </c>
      <c r="CFB1" t="s">
        <v>7714</v>
      </c>
      <c r="CFC1" t="s">
        <v>7715</v>
      </c>
      <c r="CFD1" t="s">
        <v>7716</v>
      </c>
      <c r="CFE1" t="s">
        <v>7717</v>
      </c>
      <c r="CFF1" t="s">
        <v>7718</v>
      </c>
      <c r="CFG1" t="s">
        <v>7719</v>
      </c>
      <c r="CFH1" t="s">
        <v>7720</v>
      </c>
      <c r="CFI1" t="s">
        <v>7721</v>
      </c>
      <c r="CFJ1" t="s">
        <v>7722</v>
      </c>
      <c r="CFK1" t="s">
        <v>7723</v>
      </c>
      <c r="CFL1" t="s">
        <v>7724</v>
      </c>
      <c r="CFM1" t="s">
        <v>7725</v>
      </c>
      <c r="CFN1" t="s">
        <v>7726</v>
      </c>
      <c r="CFO1" t="s">
        <v>7727</v>
      </c>
      <c r="CFP1" t="s">
        <v>7728</v>
      </c>
      <c r="CFQ1" t="s">
        <v>7729</v>
      </c>
      <c r="CFR1" t="s">
        <v>7730</v>
      </c>
      <c r="CFS1" t="s">
        <v>7731</v>
      </c>
      <c r="CFT1" t="s">
        <v>7732</v>
      </c>
      <c r="CFU1" t="s">
        <v>7733</v>
      </c>
      <c r="CFV1" t="s">
        <v>7734</v>
      </c>
      <c r="CFW1" t="s">
        <v>7735</v>
      </c>
      <c r="CFX1" t="s">
        <v>7736</v>
      </c>
      <c r="CFY1" t="s">
        <v>7737</v>
      </c>
      <c r="CFZ1" t="s">
        <v>7738</v>
      </c>
      <c r="CGA1" t="s">
        <v>7739</v>
      </c>
      <c r="CGB1" t="s">
        <v>7740</v>
      </c>
      <c r="CGC1" t="s">
        <v>7741</v>
      </c>
      <c r="CGD1" t="s">
        <v>7742</v>
      </c>
      <c r="CGE1" t="s">
        <v>7743</v>
      </c>
      <c r="CGF1" t="s">
        <v>7744</v>
      </c>
      <c r="CGG1" t="s">
        <v>7745</v>
      </c>
      <c r="CGH1" t="s">
        <v>7746</v>
      </c>
      <c r="CGI1" t="s">
        <v>7747</v>
      </c>
      <c r="CGJ1" t="s">
        <v>7748</v>
      </c>
      <c r="CGK1" t="s">
        <v>7749</v>
      </c>
      <c r="CGL1" t="s">
        <v>7750</v>
      </c>
      <c r="CGM1" t="s">
        <v>7751</v>
      </c>
      <c r="CGN1" t="s">
        <v>7752</v>
      </c>
      <c r="CGO1" t="s">
        <v>7753</v>
      </c>
      <c r="CGP1" t="s">
        <v>7754</v>
      </c>
      <c r="CGQ1" t="s">
        <v>7755</v>
      </c>
      <c r="CGR1" t="s">
        <v>7756</v>
      </c>
      <c r="CGS1" t="s">
        <v>7757</v>
      </c>
      <c r="CGT1" t="s">
        <v>7758</v>
      </c>
      <c r="CGU1" t="s">
        <v>7759</v>
      </c>
      <c r="CGV1" t="s">
        <v>7760</v>
      </c>
      <c r="CGW1" t="s">
        <v>7761</v>
      </c>
      <c r="CGX1" t="s">
        <v>7762</v>
      </c>
      <c r="CGY1" t="s">
        <v>7763</v>
      </c>
      <c r="CGZ1" t="s">
        <v>7764</v>
      </c>
      <c r="CHA1" t="s">
        <v>7765</v>
      </c>
      <c r="CHB1" t="s">
        <v>7766</v>
      </c>
      <c r="CHC1" t="s">
        <v>7767</v>
      </c>
      <c r="CHD1" t="s">
        <v>7768</v>
      </c>
      <c r="CHE1" t="s">
        <v>7769</v>
      </c>
      <c r="CHF1" t="s">
        <v>7770</v>
      </c>
      <c r="CHG1" t="s">
        <v>7771</v>
      </c>
      <c r="CHH1" t="s">
        <v>7772</v>
      </c>
      <c r="CHI1" t="s">
        <v>7773</v>
      </c>
      <c r="CHJ1" t="s">
        <v>7774</v>
      </c>
      <c r="CHK1" t="s">
        <v>7775</v>
      </c>
      <c r="CHL1" t="s">
        <v>7776</v>
      </c>
      <c r="CHM1" t="s">
        <v>7777</v>
      </c>
      <c r="CHN1" t="s">
        <v>7778</v>
      </c>
      <c r="CHO1" t="s">
        <v>7779</v>
      </c>
      <c r="CHP1" t="s">
        <v>7780</v>
      </c>
      <c r="CHQ1" t="s">
        <v>7781</v>
      </c>
      <c r="CHR1" t="s">
        <v>7782</v>
      </c>
      <c r="CHS1" t="s">
        <v>7783</v>
      </c>
      <c r="CHT1" t="s">
        <v>7784</v>
      </c>
      <c r="CHU1" t="s">
        <v>7785</v>
      </c>
      <c r="CHV1" t="s">
        <v>7786</v>
      </c>
      <c r="CHW1" t="s">
        <v>7787</v>
      </c>
      <c r="CHX1" t="s">
        <v>7788</v>
      </c>
      <c r="CHY1" t="s">
        <v>7789</v>
      </c>
      <c r="CHZ1" t="s">
        <v>7790</v>
      </c>
      <c r="CIA1" t="s">
        <v>7791</v>
      </c>
      <c r="CIB1" t="s">
        <v>7792</v>
      </c>
      <c r="CIC1" t="s">
        <v>7793</v>
      </c>
      <c r="CID1" t="s">
        <v>7794</v>
      </c>
      <c r="CIE1" t="s">
        <v>7795</v>
      </c>
      <c r="CIF1" t="s">
        <v>7796</v>
      </c>
      <c r="CIG1" t="s">
        <v>7797</v>
      </c>
      <c r="CIH1" t="s">
        <v>7798</v>
      </c>
      <c r="CII1" t="s">
        <v>7799</v>
      </c>
      <c r="CIJ1" t="s">
        <v>7800</v>
      </c>
      <c r="CIK1" t="s">
        <v>7801</v>
      </c>
      <c r="CIL1" t="s">
        <v>7802</v>
      </c>
      <c r="CIM1" t="s">
        <v>7803</v>
      </c>
      <c r="CIN1" t="s">
        <v>7804</v>
      </c>
      <c r="CIO1" t="s">
        <v>7805</v>
      </c>
      <c r="CIP1" t="s">
        <v>7806</v>
      </c>
      <c r="CIQ1" t="s">
        <v>7807</v>
      </c>
      <c r="CIR1" t="s">
        <v>7808</v>
      </c>
      <c r="CIS1" t="s">
        <v>7809</v>
      </c>
      <c r="CIT1" t="s">
        <v>7810</v>
      </c>
      <c r="CIU1" t="s">
        <v>7811</v>
      </c>
      <c r="CIV1" t="s">
        <v>7812</v>
      </c>
      <c r="CIW1" t="s">
        <v>7813</v>
      </c>
      <c r="CIX1" t="s">
        <v>7814</v>
      </c>
      <c r="CIY1" t="s">
        <v>7815</v>
      </c>
      <c r="CIZ1" t="s">
        <v>7816</v>
      </c>
      <c r="CJA1" t="s">
        <v>7817</v>
      </c>
      <c r="CJB1" t="s">
        <v>7818</v>
      </c>
      <c r="CJC1" t="s">
        <v>7819</v>
      </c>
      <c r="CJD1" t="s">
        <v>7820</v>
      </c>
      <c r="CJE1" t="s">
        <v>7821</v>
      </c>
      <c r="CJF1" t="s">
        <v>7822</v>
      </c>
      <c r="CJG1" t="s">
        <v>7823</v>
      </c>
      <c r="CJH1" t="s">
        <v>7824</v>
      </c>
      <c r="CJI1" t="s">
        <v>7825</v>
      </c>
      <c r="CJJ1" t="s">
        <v>7826</v>
      </c>
      <c r="CJK1" t="s">
        <v>7827</v>
      </c>
      <c r="CJL1" t="s">
        <v>7828</v>
      </c>
      <c r="CJM1" t="s">
        <v>7829</v>
      </c>
      <c r="CJN1" t="s">
        <v>7830</v>
      </c>
      <c r="CJO1" t="s">
        <v>7831</v>
      </c>
      <c r="CJP1" t="s">
        <v>7832</v>
      </c>
      <c r="CJQ1" t="s">
        <v>7833</v>
      </c>
      <c r="CJR1" t="s">
        <v>7834</v>
      </c>
      <c r="CJS1" t="s">
        <v>7835</v>
      </c>
      <c r="CJT1" t="s">
        <v>7836</v>
      </c>
      <c r="CJU1" t="s">
        <v>7837</v>
      </c>
      <c r="CJV1" t="s">
        <v>7838</v>
      </c>
      <c r="CJW1" t="s">
        <v>7839</v>
      </c>
      <c r="CJX1" t="s">
        <v>7840</v>
      </c>
      <c r="CJY1" t="s">
        <v>7841</v>
      </c>
      <c r="CJZ1" t="s">
        <v>7842</v>
      </c>
      <c r="CKA1" t="s">
        <v>7843</v>
      </c>
      <c r="CKB1" t="s">
        <v>7844</v>
      </c>
      <c r="CKC1" t="s">
        <v>7845</v>
      </c>
      <c r="CKD1" t="s">
        <v>7846</v>
      </c>
      <c r="CKE1" t="s">
        <v>7847</v>
      </c>
      <c r="CKF1" t="s">
        <v>7848</v>
      </c>
      <c r="CKG1" t="s">
        <v>7849</v>
      </c>
      <c r="CKH1" t="s">
        <v>7850</v>
      </c>
      <c r="CKI1" t="s">
        <v>7851</v>
      </c>
      <c r="CKJ1" t="s">
        <v>7852</v>
      </c>
      <c r="CKK1" t="s">
        <v>7853</v>
      </c>
      <c r="CKL1" t="s">
        <v>7854</v>
      </c>
      <c r="CKM1" t="s">
        <v>7855</v>
      </c>
      <c r="CKN1" t="s">
        <v>7856</v>
      </c>
      <c r="CKO1" t="s">
        <v>7857</v>
      </c>
      <c r="CKP1" t="s">
        <v>7858</v>
      </c>
      <c r="CKQ1" t="s">
        <v>7859</v>
      </c>
      <c r="CKR1" t="s">
        <v>7860</v>
      </c>
      <c r="CKS1" t="s">
        <v>7861</v>
      </c>
      <c r="CKT1" t="s">
        <v>7862</v>
      </c>
      <c r="CKU1" t="s">
        <v>7863</v>
      </c>
      <c r="CKV1" t="s">
        <v>7864</v>
      </c>
      <c r="CKW1" t="s">
        <v>7865</v>
      </c>
      <c r="CKX1" t="s">
        <v>7866</v>
      </c>
      <c r="CKY1" t="s">
        <v>7867</v>
      </c>
      <c r="CKZ1" t="s">
        <v>7868</v>
      </c>
      <c r="CLA1" t="s">
        <v>7869</v>
      </c>
      <c r="CLB1" t="s">
        <v>7870</v>
      </c>
      <c r="CLC1" t="s">
        <v>7871</v>
      </c>
      <c r="CLD1" t="s">
        <v>7872</v>
      </c>
      <c r="CLE1" t="s">
        <v>7873</v>
      </c>
      <c r="CLF1" t="s">
        <v>7874</v>
      </c>
      <c r="CLG1" t="s">
        <v>7875</v>
      </c>
      <c r="CLH1" t="s">
        <v>7876</v>
      </c>
      <c r="CLI1" t="s">
        <v>7877</v>
      </c>
      <c r="CLJ1" t="s">
        <v>7878</v>
      </c>
      <c r="CLK1" t="s">
        <v>7879</v>
      </c>
      <c r="CLL1" t="s">
        <v>7880</v>
      </c>
      <c r="CLM1" t="s">
        <v>7881</v>
      </c>
      <c r="CLN1" t="s">
        <v>7882</v>
      </c>
      <c r="CLO1" t="s">
        <v>7883</v>
      </c>
      <c r="CLP1" t="s">
        <v>7884</v>
      </c>
      <c r="CLQ1" t="s">
        <v>7885</v>
      </c>
      <c r="CLR1" t="s">
        <v>7886</v>
      </c>
      <c r="CLS1" t="s">
        <v>7887</v>
      </c>
      <c r="CLT1" t="s">
        <v>7888</v>
      </c>
      <c r="CLU1" t="s">
        <v>7889</v>
      </c>
      <c r="CLV1" t="s">
        <v>7890</v>
      </c>
      <c r="CLW1" t="s">
        <v>7891</v>
      </c>
      <c r="CLX1" t="s">
        <v>7892</v>
      </c>
      <c r="CLY1" t="s">
        <v>7893</v>
      </c>
      <c r="CLZ1" t="s">
        <v>7894</v>
      </c>
      <c r="CMA1" t="s">
        <v>7895</v>
      </c>
      <c r="CMB1" t="s">
        <v>7896</v>
      </c>
      <c r="CMC1" t="s">
        <v>7897</v>
      </c>
      <c r="CMD1" t="s">
        <v>7898</v>
      </c>
      <c r="CME1" t="s">
        <v>7899</v>
      </c>
      <c r="CMF1" t="s">
        <v>7900</v>
      </c>
      <c r="CMG1" t="s">
        <v>7901</v>
      </c>
      <c r="CMH1" t="s">
        <v>7902</v>
      </c>
      <c r="CMI1" t="s">
        <v>7903</v>
      </c>
      <c r="CMJ1" t="s">
        <v>7904</v>
      </c>
      <c r="CMK1" t="s">
        <v>7905</v>
      </c>
      <c r="CML1" t="s">
        <v>7906</v>
      </c>
      <c r="CMM1" t="s">
        <v>7907</v>
      </c>
      <c r="CMN1" t="s">
        <v>7908</v>
      </c>
      <c r="CMO1" t="s">
        <v>7909</v>
      </c>
      <c r="CMP1" t="s">
        <v>7910</v>
      </c>
      <c r="CMQ1" t="s">
        <v>7911</v>
      </c>
      <c r="CMR1" t="s">
        <v>7912</v>
      </c>
      <c r="CMS1" t="s">
        <v>7913</v>
      </c>
      <c r="CMT1" t="s">
        <v>7914</v>
      </c>
      <c r="CMU1" t="s">
        <v>7915</v>
      </c>
      <c r="CMV1" t="s">
        <v>7916</v>
      </c>
      <c r="CMW1" t="s">
        <v>7917</v>
      </c>
      <c r="CMX1" t="s">
        <v>7918</v>
      </c>
      <c r="CMY1" t="s">
        <v>7919</v>
      </c>
      <c r="CMZ1" t="s">
        <v>7920</v>
      </c>
      <c r="CNA1" t="s">
        <v>7921</v>
      </c>
      <c r="CNB1" t="s">
        <v>7922</v>
      </c>
      <c r="CNC1" t="s">
        <v>7923</v>
      </c>
      <c r="CND1" t="s">
        <v>7924</v>
      </c>
      <c r="CNE1" t="s">
        <v>7925</v>
      </c>
      <c r="CNF1" t="s">
        <v>7926</v>
      </c>
      <c r="CNG1" t="s">
        <v>7927</v>
      </c>
      <c r="CNH1" t="s">
        <v>7928</v>
      </c>
      <c r="CNI1" t="s">
        <v>7929</v>
      </c>
      <c r="CNJ1" t="s">
        <v>7930</v>
      </c>
      <c r="CNK1" t="s">
        <v>7931</v>
      </c>
      <c r="CNL1" t="s">
        <v>7932</v>
      </c>
      <c r="CNM1" t="s">
        <v>7933</v>
      </c>
      <c r="CNN1" t="s">
        <v>7934</v>
      </c>
      <c r="CNO1" t="s">
        <v>7935</v>
      </c>
      <c r="CNP1" t="s">
        <v>7936</v>
      </c>
      <c r="CNQ1" t="s">
        <v>7937</v>
      </c>
      <c r="CNR1" t="s">
        <v>7938</v>
      </c>
      <c r="CNS1" t="s">
        <v>7939</v>
      </c>
      <c r="CNT1" t="s">
        <v>7940</v>
      </c>
      <c r="CNU1" t="s">
        <v>7941</v>
      </c>
      <c r="CNV1" t="s">
        <v>7942</v>
      </c>
      <c r="CNW1" t="s">
        <v>7943</v>
      </c>
      <c r="CNX1" t="s">
        <v>7944</v>
      </c>
      <c r="CNY1" t="s">
        <v>7945</v>
      </c>
      <c r="CNZ1" t="s">
        <v>7946</v>
      </c>
      <c r="COA1" t="s">
        <v>7947</v>
      </c>
      <c r="COB1" t="s">
        <v>7948</v>
      </c>
      <c r="COC1" t="s">
        <v>7949</v>
      </c>
      <c r="COD1" t="s">
        <v>7950</v>
      </c>
      <c r="COE1" t="s">
        <v>7951</v>
      </c>
      <c r="COF1" t="s">
        <v>7952</v>
      </c>
      <c r="COG1" t="s">
        <v>7953</v>
      </c>
      <c r="COH1" t="s">
        <v>7954</v>
      </c>
      <c r="COI1" t="s">
        <v>7955</v>
      </c>
      <c r="COJ1" t="s">
        <v>7956</v>
      </c>
      <c r="COK1" t="s">
        <v>7957</v>
      </c>
      <c r="COL1" t="s">
        <v>7958</v>
      </c>
      <c r="COM1" t="s">
        <v>7959</v>
      </c>
      <c r="CON1" t="s">
        <v>7960</v>
      </c>
      <c r="COO1" t="s">
        <v>7961</v>
      </c>
      <c r="COP1" t="s">
        <v>7962</v>
      </c>
      <c r="COQ1" t="s">
        <v>7963</v>
      </c>
      <c r="COR1" t="s">
        <v>7964</v>
      </c>
      <c r="COS1" t="s">
        <v>7965</v>
      </c>
      <c r="COT1" t="s">
        <v>7966</v>
      </c>
      <c r="COU1" t="s">
        <v>7967</v>
      </c>
      <c r="COV1" t="s">
        <v>7968</v>
      </c>
      <c r="COW1" t="s">
        <v>7969</v>
      </c>
      <c r="COX1" t="s">
        <v>7970</v>
      </c>
      <c r="COY1" t="s">
        <v>7971</v>
      </c>
      <c r="COZ1" t="s">
        <v>7972</v>
      </c>
      <c r="CPA1" t="s">
        <v>7973</v>
      </c>
      <c r="CPB1" t="s">
        <v>7974</v>
      </c>
      <c r="CPC1" t="s">
        <v>7975</v>
      </c>
      <c r="CPD1" t="s">
        <v>7976</v>
      </c>
      <c r="CPE1" t="s">
        <v>7977</v>
      </c>
      <c r="CPF1" t="s">
        <v>7978</v>
      </c>
      <c r="CPG1" t="s">
        <v>7979</v>
      </c>
      <c r="CPH1" t="s">
        <v>7980</v>
      </c>
      <c r="CPI1" t="s">
        <v>7981</v>
      </c>
      <c r="CPJ1" t="s">
        <v>7982</v>
      </c>
      <c r="CPK1" t="s">
        <v>7983</v>
      </c>
      <c r="CPL1" t="s">
        <v>7984</v>
      </c>
      <c r="CPM1" t="s">
        <v>7985</v>
      </c>
      <c r="CPN1" t="s">
        <v>7986</v>
      </c>
      <c r="CPO1" t="s">
        <v>7987</v>
      </c>
      <c r="CPP1" t="s">
        <v>7988</v>
      </c>
      <c r="CPQ1" t="s">
        <v>7989</v>
      </c>
      <c r="CPR1" t="s">
        <v>7990</v>
      </c>
      <c r="CPS1" t="s">
        <v>7991</v>
      </c>
      <c r="CPT1" t="s">
        <v>7992</v>
      </c>
      <c r="CPU1" t="s">
        <v>7993</v>
      </c>
      <c r="CPV1" t="s">
        <v>7994</v>
      </c>
      <c r="CPW1" t="s">
        <v>7995</v>
      </c>
      <c r="CPX1" t="s">
        <v>7996</v>
      </c>
      <c r="CPY1" t="s">
        <v>7997</v>
      </c>
      <c r="CPZ1" t="s">
        <v>7998</v>
      </c>
      <c r="CQA1" t="s">
        <v>7999</v>
      </c>
      <c r="CQB1" t="s">
        <v>8000</v>
      </c>
      <c r="CQC1" t="s">
        <v>8001</v>
      </c>
      <c r="CQD1" t="s">
        <v>8002</v>
      </c>
      <c r="CQE1" t="s">
        <v>8003</v>
      </c>
      <c r="CQF1" t="s">
        <v>8004</v>
      </c>
      <c r="CQG1" t="s">
        <v>8005</v>
      </c>
      <c r="CQH1" t="s">
        <v>8006</v>
      </c>
      <c r="CQI1" t="s">
        <v>8007</v>
      </c>
      <c r="CQJ1" t="s">
        <v>8008</v>
      </c>
      <c r="CQK1" t="s">
        <v>8009</v>
      </c>
      <c r="CQL1" t="s">
        <v>8010</v>
      </c>
      <c r="CQM1" t="s">
        <v>8011</v>
      </c>
      <c r="CQN1" t="s">
        <v>8012</v>
      </c>
      <c r="CQO1" t="s">
        <v>8013</v>
      </c>
      <c r="CQP1" t="s">
        <v>8014</v>
      </c>
      <c r="CQQ1" t="s">
        <v>8015</v>
      </c>
      <c r="CQR1" t="s">
        <v>8016</v>
      </c>
      <c r="CQS1" t="s">
        <v>8017</v>
      </c>
      <c r="CQT1" t="s">
        <v>8018</v>
      </c>
      <c r="CQU1" t="s">
        <v>8019</v>
      </c>
      <c r="CQV1" t="s">
        <v>8020</v>
      </c>
      <c r="CQW1" t="s">
        <v>8021</v>
      </c>
      <c r="CQX1" t="s">
        <v>8022</v>
      </c>
      <c r="CQY1" t="s">
        <v>8023</v>
      </c>
      <c r="CQZ1" t="s">
        <v>8024</v>
      </c>
      <c r="CRA1" t="s">
        <v>8025</v>
      </c>
      <c r="CRB1" t="s">
        <v>8026</v>
      </c>
      <c r="CRC1" t="s">
        <v>8027</v>
      </c>
      <c r="CRD1" t="s">
        <v>8028</v>
      </c>
      <c r="CRE1" t="s">
        <v>8029</v>
      </c>
      <c r="CRF1" t="s">
        <v>8030</v>
      </c>
      <c r="CRG1" t="s">
        <v>8031</v>
      </c>
      <c r="CRH1" t="s">
        <v>8032</v>
      </c>
      <c r="CRI1" t="s">
        <v>8033</v>
      </c>
      <c r="CRJ1" t="s">
        <v>8034</v>
      </c>
      <c r="CRK1" t="s">
        <v>8035</v>
      </c>
      <c r="CRL1" t="s">
        <v>8036</v>
      </c>
      <c r="CRM1" t="s">
        <v>8037</v>
      </c>
      <c r="CRN1" t="s">
        <v>8038</v>
      </c>
      <c r="CRO1" t="s">
        <v>8039</v>
      </c>
      <c r="CRP1" t="s">
        <v>8040</v>
      </c>
      <c r="CRQ1" t="s">
        <v>8041</v>
      </c>
      <c r="CRR1" t="s">
        <v>8042</v>
      </c>
      <c r="CRS1" t="s">
        <v>8043</v>
      </c>
      <c r="CRT1" t="s">
        <v>8044</v>
      </c>
      <c r="CRU1" t="s">
        <v>8045</v>
      </c>
      <c r="CRV1" t="s">
        <v>8046</v>
      </c>
      <c r="CRW1" t="s">
        <v>8047</v>
      </c>
      <c r="CRX1" t="s">
        <v>8048</v>
      </c>
      <c r="CRY1" t="s">
        <v>8049</v>
      </c>
      <c r="CRZ1" t="s">
        <v>8050</v>
      </c>
      <c r="CSA1" t="s">
        <v>8051</v>
      </c>
      <c r="CSB1" t="s">
        <v>8052</v>
      </c>
      <c r="CSC1" t="s">
        <v>8053</v>
      </c>
      <c r="CSD1" t="s">
        <v>8054</v>
      </c>
      <c r="CSE1" t="s">
        <v>8055</v>
      </c>
      <c r="CSF1" t="s">
        <v>8056</v>
      </c>
      <c r="CSG1" t="s">
        <v>8057</v>
      </c>
      <c r="CSH1" t="s">
        <v>8058</v>
      </c>
      <c r="CSI1" t="s">
        <v>8059</v>
      </c>
      <c r="CSJ1" t="s">
        <v>8060</v>
      </c>
      <c r="CSK1" t="s">
        <v>8061</v>
      </c>
      <c r="CSL1" t="s">
        <v>8062</v>
      </c>
      <c r="CSM1" t="s">
        <v>8063</v>
      </c>
      <c r="CSN1" t="s">
        <v>8064</v>
      </c>
      <c r="CSO1" t="s">
        <v>8065</v>
      </c>
      <c r="CSP1" t="s">
        <v>8066</v>
      </c>
      <c r="CSQ1" t="s">
        <v>8067</v>
      </c>
      <c r="CSR1" t="s">
        <v>8068</v>
      </c>
      <c r="CSS1" t="s">
        <v>8069</v>
      </c>
      <c r="CST1" t="s">
        <v>8070</v>
      </c>
      <c r="CSU1" t="s">
        <v>8071</v>
      </c>
      <c r="CSV1" t="s">
        <v>8072</v>
      </c>
      <c r="CSW1" t="s">
        <v>8073</v>
      </c>
      <c r="CSX1" t="s">
        <v>8074</v>
      </c>
      <c r="CSY1" t="s">
        <v>8075</v>
      </c>
      <c r="CSZ1" t="s">
        <v>8076</v>
      </c>
      <c r="CTA1" t="s">
        <v>8077</v>
      </c>
      <c r="CTB1" t="s">
        <v>8078</v>
      </c>
      <c r="CTC1" t="s">
        <v>8079</v>
      </c>
      <c r="CTD1" t="s">
        <v>8080</v>
      </c>
      <c r="CTE1" t="s">
        <v>8081</v>
      </c>
      <c r="CTF1" t="s">
        <v>8082</v>
      </c>
      <c r="CTG1" t="s">
        <v>8083</v>
      </c>
      <c r="CTH1" t="s">
        <v>8084</v>
      </c>
      <c r="CTI1" t="s">
        <v>8085</v>
      </c>
      <c r="CTJ1" t="s">
        <v>8086</v>
      </c>
      <c r="CTK1" t="s">
        <v>8087</v>
      </c>
      <c r="CTL1" t="s">
        <v>8088</v>
      </c>
      <c r="CTM1" t="s">
        <v>8089</v>
      </c>
      <c r="CTN1" t="s">
        <v>8090</v>
      </c>
      <c r="CTO1" t="s">
        <v>8091</v>
      </c>
      <c r="CTP1" t="s">
        <v>8092</v>
      </c>
      <c r="CTQ1" t="s">
        <v>8093</v>
      </c>
      <c r="CTR1" t="s">
        <v>8094</v>
      </c>
      <c r="CTS1" t="s">
        <v>8095</v>
      </c>
      <c r="CTT1" t="s">
        <v>8096</v>
      </c>
      <c r="CTU1" t="s">
        <v>8097</v>
      </c>
      <c r="CTV1" t="s">
        <v>8098</v>
      </c>
      <c r="CTW1" t="s">
        <v>8099</v>
      </c>
      <c r="CTX1" t="s">
        <v>8100</v>
      </c>
      <c r="CTY1" t="s">
        <v>8101</v>
      </c>
      <c r="CTZ1" t="s">
        <v>8102</v>
      </c>
      <c r="CUA1" t="s">
        <v>8103</v>
      </c>
      <c r="CUB1" t="s">
        <v>8104</v>
      </c>
      <c r="CUC1" t="s">
        <v>8105</v>
      </c>
      <c r="CUD1" t="s">
        <v>8106</v>
      </c>
      <c r="CUE1" t="s">
        <v>8107</v>
      </c>
      <c r="CUF1" t="s">
        <v>8108</v>
      </c>
      <c r="CUG1" t="s">
        <v>8109</v>
      </c>
      <c r="CUH1" t="s">
        <v>8110</v>
      </c>
      <c r="CUI1" t="s">
        <v>8111</v>
      </c>
      <c r="CUJ1" t="s">
        <v>8112</v>
      </c>
      <c r="CUK1" t="s">
        <v>8113</v>
      </c>
      <c r="CUL1" t="s">
        <v>8114</v>
      </c>
      <c r="CUM1" t="s">
        <v>8115</v>
      </c>
      <c r="CUN1" t="s">
        <v>8116</v>
      </c>
      <c r="CUO1" t="s">
        <v>8117</v>
      </c>
      <c r="CUP1" t="s">
        <v>8118</v>
      </c>
      <c r="CUQ1" t="s">
        <v>8119</v>
      </c>
      <c r="CUR1" t="s">
        <v>8120</v>
      </c>
      <c r="CUS1" t="s">
        <v>8121</v>
      </c>
      <c r="CUT1" t="s">
        <v>8122</v>
      </c>
      <c r="CUU1" t="s">
        <v>8123</v>
      </c>
      <c r="CUV1" t="s">
        <v>8124</v>
      </c>
      <c r="CUW1" t="s">
        <v>8125</v>
      </c>
      <c r="CUX1" t="s">
        <v>8126</v>
      </c>
      <c r="CUY1" t="s">
        <v>8127</v>
      </c>
      <c r="CUZ1" t="s">
        <v>8128</v>
      </c>
      <c r="CVA1" t="s">
        <v>8129</v>
      </c>
      <c r="CVB1" t="s">
        <v>8130</v>
      </c>
      <c r="CVC1" t="s">
        <v>8131</v>
      </c>
      <c r="CVD1" t="s">
        <v>8132</v>
      </c>
      <c r="CVE1" t="s">
        <v>8133</v>
      </c>
      <c r="CVF1" t="s">
        <v>8134</v>
      </c>
      <c r="CVG1" t="s">
        <v>8135</v>
      </c>
      <c r="CVH1" t="s">
        <v>8136</v>
      </c>
      <c r="CVI1" t="s">
        <v>8137</v>
      </c>
      <c r="CVJ1" t="s">
        <v>8138</v>
      </c>
      <c r="CVK1" t="s">
        <v>8139</v>
      </c>
      <c r="CVL1" t="s">
        <v>8140</v>
      </c>
      <c r="CVM1" t="s">
        <v>8141</v>
      </c>
      <c r="CVN1" t="s">
        <v>8142</v>
      </c>
      <c r="CVO1" t="s">
        <v>8143</v>
      </c>
      <c r="CVP1" t="s">
        <v>8144</v>
      </c>
      <c r="CVQ1" t="s">
        <v>8145</v>
      </c>
      <c r="CVR1" t="s">
        <v>8146</v>
      </c>
      <c r="CVS1" t="s">
        <v>8147</v>
      </c>
      <c r="CVT1" t="s">
        <v>8148</v>
      </c>
      <c r="CVU1" t="s">
        <v>8149</v>
      </c>
      <c r="CVV1" t="s">
        <v>8150</v>
      </c>
      <c r="CVW1" t="s">
        <v>8151</v>
      </c>
      <c r="CVX1" t="s">
        <v>8152</v>
      </c>
      <c r="CVY1" t="s">
        <v>8153</v>
      </c>
      <c r="CVZ1" t="s">
        <v>8154</v>
      </c>
      <c r="CWA1" t="s">
        <v>8155</v>
      </c>
      <c r="CWB1" t="s">
        <v>8156</v>
      </c>
      <c r="CWC1" t="s">
        <v>8157</v>
      </c>
      <c r="CWD1" t="s">
        <v>8158</v>
      </c>
      <c r="CWE1" t="s">
        <v>8159</v>
      </c>
      <c r="CWF1" t="s">
        <v>8160</v>
      </c>
      <c r="CWG1" t="s">
        <v>8161</v>
      </c>
      <c r="CWH1" t="s">
        <v>8162</v>
      </c>
      <c r="CWI1" t="s">
        <v>8163</v>
      </c>
      <c r="CWJ1" t="s">
        <v>8164</v>
      </c>
      <c r="CWK1" t="s">
        <v>8165</v>
      </c>
      <c r="CWL1" t="s">
        <v>8166</v>
      </c>
      <c r="CWM1" t="s">
        <v>8167</v>
      </c>
      <c r="CWN1" t="s">
        <v>8168</v>
      </c>
      <c r="CWO1" t="s">
        <v>8169</v>
      </c>
      <c r="CWP1" t="s">
        <v>8170</v>
      </c>
      <c r="CWQ1" t="s">
        <v>8171</v>
      </c>
      <c r="CWR1" t="s">
        <v>8172</v>
      </c>
      <c r="CWS1" t="s">
        <v>8173</v>
      </c>
      <c r="CWT1" t="s">
        <v>8174</v>
      </c>
      <c r="CWU1" t="s">
        <v>8175</v>
      </c>
      <c r="CWV1" t="s">
        <v>8176</v>
      </c>
      <c r="CWW1" t="s">
        <v>8177</v>
      </c>
      <c r="CWX1" t="s">
        <v>8178</v>
      </c>
      <c r="CWY1" t="s">
        <v>8179</v>
      </c>
      <c r="CWZ1" t="s">
        <v>8180</v>
      </c>
      <c r="CXA1" t="s">
        <v>8181</v>
      </c>
      <c r="CXB1" t="s">
        <v>8182</v>
      </c>
      <c r="CXC1" t="s">
        <v>8183</v>
      </c>
      <c r="CXD1" t="s">
        <v>8184</v>
      </c>
      <c r="CXE1" t="s">
        <v>8185</v>
      </c>
      <c r="CXF1" t="s">
        <v>8186</v>
      </c>
      <c r="CXG1" t="s">
        <v>8187</v>
      </c>
      <c r="CXH1" t="s">
        <v>8188</v>
      </c>
      <c r="CXI1" t="s">
        <v>8189</v>
      </c>
      <c r="CXJ1" t="s">
        <v>8190</v>
      </c>
      <c r="CXK1" t="s">
        <v>8191</v>
      </c>
      <c r="CXL1" t="s">
        <v>8192</v>
      </c>
      <c r="CXM1" t="s">
        <v>8193</v>
      </c>
      <c r="CXN1" t="s">
        <v>8194</v>
      </c>
      <c r="CXO1" t="s">
        <v>8195</v>
      </c>
      <c r="CXP1" t="s">
        <v>8196</v>
      </c>
      <c r="CXQ1" t="s">
        <v>8197</v>
      </c>
      <c r="CXR1" t="s">
        <v>8198</v>
      </c>
      <c r="CXS1" t="s">
        <v>8199</v>
      </c>
      <c r="CXT1" t="s">
        <v>8200</v>
      </c>
      <c r="CXU1" t="s">
        <v>8201</v>
      </c>
      <c r="CXV1" t="s">
        <v>8202</v>
      </c>
      <c r="CXW1" t="s">
        <v>8203</v>
      </c>
      <c r="CXX1" t="s">
        <v>8204</v>
      </c>
      <c r="CXY1" t="s">
        <v>8205</v>
      </c>
      <c r="CXZ1" t="s">
        <v>8206</v>
      </c>
      <c r="CYA1" t="s">
        <v>8207</v>
      </c>
      <c r="CYB1" t="s">
        <v>8208</v>
      </c>
      <c r="CYC1" t="s">
        <v>8209</v>
      </c>
      <c r="CYD1" t="s">
        <v>8210</v>
      </c>
      <c r="CYE1" t="s">
        <v>8211</v>
      </c>
      <c r="CYF1" t="s">
        <v>8212</v>
      </c>
      <c r="CYG1" t="s">
        <v>8213</v>
      </c>
      <c r="CYH1" t="s">
        <v>8214</v>
      </c>
      <c r="CYI1" t="s">
        <v>8215</v>
      </c>
      <c r="CYJ1" t="s">
        <v>8216</v>
      </c>
      <c r="CYK1" t="s">
        <v>8217</v>
      </c>
      <c r="CYL1" t="s">
        <v>8218</v>
      </c>
      <c r="CYM1" t="s">
        <v>8219</v>
      </c>
      <c r="CYN1" t="s">
        <v>8220</v>
      </c>
      <c r="CYO1" t="s">
        <v>8221</v>
      </c>
      <c r="CYP1" t="s">
        <v>8222</v>
      </c>
      <c r="CYQ1" t="s">
        <v>8223</v>
      </c>
      <c r="CYR1" t="s">
        <v>8224</v>
      </c>
      <c r="CYS1" t="s">
        <v>8225</v>
      </c>
      <c r="CYT1" t="s">
        <v>8226</v>
      </c>
      <c r="CYU1" t="s">
        <v>8227</v>
      </c>
      <c r="CYV1" t="s">
        <v>8228</v>
      </c>
      <c r="CYW1" t="s">
        <v>8229</v>
      </c>
      <c r="CYX1" t="s">
        <v>8230</v>
      </c>
      <c r="CYY1" t="s">
        <v>8231</v>
      </c>
      <c r="CYZ1" t="s">
        <v>8232</v>
      </c>
      <c r="CZA1" t="s">
        <v>8233</v>
      </c>
      <c r="CZB1" t="s">
        <v>8234</v>
      </c>
      <c r="CZC1" t="s">
        <v>8235</v>
      </c>
      <c r="CZD1" t="s">
        <v>8236</v>
      </c>
      <c r="CZE1" t="s">
        <v>8237</v>
      </c>
      <c r="CZF1" t="s">
        <v>8238</v>
      </c>
      <c r="CZG1" t="s">
        <v>8239</v>
      </c>
      <c r="CZH1" t="s">
        <v>8240</v>
      </c>
      <c r="CZI1" t="s">
        <v>8241</v>
      </c>
      <c r="CZJ1" t="s">
        <v>8242</v>
      </c>
      <c r="CZK1" t="s">
        <v>8243</v>
      </c>
      <c r="CZL1" t="s">
        <v>8244</v>
      </c>
      <c r="CZM1" t="s">
        <v>8245</v>
      </c>
      <c r="CZN1" t="s">
        <v>8246</v>
      </c>
      <c r="CZO1" t="s">
        <v>8247</v>
      </c>
      <c r="CZP1" t="s">
        <v>8248</v>
      </c>
      <c r="CZQ1" t="s">
        <v>8249</v>
      </c>
      <c r="CZR1" t="s">
        <v>8250</v>
      </c>
      <c r="CZS1" t="s">
        <v>8251</v>
      </c>
      <c r="CZT1" t="s">
        <v>8252</v>
      </c>
      <c r="CZU1" t="s">
        <v>8253</v>
      </c>
      <c r="CZV1" t="s">
        <v>8254</v>
      </c>
      <c r="CZW1" t="s">
        <v>8255</v>
      </c>
      <c r="CZX1" t="s">
        <v>8256</v>
      </c>
      <c r="CZY1" t="s">
        <v>8257</v>
      </c>
      <c r="CZZ1" t="s">
        <v>8258</v>
      </c>
      <c r="DAA1" t="s">
        <v>8259</v>
      </c>
      <c r="DAB1" t="s">
        <v>8260</v>
      </c>
      <c r="DAC1" t="s">
        <v>8261</v>
      </c>
      <c r="DAD1" t="s">
        <v>8262</v>
      </c>
      <c r="DAE1" t="s">
        <v>8263</v>
      </c>
      <c r="DAF1" t="s">
        <v>8264</v>
      </c>
      <c r="DAG1" t="s">
        <v>8265</v>
      </c>
      <c r="DAH1" t="s">
        <v>8266</v>
      </c>
      <c r="DAI1" t="s">
        <v>8267</v>
      </c>
      <c r="DAJ1" t="s">
        <v>8268</v>
      </c>
      <c r="DAK1" t="s">
        <v>8269</v>
      </c>
      <c r="DAL1" t="s">
        <v>8270</v>
      </c>
      <c r="DAM1" t="s">
        <v>8271</v>
      </c>
      <c r="DAN1" t="s">
        <v>8272</v>
      </c>
      <c r="DAO1" t="s">
        <v>8273</v>
      </c>
      <c r="DAP1" t="s">
        <v>8274</v>
      </c>
      <c r="DAQ1" t="s">
        <v>8275</v>
      </c>
      <c r="DAR1" t="s">
        <v>8276</v>
      </c>
      <c r="DAS1" t="s">
        <v>8277</v>
      </c>
      <c r="DAT1" t="s">
        <v>8278</v>
      </c>
      <c r="DAU1" t="s">
        <v>8279</v>
      </c>
      <c r="DAV1" t="s">
        <v>8280</v>
      </c>
      <c r="DAW1" t="s">
        <v>8281</v>
      </c>
      <c r="DAX1" t="s">
        <v>8282</v>
      </c>
      <c r="DAY1" t="s">
        <v>8283</v>
      </c>
      <c r="DAZ1" t="s">
        <v>8284</v>
      </c>
      <c r="DBA1" t="s">
        <v>8285</v>
      </c>
      <c r="DBB1" t="s">
        <v>8286</v>
      </c>
      <c r="DBC1" t="s">
        <v>8287</v>
      </c>
      <c r="DBD1" t="s">
        <v>8288</v>
      </c>
      <c r="DBE1" t="s">
        <v>8289</v>
      </c>
      <c r="DBF1" t="s">
        <v>8290</v>
      </c>
      <c r="DBG1" t="s">
        <v>8291</v>
      </c>
      <c r="DBH1" t="s">
        <v>8292</v>
      </c>
      <c r="DBI1" t="s">
        <v>8293</v>
      </c>
      <c r="DBJ1" t="s">
        <v>8294</v>
      </c>
      <c r="DBK1" t="s">
        <v>8295</v>
      </c>
      <c r="DBL1" t="s">
        <v>8296</v>
      </c>
      <c r="DBM1" t="s">
        <v>8297</v>
      </c>
      <c r="DBN1" t="s">
        <v>8298</v>
      </c>
      <c r="DBO1" t="s">
        <v>8299</v>
      </c>
      <c r="DBP1" t="s">
        <v>8300</v>
      </c>
      <c r="DBQ1" t="s">
        <v>8301</v>
      </c>
      <c r="DBR1" t="s">
        <v>8302</v>
      </c>
      <c r="DBS1" t="s">
        <v>8303</v>
      </c>
      <c r="DBT1" t="s">
        <v>8304</v>
      </c>
      <c r="DBU1" t="s">
        <v>8305</v>
      </c>
      <c r="DBV1" t="s">
        <v>8306</v>
      </c>
      <c r="DBW1" t="s">
        <v>8307</v>
      </c>
      <c r="DBX1" t="s">
        <v>8308</v>
      </c>
      <c r="DBY1" t="s">
        <v>8309</v>
      </c>
      <c r="DBZ1" t="s">
        <v>8310</v>
      </c>
      <c r="DCA1" t="s">
        <v>8311</v>
      </c>
      <c r="DCB1" t="s">
        <v>8312</v>
      </c>
      <c r="DCC1" t="s">
        <v>8313</v>
      </c>
      <c r="DCD1" t="s">
        <v>8314</v>
      </c>
      <c r="DCE1" t="s">
        <v>8315</v>
      </c>
      <c r="DCF1" t="s">
        <v>8316</v>
      </c>
      <c r="DCG1" t="s">
        <v>8317</v>
      </c>
      <c r="DCH1" t="s">
        <v>8318</v>
      </c>
      <c r="DCI1" t="s">
        <v>8319</v>
      </c>
      <c r="DCJ1" t="s">
        <v>8320</v>
      </c>
      <c r="DCK1" t="s">
        <v>8321</v>
      </c>
      <c r="DCL1" t="s">
        <v>8322</v>
      </c>
      <c r="DCM1" t="s">
        <v>8323</v>
      </c>
      <c r="DCN1" t="s">
        <v>8324</v>
      </c>
      <c r="DCO1" t="s">
        <v>8325</v>
      </c>
      <c r="DCP1" t="s">
        <v>8326</v>
      </c>
      <c r="DCQ1" t="s">
        <v>8327</v>
      </c>
      <c r="DCR1" t="s">
        <v>8328</v>
      </c>
      <c r="DCS1" t="s">
        <v>8329</v>
      </c>
      <c r="DCT1" t="s">
        <v>8330</v>
      </c>
      <c r="DCU1" t="s">
        <v>8331</v>
      </c>
      <c r="DCV1" t="s">
        <v>8332</v>
      </c>
      <c r="DCW1" t="s">
        <v>8333</v>
      </c>
      <c r="DCX1" t="s">
        <v>8334</v>
      </c>
      <c r="DCY1" t="s">
        <v>8335</v>
      </c>
      <c r="DCZ1" t="s">
        <v>8336</v>
      </c>
      <c r="DDA1" t="s">
        <v>8337</v>
      </c>
      <c r="DDB1" t="s">
        <v>8338</v>
      </c>
      <c r="DDC1" t="s">
        <v>8339</v>
      </c>
      <c r="DDD1" t="s">
        <v>8340</v>
      </c>
      <c r="DDE1" t="s">
        <v>8341</v>
      </c>
      <c r="DDF1" t="s">
        <v>8342</v>
      </c>
      <c r="DDG1" t="s">
        <v>8343</v>
      </c>
      <c r="DDH1" t="s">
        <v>8344</v>
      </c>
      <c r="DDI1" t="s">
        <v>8345</v>
      </c>
      <c r="DDJ1" t="s">
        <v>8346</v>
      </c>
      <c r="DDK1" t="s">
        <v>8347</v>
      </c>
      <c r="DDL1" t="s">
        <v>8348</v>
      </c>
      <c r="DDM1" t="s">
        <v>8349</v>
      </c>
      <c r="DDN1" t="s">
        <v>8350</v>
      </c>
      <c r="DDO1" t="s">
        <v>8351</v>
      </c>
      <c r="DDP1" t="s">
        <v>8352</v>
      </c>
      <c r="DDQ1" t="s">
        <v>8353</v>
      </c>
      <c r="DDR1" t="s">
        <v>8354</v>
      </c>
      <c r="DDS1" t="s">
        <v>8355</v>
      </c>
      <c r="DDT1" t="s">
        <v>8356</v>
      </c>
      <c r="DDU1" t="s">
        <v>8357</v>
      </c>
      <c r="DDV1" t="s">
        <v>8358</v>
      </c>
      <c r="DDW1" t="s">
        <v>8359</v>
      </c>
      <c r="DDX1" t="s">
        <v>8360</v>
      </c>
      <c r="DDY1" t="s">
        <v>8361</v>
      </c>
      <c r="DDZ1" t="s">
        <v>8362</v>
      </c>
      <c r="DEA1" t="s">
        <v>8363</v>
      </c>
      <c r="DEB1" t="s">
        <v>8364</v>
      </c>
      <c r="DEC1" t="s">
        <v>8365</v>
      </c>
      <c r="DED1" t="s">
        <v>8366</v>
      </c>
      <c r="DEE1" t="s">
        <v>8367</v>
      </c>
      <c r="DEF1" t="s">
        <v>8368</v>
      </c>
      <c r="DEG1" t="s">
        <v>8369</v>
      </c>
      <c r="DEH1" t="s">
        <v>8370</v>
      </c>
      <c r="DEI1" t="s">
        <v>8371</v>
      </c>
      <c r="DEJ1" t="s">
        <v>8372</v>
      </c>
      <c r="DEK1" t="s">
        <v>8373</v>
      </c>
      <c r="DEL1" t="s">
        <v>8374</v>
      </c>
      <c r="DEM1" t="s">
        <v>8375</v>
      </c>
      <c r="DEN1" t="s">
        <v>8376</v>
      </c>
      <c r="DEO1" t="s">
        <v>8377</v>
      </c>
      <c r="DEP1" t="s">
        <v>8378</v>
      </c>
      <c r="DEQ1" t="s">
        <v>8379</v>
      </c>
      <c r="DER1" t="s">
        <v>8380</v>
      </c>
      <c r="DES1" t="s">
        <v>8381</v>
      </c>
      <c r="DET1" t="s">
        <v>8382</v>
      </c>
      <c r="DEU1" t="s">
        <v>8383</v>
      </c>
      <c r="DEV1" t="s">
        <v>8384</v>
      </c>
      <c r="DEW1" t="s">
        <v>8385</v>
      </c>
      <c r="DEX1" t="s">
        <v>8386</v>
      </c>
      <c r="DEY1" t="s">
        <v>8387</v>
      </c>
      <c r="DEZ1" t="s">
        <v>8388</v>
      </c>
      <c r="DFA1" t="s">
        <v>8389</v>
      </c>
      <c r="DFB1" t="s">
        <v>8390</v>
      </c>
      <c r="DFC1" t="s">
        <v>8391</v>
      </c>
      <c r="DFD1" t="s">
        <v>8392</v>
      </c>
      <c r="DFE1" t="s">
        <v>8393</v>
      </c>
      <c r="DFF1" t="s">
        <v>8394</v>
      </c>
      <c r="DFG1" t="s">
        <v>8395</v>
      </c>
      <c r="DFH1" t="s">
        <v>8396</v>
      </c>
      <c r="DFI1" t="s">
        <v>8397</v>
      </c>
      <c r="DFJ1" t="s">
        <v>8398</v>
      </c>
      <c r="DFK1" t="s">
        <v>8399</v>
      </c>
      <c r="DFL1" t="s">
        <v>8400</v>
      </c>
      <c r="DFM1" t="s">
        <v>8401</v>
      </c>
      <c r="DFN1" t="s">
        <v>8402</v>
      </c>
      <c r="DFO1" t="s">
        <v>8403</v>
      </c>
      <c r="DFP1" t="s">
        <v>8404</v>
      </c>
      <c r="DFQ1" t="s">
        <v>8405</v>
      </c>
      <c r="DFR1" t="s">
        <v>8406</v>
      </c>
      <c r="DFS1" t="s">
        <v>8407</v>
      </c>
      <c r="DFT1" t="s">
        <v>8408</v>
      </c>
      <c r="DFU1" t="s">
        <v>8409</v>
      </c>
      <c r="DFV1" t="s">
        <v>8410</v>
      </c>
      <c r="DFW1" t="s">
        <v>8411</v>
      </c>
      <c r="DFX1" t="s">
        <v>8412</v>
      </c>
      <c r="DFY1" t="s">
        <v>8413</v>
      </c>
      <c r="DFZ1" t="s">
        <v>8414</v>
      </c>
      <c r="DGA1" t="s">
        <v>8415</v>
      </c>
      <c r="DGB1" t="s">
        <v>8416</v>
      </c>
      <c r="DGC1" t="s">
        <v>8417</v>
      </c>
      <c r="DGD1" t="s">
        <v>8418</v>
      </c>
      <c r="DGE1" t="s">
        <v>8419</v>
      </c>
      <c r="DGF1" t="s">
        <v>8420</v>
      </c>
      <c r="DGG1" t="s">
        <v>8421</v>
      </c>
      <c r="DGH1" t="s">
        <v>8422</v>
      </c>
      <c r="DGI1" t="s">
        <v>8423</v>
      </c>
      <c r="DGJ1" t="s">
        <v>8424</v>
      </c>
      <c r="DGK1" t="s">
        <v>8425</v>
      </c>
      <c r="DGL1" t="s">
        <v>8426</v>
      </c>
      <c r="DGM1" t="s">
        <v>8427</v>
      </c>
      <c r="DGN1" t="s">
        <v>8428</v>
      </c>
      <c r="DGO1" t="s">
        <v>8429</v>
      </c>
      <c r="DGP1" t="s">
        <v>8430</v>
      </c>
      <c r="DGQ1" t="s">
        <v>8431</v>
      </c>
      <c r="DGR1" t="s">
        <v>8432</v>
      </c>
      <c r="DGS1" t="s">
        <v>8433</v>
      </c>
      <c r="DGT1" t="s">
        <v>8434</v>
      </c>
      <c r="DGU1" t="s">
        <v>8435</v>
      </c>
      <c r="DGV1" t="s">
        <v>8436</v>
      </c>
      <c r="DGW1" t="s">
        <v>8437</v>
      </c>
      <c r="DGX1" t="s">
        <v>8438</v>
      </c>
      <c r="DGY1" t="s">
        <v>8439</v>
      </c>
      <c r="DGZ1" t="s">
        <v>8440</v>
      </c>
      <c r="DHA1" t="s">
        <v>8441</v>
      </c>
      <c r="DHB1" t="s">
        <v>8442</v>
      </c>
      <c r="DHC1" t="s">
        <v>8443</v>
      </c>
      <c r="DHD1" t="s">
        <v>8444</v>
      </c>
      <c r="DHE1" t="s">
        <v>8445</v>
      </c>
      <c r="DHF1" t="s">
        <v>8446</v>
      </c>
      <c r="DHG1" t="s">
        <v>8447</v>
      </c>
      <c r="DHH1" t="s">
        <v>8448</v>
      </c>
      <c r="DHI1" t="s">
        <v>8449</v>
      </c>
      <c r="DHJ1" t="s">
        <v>8450</v>
      </c>
      <c r="DHK1" t="s">
        <v>8451</v>
      </c>
      <c r="DHL1" t="s">
        <v>8452</v>
      </c>
      <c r="DHM1" t="s">
        <v>8453</v>
      </c>
      <c r="DHN1" t="s">
        <v>8454</v>
      </c>
      <c r="DHO1" t="s">
        <v>8455</v>
      </c>
      <c r="DHP1" t="s">
        <v>8456</v>
      </c>
      <c r="DHQ1" t="s">
        <v>8457</v>
      </c>
      <c r="DHR1" t="s">
        <v>8458</v>
      </c>
      <c r="DHS1" t="s">
        <v>8459</v>
      </c>
      <c r="DHT1" t="s">
        <v>8460</v>
      </c>
      <c r="DHU1" t="s">
        <v>8461</v>
      </c>
      <c r="DHV1" t="s">
        <v>8462</v>
      </c>
      <c r="DHW1" t="s">
        <v>8463</v>
      </c>
      <c r="DHX1" t="s">
        <v>8464</v>
      </c>
      <c r="DHY1" t="s">
        <v>8465</v>
      </c>
      <c r="DHZ1" t="s">
        <v>8466</v>
      </c>
      <c r="DIA1" t="s">
        <v>8467</v>
      </c>
      <c r="DIB1" t="s">
        <v>8468</v>
      </c>
      <c r="DIC1" t="s">
        <v>8469</v>
      </c>
      <c r="DID1" t="s">
        <v>8470</v>
      </c>
      <c r="DIE1" t="s">
        <v>8471</v>
      </c>
      <c r="DIF1" t="s">
        <v>8472</v>
      </c>
      <c r="DIG1" t="s">
        <v>8473</v>
      </c>
      <c r="DIH1" t="s">
        <v>8474</v>
      </c>
      <c r="DII1" t="s">
        <v>8475</v>
      </c>
      <c r="DIJ1" t="s">
        <v>8476</v>
      </c>
      <c r="DIK1" t="s">
        <v>8477</v>
      </c>
      <c r="DIL1" t="s">
        <v>8478</v>
      </c>
      <c r="DIM1" t="s">
        <v>8479</v>
      </c>
      <c r="DIN1" t="s">
        <v>8480</v>
      </c>
      <c r="DIO1" t="s">
        <v>8481</v>
      </c>
      <c r="DIP1" t="s">
        <v>8482</v>
      </c>
      <c r="DIQ1" t="s">
        <v>8483</v>
      </c>
      <c r="DIR1" t="s">
        <v>8484</v>
      </c>
      <c r="DIS1" t="s">
        <v>8485</v>
      </c>
      <c r="DIT1" t="s">
        <v>8486</v>
      </c>
      <c r="DIU1" t="s">
        <v>8487</v>
      </c>
      <c r="DIV1" t="s">
        <v>8488</v>
      </c>
      <c r="DIW1" t="s">
        <v>8489</v>
      </c>
      <c r="DIX1" t="s">
        <v>8490</v>
      </c>
      <c r="DIY1" t="s">
        <v>8491</v>
      </c>
      <c r="DIZ1" t="s">
        <v>8492</v>
      </c>
      <c r="DJA1" t="s">
        <v>8493</v>
      </c>
      <c r="DJB1" t="s">
        <v>8494</v>
      </c>
      <c r="DJC1" t="s">
        <v>8495</v>
      </c>
      <c r="DJD1" t="s">
        <v>8496</v>
      </c>
      <c r="DJE1" t="s">
        <v>8497</v>
      </c>
      <c r="DJF1" t="s">
        <v>8498</v>
      </c>
      <c r="DJG1" t="s">
        <v>8499</v>
      </c>
      <c r="DJH1" t="s">
        <v>8500</v>
      </c>
      <c r="DJI1" t="s">
        <v>8501</v>
      </c>
      <c r="DJJ1" t="s">
        <v>8502</v>
      </c>
      <c r="DJK1" t="s">
        <v>8503</v>
      </c>
      <c r="DJL1" t="s">
        <v>8504</v>
      </c>
      <c r="DJM1" t="s">
        <v>8505</v>
      </c>
      <c r="DJN1" t="s">
        <v>8506</v>
      </c>
      <c r="DJO1" t="s">
        <v>8507</v>
      </c>
      <c r="DJP1" t="s">
        <v>8508</v>
      </c>
      <c r="DJQ1" t="s">
        <v>8509</v>
      </c>
      <c r="DJR1" t="s">
        <v>8510</v>
      </c>
      <c r="DJS1" t="s">
        <v>8511</v>
      </c>
      <c r="DJT1" t="s">
        <v>8512</v>
      </c>
      <c r="DJU1" t="s">
        <v>8513</v>
      </c>
      <c r="DJV1" t="s">
        <v>8514</v>
      </c>
      <c r="DJW1" t="s">
        <v>8515</v>
      </c>
      <c r="DJX1" t="s">
        <v>8516</v>
      </c>
      <c r="DJY1" t="s">
        <v>8517</v>
      </c>
      <c r="DJZ1" t="s">
        <v>8518</v>
      </c>
      <c r="DKA1" t="s">
        <v>8519</v>
      </c>
      <c r="DKB1" t="s">
        <v>8520</v>
      </c>
      <c r="DKC1" t="s">
        <v>8521</v>
      </c>
      <c r="DKD1" t="s">
        <v>8522</v>
      </c>
      <c r="DKE1" t="s">
        <v>8523</v>
      </c>
      <c r="DKF1" t="s">
        <v>8524</v>
      </c>
      <c r="DKG1" t="s">
        <v>8525</v>
      </c>
      <c r="DKH1" t="s">
        <v>8526</v>
      </c>
      <c r="DKI1" t="s">
        <v>8527</v>
      </c>
      <c r="DKJ1" t="s">
        <v>8528</v>
      </c>
      <c r="DKK1" t="s">
        <v>8529</v>
      </c>
      <c r="DKL1" t="s">
        <v>8530</v>
      </c>
      <c r="DKM1" t="s">
        <v>8531</v>
      </c>
      <c r="DKN1" t="s">
        <v>8532</v>
      </c>
      <c r="DKO1" t="s">
        <v>8533</v>
      </c>
      <c r="DKP1" t="s">
        <v>8534</v>
      </c>
      <c r="DKQ1" t="s">
        <v>8535</v>
      </c>
      <c r="DKR1" t="s">
        <v>8536</v>
      </c>
      <c r="DKS1" t="s">
        <v>8537</v>
      </c>
      <c r="DKT1" t="s">
        <v>8538</v>
      </c>
      <c r="DKU1" t="s">
        <v>8539</v>
      </c>
      <c r="DKV1" t="s">
        <v>8540</v>
      </c>
      <c r="DKW1" t="s">
        <v>8541</v>
      </c>
      <c r="DKX1" t="s">
        <v>8542</v>
      </c>
      <c r="DKY1" t="s">
        <v>8543</v>
      </c>
      <c r="DKZ1" t="s">
        <v>8544</v>
      </c>
      <c r="DLA1" t="s">
        <v>8545</v>
      </c>
      <c r="DLB1" t="s">
        <v>8546</v>
      </c>
      <c r="DLC1" t="s">
        <v>8547</v>
      </c>
      <c r="DLD1" t="s">
        <v>8548</v>
      </c>
      <c r="DLE1" t="s">
        <v>8549</v>
      </c>
      <c r="DLF1" t="s">
        <v>8550</v>
      </c>
      <c r="DLG1" t="s">
        <v>8551</v>
      </c>
      <c r="DLH1" t="s">
        <v>8552</v>
      </c>
      <c r="DLI1" t="s">
        <v>8553</v>
      </c>
      <c r="DLJ1" t="s">
        <v>8554</v>
      </c>
      <c r="DLK1" t="s">
        <v>8555</v>
      </c>
      <c r="DLL1" t="s">
        <v>8556</v>
      </c>
      <c r="DLM1" t="s">
        <v>8557</v>
      </c>
      <c r="DLN1" t="s">
        <v>8558</v>
      </c>
      <c r="DLO1" t="s">
        <v>8559</v>
      </c>
      <c r="DLP1" t="s">
        <v>8560</v>
      </c>
      <c r="DLQ1" t="s">
        <v>8561</v>
      </c>
      <c r="DLR1" t="s">
        <v>8562</v>
      </c>
      <c r="DLS1" t="s">
        <v>8563</v>
      </c>
      <c r="DLT1" t="s">
        <v>8564</v>
      </c>
      <c r="DLU1" t="s">
        <v>8565</v>
      </c>
      <c r="DLV1" t="s">
        <v>8566</v>
      </c>
      <c r="DLW1" t="s">
        <v>8567</v>
      </c>
      <c r="DLX1" t="s">
        <v>8568</v>
      </c>
      <c r="DLY1" t="s">
        <v>8569</v>
      </c>
      <c r="DLZ1" t="s">
        <v>8570</v>
      </c>
      <c r="DMA1" t="s">
        <v>8571</v>
      </c>
      <c r="DMB1" t="s">
        <v>8572</v>
      </c>
      <c r="DMC1" t="s">
        <v>8573</v>
      </c>
      <c r="DMD1" t="s">
        <v>8574</v>
      </c>
      <c r="DME1" t="s">
        <v>8575</v>
      </c>
      <c r="DMF1" t="s">
        <v>8576</v>
      </c>
      <c r="DMG1" t="s">
        <v>8577</v>
      </c>
      <c r="DMH1" t="s">
        <v>8578</v>
      </c>
      <c r="DMI1" t="s">
        <v>8579</v>
      </c>
      <c r="DMJ1" t="s">
        <v>8580</v>
      </c>
      <c r="DMK1" t="s">
        <v>8581</v>
      </c>
      <c r="DML1" t="s">
        <v>8582</v>
      </c>
      <c r="DMM1" t="s">
        <v>8583</v>
      </c>
      <c r="DMN1" t="s">
        <v>8584</v>
      </c>
      <c r="DMO1" t="s">
        <v>8585</v>
      </c>
      <c r="DMP1" t="s">
        <v>8586</v>
      </c>
      <c r="DMQ1" t="s">
        <v>8587</v>
      </c>
      <c r="DMR1" t="s">
        <v>8588</v>
      </c>
      <c r="DMS1" t="s">
        <v>8589</v>
      </c>
      <c r="DMT1" t="s">
        <v>8590</v>
      </c>
      <c r="DMU1" t="s">
        <v>8591</v>
      </c>
      <c r="DMV1" t="s">
        <v>8592</v>
      </c>
      <c r="DMW1" t="s">
        <v>8593</v>
      </c>
      <c r="DMX1" t="s">
        <v>8594</v>
      </c>
      <c r="DMY1" t="s">
        <v>8595</v>
      </c>
      <c r="DMZ1" t="s">
        <v>8596</v>
      </c>
      <c r="DNA1" t="s">
        <v>8597</v>
      </c>
      <c r="DNB1" t="s">
        <v>8598</v>
      </c>
      <c r="DNC1" t="s">
        <v>8599</v>
      </c>
      <c r="DND1" t="s">
        <v>8600</v>
      </c>
      <c r="DNE1" t="s">
        <v>8601</v>
      </c>
      <c r="DNF1" t="s">
        <v>8602</v>
      </c>
      <c r="DNG1" t="s">
        <v>8603</v>
      </c>
      <c r="DNH1" t="s">
        <v>8604</v>
      </c>
      <c r="DNI1" t="s">
        <v>8605</v>
      </c>
      <c r="DNJ1" t="s">
        <v>8606</v>
      </c>
      <c r="DNK1" t="s">
        <v>8607</v>
      </c>
      <c r="DNL1" t="s">
        <v>8608</v>
      </c>
      <c r="DNM1" t="s">
        <v>8609</v>
      </c>
      <c r="DNN1" t="s">
        <v>8610</v>
      </c>
      <c r="DNO1" t="s">
        <v>8611</v>
      </c>
      <c r="DNP1" t="s">
        <v>8612</v>
      </c>
      <c r="DNQ1" t="s">
        <v>8613</v>
      </c>
      <c r="DNR1" t="s">
        <v>8614</v>
      </c>
      <c r="DNS1" t="s">
        <v>8615</v>
      </c>
      <c r="DNT1" t="s">
        <v>8616</v>
      </c>
      <c r="DNU1" t="s">
        <v>8617</v>
      </c>
      <c r="DNV1" t="s">
        <v>8618</v>
      </c>
      <c r="DNW1" t="s">
        <v>8619</v>
      </c>
      <c r="DNX1" t="s">
        <v>8620</v>
      </c>
      <c r="DNY1" t="s">
        <v>8621</v>
      </c>
      <c r="DNZ1" t="s">
        <v>8622</v>
      </c>
      <c r="DOA1" t="s">
        <v>8623</v>
      </c>
      <c r="DOB1" t="s">
        <v>8624</v>
      </c>
      <c r="DOC1" t="s">
        <v>8625</v>
      </c>
      <c r="DOD1" t="s">
        <v>8626</v>
      </c>
      <c r="DOE1" t="s">
        <v>8627</v>
      </c>
      <c r="DOF1" t="s">
        <v>8628</v>
      </c>
      <c r="DOG1" t="s">
        <v>8629</v>
      </c>
      <c r="DOH1" t="s">
        <v>8630</v>
      </c>
      <c r="DOI1" t="s">
        <v>8631</v>
      </c>
      <c r="DOJ1" t="s">
        <v>8632</v>
      </c>
      <c r="DOK1" t="s">
        <v>8633</v>
      </c>
      <c r="DOL1" t="s">
        <v>8634</v>
      </c>
      <c r="DOM1" t="s">
        <v>8635</v>
      </c>
      <c r="DON1" t="s">
        <v>8636</v>
      </c>
      <c r="DOO1" t="s">
        <v>8637</v>
      </c>
      <c r="DOP1" t="s">
        <v>8638</v>
      </c>
      <c r="DOQ1" t="s">
        <v>8639</v>
      </c>
      <c r="DOR1" t="s">
        <v>8640</v>
      </c>
      <c r="DOS1" t="s">
        <v>8641</v>
      </c>
      <c r="DOT1" t="s">
        <v>8642</v>
      </c>
      <c r="DOU1" t="s">
        <v>8643</v>
      </c>
      <c r="DOV1" t="s">
        <v>8644</v>
      </c>
      <c r="DOW1" t="s">
        <v>8645</v>
      </c>
      <c r="DOX1" t="s">
        <v>8646</v>
      </c>
      <c r="DOY1" t="s">
        <v>8647</v>
      </c>
      <c r="DOZ1" t="s">
        <v>8648</v>
      </c>
      <c r="DPA1" t="s">
        <v>8649</v>
      </c>
      <c r="DPB1" t="s">
        <v>8650</v>
      </c>
      <c r="DPC1" t="s">
        <v>8651</v>
      </c>
      <c r="DPD1" t="s">
        <v>8652</v>
      </c>
      <c r="DPE1" t="s">
        <v>8653</v>
      </c>
      <c r="DPF1" t="s">
        <v>8654</v>
      </c>
      <c r="DPG1" t="s">
        <v>8655</v>
      </c>
      <c r="DPH1" t="s">
        <v>8656</v>
      </c>
      <c r="DPI1" t="s">
        <v>8657</v>
      </c>
      <c r="DPJ1" t="s">
        <v>8658</v>
      </c>
      <c r="DPK1" t="s">
        <v>8659</v>
      </c>
      <c r="DPL1" t="s">
        <v>8660</v>
      </c>
      <c r="DPM1" t="s">
        <v>8661</v>
      </c>
      <c r="DPN1" t="s">
        <v>8662</v>
      </c>
      <c r="DPO1" t="s">
        <v>8663</v>
      </c>
      <c r="DPP1" t="s">
        <v>8664</v>
      </c>
      <c r="DPQ1" t="s">
        <v>8665</v>
      </c>
      <c r="DPR1" t="s">
        <v>8666</v>
      </c>
      <c r="DPS1" t="s">
        <v>8667</v>
      </c>
      <c r="DPT1" t="s">
        <v>8668</v>
      </c>
      <c r="DPU1" t="s">
        <v>8669</v>
      </c>
      <c r="DPV1" t="s">
        <v>8670</v>
      </c>
      <c r="DPW1" t="s">
        <v>8671</v>
      </c>
      <c r="DPX1" t="s">
        <v>8672</v>
      </c>
      <c r="DPY1" t="s">
        <v>8673</v>
      </c>
      <c r="DPZ1" t="s">
        <v>8674</v>
      </c>
      <c r="DQA1" t="s">
        <v>8675</v>
      </c>
      <c r="DQB1" t="s">
        <v>8676</v>
      </c>
      <c r="DQC1" t="s">
        <v>8677</v>
      </c>
      <c r="DQD1" t="s">
        <v>8678</v>
      </c>
      <c r="DQE1" t="s">
        <v>8679</v>
      </c>
      <c r="DQF1" t="s">
        <v>8680</v>
      </c>
      <c r="DQG1" t="s">
        <v>8681</v>
      </c>
      <c r="DQH1" t="s">
        <v>8682</v>
      </c>
      <c r="DQI1" t="s">
        <v>8683</v>
      </c>
      <c r="DQJ1" t="s">
        <v>8684</v>
      </c>
      <c r="DQK1" t="s">
        <v>8685</v>
      </c>
      <c r="DQL1" t="s">
        <v>8686</v>
      </c>
      <c r="DQM1" t="s">
        <v>8687</v>
      </c>
      <c r="DQN1" t="s">
        <v>8688</v>
      </c>
      <c r="DQO1" t="s">
        <v>8689</v>
      </c>
      <c r="DQP1" t="s">
        <v>8690</v>
      </c>
      <c r="DQQ1" t="s">
        <v>8691</v>
      </c>
      <c r="DQR1" t="s">
        <v>8692</v>
      </c>
      <c r="DQS1" t="s">
        <v>8693</v>
      </c>
      <c r="DQT1" t="s">
        <v>8694</v>
      </c>
      <c r="DQU1" t="s">
        <v>8695</v>
      </c>
      <c r="DQV1" t="s">
        <v>8696</v>
      </c>
      <c r="DQW1" t="s">
        <v>8697</v>
      </c>
      <c r="DQX1" t="s">
        <v>8698</v>
      </c>
      <c r="DQY1" t="s">
        <v>8699</v>
      </c>
      <c r="DQZ1" t="s">
        <v>8700</v>
      </c>
      <c r="DRA1" t="s">
        <v>8701</v>
      </c>
      <c r="DRB1" t="s">
        <v>8702</v>
      </c>
      <c r="DRC1" t="s">
        <v>8703</v>
      </c>
      <c r="DRD1" t="s">
        <v>8704</v>
      </c>
      <c r="DRE1" t="s">
        <v>8705</v>
      </c>
      <c r="DRF1" t="s">
        <v>8706</v>
      </c>
      <c r="DRG1" t="s">
        <v>8707</v>
      </c>
      <c r="DRH1" t="s">
        <v>8708</v>
      </c>
      <c r="DRI1" t="s">
        <v>8709</v>
      </c>
      <c r="DRJ1" t="s">
        <v>8710</v>
      </c>
      <c r="DRK1" t="s">
        <v>8711</v>
      </c>
      <c r="DRL1" t="s">
        <v>8712</v>
      </c>
      <c r="DRM1" t="s">
        <v>8713</v>
      </c>
      <c r="DRN1" t="s">
        <v>8714</v>
      </c>
      <c r="DRO1" t="s">
        <v>8715</v>
      </c>
      <c r="DRP1" t="s">
        <v>8716</v>
      </c>
      <c r="DRQ1" t="s">
        <v>8717</v>
      </c>
      <c r="DRR1" t="s">
        <v>8718</v>
      </c>
      <c r="DRS1" t="s">
        <v>8719</v>
      </c>
      <c r="DRT1" t="s">
        <v>8720</v>
      </c>
      <c r="DRU1" t="s">
        <v>8721</v>
      </c>
      <c r="DRV1" t="s">
        <v>8722</v>
      </c>
      <c r="DRW1" t="s">
        <v>8723</v>
      </c>
      <c r="DRX1" t="s">
        <v>8724</v>
      </c>
      <c r="DRY1" t="s">
        <v>8725</v>
      </c>
      <c r="DRZ1" t="s">
        <v>8726</v>
      </c>
      <c r="DSA1" t="s">
        <v>8727</v>
      </c>
      <c r="DSB1" t="s">
        <v>8728</v>
      </c>
      <c r="DSC1" t="s">
        <v>8729</v>
      </c>
      <c r="DSD1" t="s">
        <v>8730</v>
      </c>
      <c r="DSE1" t="s">
        <v>8731</v>
      </c>
      <c r="DSF1" t="s">
        <v>8732</v>
      </c>
      <c r="DSG1" t="s">
        <v>8733</v>
      </c>
      <c r="DSH1" t="s">
        <v>8734</v>
      </c>
      <c r="DSI1" t="s">
        <v>8735</v>
      </c>
      <c r="DSJ1" t="s">
        <v>8736</v>
      </c>
      <c r="DSK1" t="s">
        <v>8737</v>
      </c>
      <c r="DSL1" t="s">
        <v>8738</v>
      </c>
      <c r="DSM1" t="s">
        <v>8739</v>
      </c>
      <c r="DSN1" t="s">
        <v>8740</v>
      </c>
      <c r="DSO1" t="s">
        <v>8741</v>
      </c>
      <c r="DSP1" t="s">
        <v>8742</v>
      </c>
      <c r="DSQ1" t="s">
        <v>8743</v>
      </c>
      <c r="DSR1" t="s">
        <v>8744</v>
      </c>
      <c r="DSS1" t="s">
        <v>8745</v>
      </c>
      <c r="DST1" t="s">
        <v>8746</v>
      </c>
      <c r="DSU1" t="s">
        <v>8747</v>
      </c>
      <c r="DSV1" t="s">
        <v>8748</v>
      </c>
      <c r="DSW1" t="s">
        <v>8749</v>
      </c>
      <c r="DSX1" t="s">
        <v>8750</v>
      </c>
      <c r="DSY1" t="s">
        <v>8751</v>
      </c>
      <c r="DSZ1" t="s">
        <v>8752</v>
      </c>
      <c r="DTA1" t="s">
        <v>8753</v>
      </c>
      <c r="DTB1" t="s">
        <v>8754</v>
      </c>
      <c r="DTC1" t="s">
        <v>8755</v>
      </c>
      <c r="DTD1" t="s">
        <v>8756</v>
      </c>
      <c r="DTE1" t="s">
        <v>8757</v>
      </c>
      <c r="DTF1" t="s">
        <v>8758</v>
      </c>
      <c r="DTG1" t="s">
        <v>8759</v>
      </c>
      <c r="DTH1" t="s">
        <v>8760</v>
      </c>
      <c r="DTI1" t="s">
        <v>8761</v>
      </c>
      <c r="DTJ1" t="s">
        <v>8762</v>
      </c>
      <c r="DTK1" t="s">
        <v>8763</v>
      </c>
      <c r="DTL1" t="s">
        <v>8764</v>
      </c>
      <c r="DTM1" t="s">
        <v>8765</v>
      </c>
      <c r="DTN1" t="s">
        <v>8766</v>
      </c>
      <c r="DTO1" t="s">
        <v>8767</v>
      </c>
      <c r="DTP1" t="s">
        <v>8768</v>
      </c>
      <c r="DTQ1" t="s">
        <v>8769</v>
      </c>
      <c r="DTR1" t="s">
        <v>8770</v>
      </c>
      <c r="DTS1" t="s">
        <v>8771</v>
      </c>
      <c r="DTT1" t="s">
        <v>8772</v>
      </c>
      <c r="DTU1" t="s">
        <v>8773</v>
      </c>
      <c r="DTV1" t="s">
        <v>8774</v>
      </c>
      <c r="DTW1" t="s">
        <v>8775</v>
      </c>
      <c r="DTX1" t="s">
        <v>8776</v>
      </c>
      <c r="DTY1" t="s">
        <v>8777</v>
      </c>
      <c r="DTZ1" t="s">
        <v>8778</v>
      </c>
      <c r="DUA1" t="s">
        <v>8779</v>
      </c>
      <c r="DUB1" t="s">
        <v>8780</v>
      </c>
      <c r="DUC1" t="s">
        <v>8781</v>
      </c>
      <c r="DUD1" t="s">
        <v>8782</v>
      </c>
      <c r="DUE1" t="s">
        <v>8783</v>
      </c>
      <c r="DUF1" t="s">
        <v>8784</v>
      </c>
      <c r="DUG1" t="s">
        <v>8785</v>
      </c>
      <c r="DUH1" t="s">
        <v>8786</v>
      </c>
      <c r="DUI1" t="s">
        <v>8787</v>
      </c>
      <c r="DUJ1" t="s">
        <v>8788</v>
      </c>
      <c r="DUK1" t="s">
        <v>8789</v>
      </c>
      <c r="DUL1" t="s">
        <v>8790</v>
      </c>
      <c r="DUM1" t="s">
        <v>8791</v>
      </c>
      <c r="DUN1" t="s">
        <v>8792</v>
      </c>
      <c r="DUO1" t="s">
        <v>8793</v>
      </c>
      <c r="DUP1" t="s">
        <v>8794</v>
      </c>
      <c r="DUQ1" t="s">
        <v>8795</v>
      </c>
      <c r="DUR1" t="s">
        <v>8796</v>
      </c>
      <c r="DUS1" t="s">
        <v>8797</v>
      </c>
      <c r="DUT1" t="s">
        <v>8798</v>
      </c>
      <c r="DUU1" t="s">
        <v>8799</v>
      </c>
      <c r="DUV1" t="s">
        <v>8800</v>
      </c>
      <c r="DUW1" t="s">
        <v>8801</v>
      </c>
      <c r="DUX1" t="s">
        <v>8802</v>
      </c>
      <c r="DUY1" t="s">
        <v>8803</v>
      </c>
      <c r="DUZ1" t="s">
        <v>8804</v>
      </c>
      <c r="DVA1" t="s">
        <v>8805</v>
      </c>
      <c r="DVB1" t="s">
        <v>8806</v>
      </c>
      <c r="DVC1" t="s">
        <v>8807</v>
      </c>
      <c r="DVD1" t="s">
        <v>8808</v>
      </c>
      <c r="DVE1" t="s">
        <v>8809</v>
      </c>
      <c r="DVF1" t="s">
        <v>8810</v>
      </c>
      <c r="DVG1" t="s">
        <v>8811</v>
      </c>
      <c r="DVH1" t="s">
        <v>8812</v>
      </c>
      <c r="DVI1" t="s">
        <v>8813</v>
      </c>
      <c r="DVJ1" t="s">
        <v>8814</v>
      </c>
      <c r="DVK1" t="s">
        <v>8815</v>
      </c>
      <c r="DVL1" t="s">
        <v>8816</v>
      </c>
      <c r="DVM1" t="s">
        <v>8817</v>
      </c>
      <c r="DVN1" t="s">
        <v>8818</v>
      </c>
      <c r="DVO1" t="s">
        <v>8819</v>
      </c>
      <c r="DVP1" t="s">
        <v>8820</v>
      </c>
      <c r="DVQ1" t="s">
        <v>8821</v>
      </c>
      <c r="DVR1" t="s">
        <v>8822</v>
      </c>
      <c r="DVS1" t="s">
        <v>8823</v>
      </c>
      <c r="DVT1" t="s">
        <v>8824</v>
      </c>
      <c r="DVU1" t="s">
        <v>8825</v>
      </c>
      <c r="DVV1" t="s">
        <v>8826</v>
      </c>
      <c r="DVW1" t="s">
        <v>8827</v>
      </c>
      <c r="DVX1" t="s">
        <v>8828</v>
      </c>
      <c r="DVY1" t="s">
        <v>8829</v>
      </c>
      <c r="DVZ1" t="s">
        <v>8830</v>
      </c>
      <c r="DWA1" t="s">
        <v>8831</v>
      </c>
      <c r="DWB1" t="s">
        <v>8832</v>
      </c>
      <c r="DWC1" t="s">
        <v>8833</v>
      </c>
      <c r="DWD1" t="s">
        <v>8834</v>
      </c>
      <c r="DWE1" t="s">
        <v>8835</v>
      </c>
      <c r="DWF1" t="s">
        <v>8836</v>
      </c>
      <c r="DWG1" t="s">
        <v>8837</v>
      </c>
      <c r="DWH1" t="s">
        <v>8838</v>
      </c>
      <c r="DWI1" t="s">
        <v>8839</v>
      </c>
      <c r="DWJ1" t="s">
        <v>8840</v>
      </c>
      <c r="DWK1" t="s">
        <v>8841</v>
      </c>
      <c r="DWL1" t="s">
        <v>8842</v>
      </c>
      <c r="DWM1" t="s">
        <v>8843</v>
      </c>
      <c r="DWN1" t="s">
        <v>8844</v>
      </c>
      <c r="DWO1" t="s">
        <v>8845</v>
      </c>
      <c r="DWP1" t="s">
        <v>8846</v>
      </c>
      <c r="DWQ1" t="s">
        <v>8847</v>
      </c>
      <c r="DWR1" t="s">
        <v>8848</v>
      </c>
      <c r="DWS1" t="s">
        <v>8849</v>
      </c>
      <c r="DWT1" t="s">
        <v>8850</v>
      </c>
      <c r="DWU1" t="s">
        <v>8851</v>
      </c>
      <c r="DWV1" t="s">
        <v>8852</v>
      </c>
      <c r="DWW1" t="s">
        <v>8853</v>
      </c>
      <c r="DWX1" t="s">
        <v>8854</v>
      </c>
      <c r="DWY1" t="s">
        <v>8855</v>
      </c>
      <c r="DWZ1" t="s">
        <v>8856</v>
      </c>
      <c r="DXA1" t="s">
        <v>8857</v>
      </c>
      <c r="DXB1" t="s">
        <v>8858</v>
      </c>
      <c r="DXC1" t="s">
        <v>8859</v>
      </c>
      <c r="DXD1" t="s">
        <v>8860</v>
      </c>
      <c r="DXE1" t="s">
        <v>8861</v>
      </c>
      <c r="DXF1" t="s">
        <v>8862</v>
      </c>
      <c r="DXG1" t="s">
        <v>8863</v>
      </c>
      <c r="DXH1" t="s">
        <v>8864</v>
      </c>
      <c r="DXI1" t="s">
        <v>8865</v>
      </c>
      <c r="DXJ1" t="s">
        <v>8866</v>
      </c>
      <c r="DXK1" t="s">
        <v>8867</v>
      </c>
      <c r="DXL1" t="s">
        <v>8868</v>
      </c>
      <c r="DXM1" t="s">
        <v>8869</v>
      </c>
      <c r="DXN1" t="s">
        <v>8870</v>
      </c>
      <c r="DXO1" t="s">
        <v>8871</v>
      </c>
      <c r="DXP1" t="s">
        <v>8872</v>
      </c>
      <c r="DXQ1" t="s">
        <v>8873</v>
      </c>
      <c r="DXR1" t="s">
        <v>8874</v>
      </c>
      <c r="DXS1" t="s">
        <v>8875</v>
      </c>
      <c r="DXT1" t="s">
        <v>8876</v>
      </c>
      <c r="DXU1" t="s">
        <v>8877</v>
      </c>
      <c r="DXV1" t="s">
        <v>8878</v>
      </c>
      <c r="DXW1" t="s">
        <v>8879</v>
      </c>
      <c r="DXX1" t="s">
        <v>8880</v>
      </c>
      <c r="DXY1" t="s">
        <v>8881</v>
      </c>
      <c r="DXZ1" t="s">
        <v>8882</v>
      </c>
      <c r="DYA1" t="s">
        <v>8883</v>
      </c>
      <c r="DYB1" t="s">
        <v>8884</v>
      </c>
      <c r="DYC1" t="s">
        <v>8885</v>
      </c>
      <c r="DYD1" t="s">
        <v>8886</v>
      </c>
      <c r="DYE1" t="s">
        <v>8887</v>
      </c>
      <c r="DYF1" t="s">
        <v>8888</v>
      </c>
      <c r="DYG1" t="s">
        <v>8889</v>
      </c>
      <c r="DYH1" t="s">
        <v>8890</v>
      </c>
      <c r="DYI1" t="s">
        <v>8891</v>
      </c>
      <c r="DYJ1" t="s">
        <v>8892</v>
      </c>
      <c r="DYK1" t="s">
        <v>8893</v>
      </c>
      <c r="DYL1" t="s">
        <v>8894</v>
      </c>
      <c r="DYM1" t="s">
        <v>8895</v>
      </c>
      <c r="DYN1" t="s">
        <v>8896</v>
      </c>
      <c r="DYO1" t="s">
        <v>8897</v>
      </c>
      <c r="DYP1" t="s">
        <v>8898</v>
      </c>
      <c r="DYQ1" t="s">
        <v>8899</v>
      </c>
      <c r="DYR1" t="s">
        <v>8900</v>
      </c>
      <c r="DYS1" t="s">
        <v>8901</v>
      </c>
      <c r="DYT1" t="s">
        <v>8902</v>
      </c>
      <c r="DYU1" t="s">
        <v>8903</v>
      </c>
      <c r="DYV1" t="s">
        <v>8904</v>
      </c>
      <c r="DYW1" t="s">
        <v>8905</v>
      </c>
      <c r="DYX1" t="s">
        <v>8906</v>
      </c>
      <c r="DYY1" t="s">
        <v>8907</v>
      </c>
      <c r="DYZ1" t="s">
        <v>8908</v>
      </c>
      <c r="DZA1" t="s">
        <v>8909</v>
      </c>
      <c r="DZB1" t="s">
        <v>8910</v>
      </c>
      <c r="DZC1" t="s">
        <v>8911</v>
      </c>
      <c r="DZD1" t="s">
        <v>8912</v>
      </c>
      <c r="DZE1" t="s">
        <v>8913</v>
      </c>
      <c r="DZF1" t="s">
        <v>8914</v>
      </c>
      <c r="DZG1" t="s">
        <v>8915</v>
      </c>
      <c r="DZH1" t="s">
        <v>8916</v>
      </c>
      <c r="DZI1" t="s">
        <v>8917</v>
      </c>
      <c r="DZJ1" t="s">
        <v>8918</v>
      </c>
      <c r="DZK1" t="s">
        <v>8919</v>
      </c>
      <c r="DZL1" t="s">
        <v>8920</v>
      </c>
      <c r="DZM1" t="s">
        <v>8921</v>
      </c>
      <c r="DZN1" t="s">
        <v>8922</v>
      </c>
      <c r="DZO1" t="s">
        <v>8923</v>
      </c>
      <c r="DZP1" t="s">
        <v>8924</v>
      </c>
      <c r="DZQ1" t="s">
        <v>8925</v>
      </c>
      <c r="DZR1" t="s">
        <v>8926</v>
      </c>
      <c r="DZS1" t="s">
        <v>8927</v>
      </c>
      <c r="DZT1" t="s">
        <v>8928</v>
      </c>
      <c r="DZU1" t="s">
        <v>8929</v>
      </c>
      <c r="DZV1" t="s">
        <v>8930</v>
      </c>
      <c r="DZW1" t="s">
        <v>8931</v>
      </c>
      <c r="DZX1" t="s">
        <v>8932</v>
      </c>
      <c r="DZY1" t="s">
        <v>8933</v>
      </c>
      <c r="DZZ1" t="s">
        <v>8934</v>
      </c>
      <c r="EAA1" t="s">
        <v>8935</v>
      </c>
      <c r="EAB1" t="s">
        <v>8936</v>
      </c>
      <c r="EAC1" t="s">
        <v>8937</v>
      </c>
      <c r="EAD1" t="s">
        <v>8938</v>
      </c>
      <c r="EAE1" t="s">
        <v>8939</v>
      </c>
      <c r="EAF1" t="s">
        <v>8940</v>
      </c>
      <c r="EAG1" t="s">
        <v>8941</v>
      </c>
      <c r="EAH1" t="s">
        <v>8942</v>
      </c>
      <c r="EAI1" t="s">
        <v>8943</v>
      </c>
      <c r="EAJ1" t="s">
        <v>8944</v>
      </c>
      <c r="EAK1" t="s">
        <v>8945</v>
      </c>
      <c r="EAL1" t="s">
        <v>8946</v>
      </c>
      <c r="EAM1" t="s">
        <v>8947</v>
      </c>
      <c r="EAN1" t="s">
        <v>8948</v>
      </c>
      <c r="EAO1" t="s">
        <v>8949</v>
      </c>
      <c r="EAP1" t="s">
        <v>8950</v>
      </c>
      <c r="EAQ1" t="s">
        <v>8951</v>
      </c>
      <c r="EAR1" t="s">
        <v>8952</v>
      </c>
      <c r="EAS1" t="s">
        <v>8953</v>
      </c>
      <c r="EAT1" t="s">
        <v>8954</v>
      </c>
      <c r="EAU1" t="s">
        <v>8955</v>
      </c>
      <c r="EAV1" t="s">
        <v>8956</v>
      </c>
      <c r="EAW1" t="s">
        <v>8957</v>
      </c>
      <c r="EAX1" t="s">
        <v>8958</v>
      </c>
      <c r="EAY1" t="s">
        <v>8959</v>
      </c>
      <c r="EAZ1" t="s">
        <v>8960</v>
      </c>
      <c r="EBA1" t="s">
        <v>8961</v>
      </c>
      <c r="EBB1" t="s">
        <v>8962</v>
      </c>
      <c r="EBC1" t="s">
        <v>8963</v>
      </c>
      <c r="EBD1" t="s">
        <v>8964</v>
      </c>
      <c r="EBE1" t="s">
        <v>8965</v>
      </c>
      <c r="EBF1" t="s">
        <v>8966</v>
      </c>
      <c r="EBG1" t="s">
        <v>8967</v>
      </c>
      <c r="EBH1" t="s">
        <v>8968</v>
      </c>
      <c r="EBI1" t="s">
        <v>8969</v>
      </c>
      <c r="EBJ1" t="s">
        <v>8970</v>
      </c>
      <c r="EBK1" t="s">
        <v>8971</v>
      </c>
      <c r="EBL1" t="s">
        <v>8972</v>
      </c>
      <c r="EBM1" t="s">
        <v>8973</v>
      </c>
      <c r="EBN1" t="s">
        <v>8974</v>
      </c>
      <c r="EBO1" t="s">
        <v>8975</v>
      </c>
      <c r="EBP1" t="s">
        <v>8976</v>
      </c>
      <c r="EBQ1" t="s">
        <v>8977</v>
      </c>
      <c r="EBR1" t="s">
        <v>8978</v>
      </c>
      <c r="EBS1" t="s">
        <v>8979</v>
      </c>
      <c r="EBT1" t="s">
        <v>8980</v>
      </c>
      <c r="EBU1" t="s">
        <v>8981</v>
      </c>
      <c r="EBV1" t="s">
        <v>8982</v>
      </c>
      <c r="EBW1" t="s">
        <v>8983</v>
      </c>
      <c r="EBX1" t="s">
        <v>8984</v>
      </c>
      <c r="EBY1" t="s">
        <v>8985</v>
      </c>
      <c r="EBZ1" t="s">
        <v>8986</v>
      </c>
      <c r="ECA1" t="s">
        <v>8987</v>
      </c>
      <c r="ECB1" t="s">
        <v>8988</v>
      </c>
      <c r="ECC1" t="s">
        <v>8989</v>
      </c>
      <c r="ECD1" t="s">
        <v>8990</v>
      </c>
      <c r="ECE1" t="s">
        <v>8991</v>
      </c>
      <c r="ECF1" t="s">
        <v>8992</v>
      </c>
      <c r="ECG1" t="s">
        <v>8993</v>
      </c>
      <c r="ECH1" t="s">
        <v>8994</v>
      </c>
      <c r="ECI1" t="s">
        <v>8995</v>
      </c>
      <c r="ECJ1" t="s">
        <v>8996</v>
      </c>
      <c r="ECK1" t="s">
        <v>8997</v>
      </c>
      <c r="ECL1" t="s">
        <v>8998</v>
      </c>
      <c r="ECM1" t="s">
        <v>8999</v>
      </c>
      <c r="ECN1" t="s">
        <v>9000</v>
      </c>
      <c r="ECO1" t="s">
        <v>9001</v>
      </c>
      <c r="ECP1" t="s">
        <v>9002</v>
      </c>
      <c r="ECQ1" t="s">
        <v>9003</v>
      </c>
      <c r="ECR1" t="s">
        <v>9004</v>
      </c>
      <c r="ECS1" t="s">
        <v>9005</v>
      </c>
      <c r="ECT1" t="s">
        <v>9006</v>
      </c>
      <c r="ECU1" t="s">
        <v>9007</v>
      </c>
      <c r="ECV1" t="s">
        <v>9008</v>
      </c>
      <c r="ECW1" t="s">
        <v>9009</v>
      </c>
      <c r="ECX1" t="s">
        <v>9010</v>
      </c>
      <c r="ECY1" t="s">
        <v>9011</v>
      </c>
      <c r="ECZ1" t="s">
        <v>9012</v>
      </c>
      <c r="EDA1" t="s">
        <v>9013</v>
      </c>
      <c r="EDB1" t="s">
        <v>9014</v>
      </c>
      <c r="EDC1" t="s">
        <v>9015</v>
      </c>
      <c r="EDD1" t="s">
        <v>9016</v>
      </c>
      <c r="EDE1" t="s">
        <v>9017</v>
      </c>
      <c r="EDF1" t="s">
        <v>9018</v>
      </c>
      <c r="EDG1" t="s">
        <v>9019</v>
      </c>
      <c r="EDH1" t="s">
        <v>9020</v>
      </c>
      <c r="EDI1" t="s">
        <v>9021</v>
      </c>
      <c r="EDJ1" t="s">
        <v>9022</v>
      </c>
      <c r="EDK1" t="s">
        <v>9023</v>
      </c>
      <c r="EDL1" t="s">
        <v>9024</v>
      </c>
      <c r="EDM1" t="s">
        <v>9025</v>
      </c>
      <c r="EDN1" t="s">
        <v>9026</v>
      </c>
      <c r="EDO1" t="s">
        <v>9027</v>
      </c>
      <c r="EDP1" t="s">
        <v>9028</v>
      </c>
      <c r="EDQ1" t="s">
        <v>9029</v>
      </c>
      <c r="EDR1" t="s">
        <v>9030</v>
      </c>
      <c r="EDS1" t="s">
        <v>9031</v>
      </c>
      <c r="EDT1" t="s">
        <v>9032</v>
      </c>
      <c r="EDU1" t="s">
        <v>9033</v>
      </c>
      <c r="EDV1" t="s">
        <v>9034</v>
      </c>
      <c r="EDW1" t="s">
        <v>9035</v>
      </c>
      <c r="EDX1" t="s">
        <v>9036</v>
      </c>
      <c r="EDY1" t="s">
        <v>9037</v>
      </c>
      <c r="EDZ1" t="s">
        <v>9038</v>
      </c>
      <c r="EEA1" t="s">
        <v>9039</v>
      </c>
      <c r="EEB1" t="s">
        <v>9040</v>
      </c>
      <c r="EEC1" t="s">
        <v>9041</v>
      </c>
      <c r="EED1" t="s">
        <v>9042</v>
      </c>
      <c r="EEE1" t="s">
        <v>9043</v>
      </c>
      <c r="EEF1" t="s">
        <v>9044</v>
      </c>
      <c r="EEG1" t="s">
        <v>9045</v>
      </c>
      <c r="EEH1" t="s">
        <v>9046</v>
      </c>
      <c r="EEI1" t="s">
        <v>9047</v>
      </c>
      <c r="EEJ1" t="s">
        <v>9048</v>
      </c>
      <c r="EEK1" t="s">
        <v>9049</v>
      </c>
      <c r="EEL1" t="s">
        <v>9050</v>
      </c>
      <c r="EEM1" t="s">
        <v>9051</v>
      </c>
      <c r="EEN1" t="s">
        <v>9052</v>
      </c>
      <c r="EEO1" t="s">
        <v>9053</v>
      </c>
      <c r="EEP1" t="s">
        <v>9054</v>
      </c>
      <c r="EEQ1" t="s">
        <v>9055</v>
      </c>
      <c r="EER1" t="s">
        <v>9056</v>
      </c>
      <c r="EES1" t="s">
        <v>9057</v>
      </c>
      <c r="EET1" t="s">
        <v>9058</v>
      </c>
      <c r="EEU1" t="s">
        <v>9059</v>
      </c>
      <c r="EEV1" t="s">
        <v>9060</v>
      </c>
      <c r="EEW1" t="s">
        <v>9061</v>
      </c>
      <c r="EEX1" t="s">
        <v>9062</v>
      </c>
      <c r="EEY1" t="s">
        <v>9063</v>
      </c>
      <c r="EEZ1" t="s">
        <v>9064</v>
      </c>
      <c r="EFA1" t="s">
        <v>9065</v>
      </c>
      <c r="EFB1" t="s">
        <v>9066</v>
      </c>
      <c r="EFC1" t="s">
        <v>9067</v>
      </c>
      <c r="EFD1" t="s">
        <v>9068</v>
      </c>
      <c r="EFE1" t="s">
        <v>9069</v>
      </c>
      <c r="EFF1" t="s">
        <v>9070</v>
      </c>
      <c r="EFG1" t="s">
        <v>9071</v>
      </c>
      <c r="EFH1" t="s">
        <v>9072</v>
      </c>
      <c r="EFI1" t="s">
        <v>9073</v>
      </c>
      <c r="EFJ1" t="s">
        <v>9074</v>
      </c>
      <c r="EFK1" t="s">
        <v>9075</v>
      </c>
      <c r="EFL1" t="s">
        <v>9076</v>
      </c>
      <c r="EFM1" t="s">
        <v>9077</v>
      </c>
      <c r="EFN1" t="s">
        <v>9078</v>
      </c>
      <c r="EFO1" t="s">
        <v>9079</v>
      </c>
      <c r="EFP1" t="s">
        <v>9080</v>
      </c>
      <c r="EFQ1" t="s">
        <v>9081</v>
      </c>
      <c r="EFR1" t="s">
        <v>9082</v>
      </c>
      <c r="EFS1" t="s">
        <v>9083</v>
      </c>
      <c r="EFT1" t="s">
        <v>9084</v>
      </c>
      <c r="EFU1" t="s">
        <v>9085</v>
      </c>
      <c r="EFV1" t="s">
        <v>9086</v>
      </c>
      <c r="EFW1" t="s">
        <v>9087</v>
      </c>
      <c r="EFX1" t="s">
        <v>9088</v>
      </c>
      <c r="EFY1" t="s">
        <v>9089</v>
      </c>
      <c r="EFZ1" t="s">
        <v>9090</v>
      </c>
      <c r="EGA1" t="s">
        <v>9091</v>
      </c>
      <c r="EGB1" t="s">
        <v>9092</v>
      </c>
      <c r="EGC1" t="s">
        <v>9093</v>
      </c>
      <c r="EGD1" t="s">
        <v>9094</v>
      </c>
      <c r="EGE1" t="s">
        <v>9095</v>
      </c>
      <c r="EGF1" t="s">
        <v>9096</v>
      </c>
      <c r="EGG1" t="s">
        <v>9097</v>
      </c>
      <c r="EGH1" t="s">
        <v>9098</v>
      </c>
      <c r="EGI1" t="s">
        <v>9099</v>
      </c>
      <c r="EGJ1" t="s">
        <v>9100</v>
      </c>
      <c r="EGK1" t="s">
        <v>9101</v>
      </c>
      <c r="EGL1" t="s">
        <v>9102</v>
      </c>
      <c r="EGM1" t="s">
        <v>9103</v>
      </c>
      <c r="EGN1" t="s">
        <v>9104</v>
      </c>
      <c r="EGO1" t="s">
        <v>9105</v>
      </c>
      <c r="EGP1" t="s">
        <v>9106</v>
      </c>
      <c r="EGQ1" t="s">
        <v>9107</v>
      </c>
      <c r="EGR1" t="s">
        <v>9108</v>
      </c>
      <c r="EGS1" t="s">
        <v>9109</v>
      </c>
      <c r="EGT1" t="s">
        <v>9110</v>
      </c>
      <c r="EGU1" t="s">
        <v>9111</v>
      </c>
      <c r="EGV1" t="s">
        <v>9112</v>
      </c>
      <c r="EGW1" t="s">
        <v>9113</v>
      </c>
      <c r="EGX1" t="s">
        <v>9114</v>
      </c>
      <c r="EGY1" t="s">
        <v>9115</v>
      </c>
      <c r="EGZ1" t="s">
        <v>9116</v>
      </c>
      <c r="EHA1" t="s">
        <v>9117</v>
      </c>
      <c r="EHB1" t="s">
        <v>9118</v>
      </c>
      <c r="EHC1" t="s">
        <v>9119</v>
      </c>
      <c r="EHD1" t="s">
        <v>9120</v>
      </c>
      <c r="EHE1" t="s">
        <v>9121</v>
      </c>
      <c r="EHF1" t="s">
        <v>9122</v>
      </c>
      <c r="EHG1" t="s">
        <v>9123</v>
      </c>
      <c r="EHH1" t="s">
        <v>9124</v>
      </c>
      <c r="EHI1" t="s">
        <v>9125</v>
      </c>
      <c r="EHJ1" t="s">
        <v>9126</v>
      </c>
      <c r="EHK1" t="s">
        <v>9127</v>
      </c>
      <c r="EHL1" t="s">
        <v>9128</v>
      </c>
      <c r="EHM1" t="s">
        <v>9129</v>
      </c>
      <c r="EHN1" t="s">
        <v>9130</v>
      </c>
      <c r="EHO1" t="s">
        <v>9131</v>
      </c>
      <c r="EHP1" t="s">
        <v>9132</v>
      </c>
      <c r="EHQ1" t="s">
        <v>9133</v>
      </c>
      <c r="EHR1" t="s">
        <v>9134</v>
      </c>
      <c r="EHS1" t="s">
        <v>9135</v>
      </c>
      <c r="EHT1" t="s">
        <v>9136</v>
      </c>
      <c r="EHU1" t="s">
        <v>9137</v>
      </c>
      <c r="EHV1" t="s">
        <v>9138</v>
      </c>
      <c r="EHW1" t="s">
        <v>9139</v>
      </c>
      <c r="EHX1" t="s">
        <v>9140</v>
      </c>
      <c r="EHY1" t="s">
        <v>9141</v>
      </c>
      <c r="EHZ1" t="s">
        <v>9142</v>
      </c>
      <c r="EIA1" t="s">
        <v>9143</v>
      </c>
      <c r="EIB1" t="s">
        <v>9144</v>
      </c>
      <c r="EIC1" t="s">
        <v>9145</v>
      </c>
      <c r="EID1" t="s">
        <v>9146</v>
      </c>
      <c r="EIE1" t="s">
        <v>9147</v>
      </c>
      <c r="EIF1" t="s">
        <v>9148</v>
      </c>
      <c r="EIG1" t="s">
        <v>9149</v>
      </c>
      <c r="EIH1" t="s">
        <v>9150</v>
      </c>
      <c r="EII1" t="s">
        <v>9151</v>
      </c>
      <c r="EIJ1" t="s">
        <v>9152</v>
      </c>
      <c r="EIK1" t="s">
        <v>9153</v>
      </c>
      <c r="EIL1" t="s">
        <v>9154</v>
      </c>
      <c r="EIM1" t="s">
        <v>9155</v>
      </c>
      <c r="EIN1" t="s">
        <v>9156</v>
      </c>
      <c r="EIO1" t="s">
        <v>9157</v>
      </c>
      <c r="EIP1" t="s">
        <v>9158</v>
      </c>
      <c r="EIQ1" t="s">
        <v>9159</v>
      </c>
      <c r="EIR1" t="s">
        <v>9160</v>
      </c>
      <c r="EIS1" t="s">
        <v>9161</v>
      </c>
      <c r="EIT1" t="s">
        <v>9162</v>
      </c>
      <c r="EIU1" t="s">
        <v>9163</v>
      </c>
      <c r="EIV1" t="s">
        <v>9164</v>
      </c>
      <c r="EIW1" t="s">
        <v>9165</v>
      </c>
      <c r="EIX1" t="s">
        <v>9166</v>
      </c>
      <c r="EIY1" t="s">
        <v>9167</v>
      </c>
      <c r="EIZ1" t="s">
        <v>9168</v>
      </c>
      <c r="EJA1" t="s">
        <v>9169</v>
      </c>
      <c r="EJB1" t="s">
        <v>9170</v>
      </c>
      <c r="EJC1" t="s">
        <v>9171</v>
      </c>
      <c r="EJD1" t="s">
        <v>9172</v>
      </c>
      <c r="EJE1" t="s">
        <v>9173</v>
      </c>
      <c r="EJF1" t="s">
        <v>9174</v>
      </c>
      <c r="EJG1" t="s">
        <v>9175</v>
      </c>
      <c r="EJH1" t="s">
        <v>9176</v>
      </c>
      <c r="EJI1" t="s">
        <v>9177</v>
      </c>
      <c r="EJJ1" t="s">
        <v>9178</v>
      </c>
      <c r="EJK1" t="s">
        <v>9179</v>
      </c>
      <c r="EJL1" t="s">
        <v>9180</v>
      </c>
      <c r="EJM1" t="s">
        <v>9181</v>
      </c>
      <c r="EJN1" t="s">
        <v>9182</v>
      </c>
      <c r="EJO1" t="s">
        <v>9183</v>
      </c>
      <c r="EJP1" t="s">
        <v>9184</v>
      </c>
      <c r="EJQ1" t="s">
        <v>9185</v>
      </c>
      <c r="EJR1" t="s">
        <v>9186</v>
      </c>
      <c r="EJS1" t="s">
        <v>9187</v>
      </c>
      <c r="EJT1" t="s">
        <v>9188</v>
      </c>
      <c r="EJU1" t="s">
        <v>9189</v>
      </c>
      <c r="EJV1" t="s">
        <v>9190</v>
      </c>
      <c r="EJW1" t="s">
        <v>9191</v>
      </c>
      <c r="EJX1" t="s">
        <v>9192</v>
      </c>
      <c r="EJY1" t="s">
        <v>9193</v>
      </c>
      <c r="EJZ1" t="s">
        <v>9194</v>
      </c>
      <c r="EKA1" t="s">
        <v>9195</v>
      </c>
      <c r="EKB1" t="s">
        <v>9196</v>
      </c>
      <c r="EKC1" t="s">
        <v>9197</v>
      </c>
      <c r="EKD1" t="s">
        <v>9198</v>
      </c>
      <c r="EKE1" t="s">
        <v>9199</v>
      </c>
      <c r="EKF1" t="s">
        <v>9200</v>
      </c>
      <c r="EKG1" t="s">
        <v>9201</v>
      </c>
      <c r="EKH1" t="s">
        <v>9202</v>
      </c>
      <c r="EKI1" t="s">
        <v>9203</v>
      </c>
      <c r="EKJ1" t="s">
        <v>9204</v>
      </c>
      <c r="EKK1" t="s">
        <v>9205</v>
      </c>
      <c r="EKL1" t="s">
        <v>9206</v>
      </c>
      <c r="EKM1" t="s">
        <v>9207</v>
      </c>
      <c r="EKN1" t="s">
        <v>9208</v>
      </c>
      <c r="EKO1" t="s">
        <v>9209</v>
      </c>
      <c r="EKP1" t="s">
        <v>9210</v>
      </c>
      <c r="EKQ1" t="s">
        <v>9211</v>
      </c>
      <c r="EKR1" t="s">
        <v>9212</v>
      </c>
      <c r="EKS1" t="s">
        <v>9213</v>
      </c>
      <c r="EKT1" t="s">
        <v>9214</v>
      </c>
      <c r="EKU1" t="s">
        <v>9215</v>
      </c>
      <c r="EKV1" t="s">
        <v>9216</v>
      </c>
      <c r="EKW1" t="s">
        <v>9217</v>
      </c>
      <c r="EKX1" t="s">
        <v>9218</v>
      </c>
      <c r="EKY1" t="s">
        <v>9219</v>
      </c>
      <c r="EKZ1" t="s">
        <v>9220</v>
      </c>
      <c r="ELA1" t="s">
        <v>9221</v>
      </c>
      <c r="ELB1" t="s">
        <v>9222</v>
      </c>
      <c r="ELC1" t="s">
        <v>9223</v>
      </c>
      <c r="ELD1" t="s">
        <v>9224</v>
      </c>
      <c r="ELE1" t="s">
        <v>9225</v>
      </c>
      <c r="ELF1" t="s">
        <v>9226</v>
      </c>
      <c r="ELG1" t="s">
        <v>9227</v>
      </c>
      <c r="ELH1" t="s">
        <v>9228</v>
      </c>
      <c r="ELI1" t="s">
        <v>9229</v>
      </c>
      <c r="ELJ1" t="s">
        <v>9230</v>
      </c>
      <c r="ELK1" t="s">
        <v>9231</v>
      </c>
      <c r="ELL1" t="s">
        <v>9232</v>
      </c>
      <c r="ELM1" t="s">
        <v>9233</v>
      </c>
      <c r="ELN1" t="s">
        <v>9234</v>
      </c>
      <c r="ELO1" t="s">
        <v>9235</v>
      </c>
      <c r="ELP1" t="s">
        <v>9236</v>
      </c>
      <c r="ELQ1" t="s">
        <v>9237</v>
      </c>
      <c r="ELR1" t="s">
        <v>9238</v>
      </c>
      <c r="ELS1" t="s">
        <v>9239</v>
      </c>
      <c r="ELT1" t="s">
        <v>9240</v>
      </c>
      <c r="ELU1" t="s">
        <v>9241</v>
      </c>
      <c r="ELV1" t="s">
        <v>9242</v>
      </c>
      <c r="ELW1" t="s">
        <v>9243</v>
      </c>
      <c r="ELX1" t="s">
        <v>9244</v>
      </c>
      <c r="ELY1" t="s">
        <v>9245</v>
      </c>
      <c r="ELZ1" t="s">
        <v>9246</v>
      </c>
      <c r="EMA1" t="s">
        <v>9247</v>
      </c>
      <c r="EMB1" t="s">
        <v>9248</v>
      </c>
      <c r="EMC1" t="s">
        <v>9249</v>
      </c>
      <c r="EMD1" t="s">
        <v>9250</v>
      </c>
      <c r="EME1" t="s">
        <v>9251</v>
      </c>
      <c r="EMF1" t="s">
        <v>9252</v>
      </c>
      <c r="EMG1" t="s">
        <v>9253</v>
      </c>
      <c r="EMH1" t="s">
        <v>9254</v>
      </c>
      <c r="EMI1" t="s">
        <v>9255</v>
      </c>
      <c r="EMJ1" t="s">
        <v>9256</v>
      </c>
      <c r="EMK1" t="s">
        <v>9257</v>
      </c>
      <c r="EML1" t="s">
        <v>9258</v>
      </c>
      <c r="EMM1" t="s">
        <v>9259</v>
      </c>
      <c r="EMN1" t="s">
        <v>9260</v>
      </c>
      <c r="EMO1" t="s">
        <v>9261</v>
      </c>
      <c r="EMP1" t="s">
        <v>9262</v>
      </c>
      <c r="EMQ1" t="s">
        <v>9263</v>
      </c>
      <c r="EMR1" t="s">
        <v>9264</v>
      </c>
      <c r="EMS1" t="s">
        <v>9265</v>
      </c>
      <c r="EMT1" t="s">
        <v>9266</v>
      </c>
      <c r="EMU1" t="s">
        <v>9267</v>
      </c>
      <c r="EMV1" t="s">
        <v>9268</v>
      </c>
      <c r="EMW1" t="s">
        <v>9269</v>
      </c>
      <c r="EMX1" t="s">
        <v>9270</v>
      </c>
      <c r="EMY1" t="s">
        <v>9271</v>
      </c>
      <c r="EMZ1" t="s">
        <v>9272</v>
      </c>
      <c r="ENA1" t="s">
        <v>9273</v>
      </c>
      <c r="ENB1" t="s">
        <v>9274</v>
      </c>
      <c r="ENC1" t="s">
        <v>9275</v>
      </c>
      <c r="END1" t="s">
        <v>9276</v>
      </c>
      <c r="ENE1" t="s">
        <v>9277</v>
      </c>
      <c r="ENF1" t="s">
        <v>9278</v>
      </c>
      <c r="ENG1" t="s">
        <v>9279</v>
      </c>
      <c r="ENH1" t="s">
        <v>9280</v>
      </c>
      <c r="ENI1" t="s">
        <v>9281</v>
      </c>
      <c r="ENJ1" t="s">
        <v>9282</v>
      </c>
      <c r="ENK1" t="s">
        <v>9283</v>
      </c>
      <c r="ENL1" t="s">
        <v>9284</v>
      </c>
      <c r="ENM1" t="s">
        <v>9285</v>
      </c>
      <c r="ENN1" t="s">
        <v>9286</v>
      </c>
      <c r="ENO1" t="s">
        <v>9287</v>
      </c>
      <c r="ENP1" t="s">
        <v>9288</v>
      </c>
      <c r="ENQ1" t="s">
        <v>9289</v>
      </c>
      <c r="ENR1" t="s">
        <v>9290</v>
      </c>
      <c r="ENS1" t="s">
        <v>9291</v>
      </c>
      <c r="ENT1" t="s">
        <v>9292</v>
      </c>
      <c r="ENU1" t="s">
        <v>9293</v>
      </c>
      <c r="ENV1" t="s">
        <v>9294</v>
      </c>
      <c r="ENW1" t="s">
        <v>9295</v>
      </c>
      <c r="ENX1" t="s">
        <v>9296</v>
      </c>
      <c r="ENY1" t="s">
        <v>9297</v>
      </c>
      <c r="ENZ1" t="s">
        <v>9298</v>
      </c>
      <c r="EOA1" t="s">
        <v>9299</v>
      </c>
      <c r="EOB1" t="s">
        <v>9300</v>
      </c>
      <c r="EOC1" t="s">
        <v>9301</v>
      </c>
      <c r="EOD1" t="s">
        <v>9302</v>
      </c>
      <c r="EOE1" t="s">
        <v>9303</v>
      </c>
      <c r="EOF1" t="s">
        <v>9304</v>
      </c>
      <c r="EOG1" t="s">
        <v>9305</v>
      </c>
      <c r="EOH1" t="s">
        <v>9306</v>
      </c>
      <c r="EOI1" t="s">
        <v>9307</v>
      </c>
      <c r="EOJ1" t="s">
        <v>9308</v>
      </c>
      <c r="EOK1" t="s">
        <v>9309</v>
      </c>
      <c r="EOL1" t="s">
        <v>9310</v>
      </c>
      <c r="EOM1" t="s">
        <v>9311</v>
      </c>
      <c r="EON1" t="s">
        <v>9312</v>
      </c>
      <c r="EOO1" t="s">
        <v>9313</v>
      </c>
      <c r="EOP1" t="s">
        <v>9314</v>
      </c>
      <c r="EOQ1" t="s">
        <v>9315</v>
      </c>
      <c r="EOR1" t="s">
        <v>9316</v>
      </c>
      <c r="EOS1" t="s">
        <v>9317</v>
      </c>
      <c r="EOT1" t="s">
        <v>9318</v>
      </c>
      <c r="EOU1" t="s">
        <v>9319</v>
      </c>
      <c r="EOV1" t="s">
        <v>9320</v>
      </c>
      <c r="EOW1" t="s">
        <v>9321</v>
      </c>
      <c r="EOX1" t="s">
        <v>9322</v>
      </c>
      <c r="EOY1" t="s">
        <v>9323</v>
      </c>
      <c r="EOZ1" t="s">
        <v>9324</v>
      </c>
      <c r="EPA1" t="s">
        <v>9325</v>
      </c>
      <c r="EPB1" t="s">
        <v>9326</v>
      </c>
      <c r="EPC1" t="s">
        <v>9327</v>
      </c>
      <c r="EPD1" t="s">
        <v>9328</v>
      </c>
      <c r="EPE1" t="s">
        <v>9329</v>
      </c>
      <c r="EPF1" t="s">
        <v>9330</v>
      </c>
      <c r="EPG1" t="s">
        <v>9331</v>
      </c>
      <c r="EPH1" t="s">
        <v>9332</v>
      </c>
      <c r="EPI1" t="s">
        <v>9333</v>
      </c>
      <c r="EPJ1" t="s">
        <v>9334</v>
      </c>
      <c r="EPK1" t="s">
        <v>9335</v>
      </c>
      <c r="EPL1" t="s">
        <v>9336</v>
      </c>
      <c r="EPM1" t="s">
        <v>9337</v>
      </c>
      <c r="EPN1" t="s">
        <v>9338</v>
      </c>
      <c r="EPO1" t="s">
        <v>9339</v>
      </c>
      <c r="EPP1" t="s">
        <v>9340</v>
      </c>
      <c r="EPQ1" t="s">
        <v>9341</v>
      </c>
      <c r="EPR1" t="s">
        <v>9342</v>
      </c>
      <c r="EPS1" t="s">
        <v>9343</v>
      </c>
      <c r="EPT1" t="s">
        <v>9344</v>
      </c>
      <c r="EPU1" t="s">
        <v>9345</v>
      </c>
      <c r="EPV1" t="s">
        <v>9346</v>
      </c>
      <c r="EPW1" t="s">
        <v>9347</v>
      </c>
      <c r="EPX1" t="s">
        <v>9348</v>
      </c>
      <c r="EPY1" t="s">
        <v>9349</v>
      </c>
      <c r="EPZ1" t="s">
        <v>9350</v>
      </c>
      <c r="EQA1" t="s">
        <v>9351</v>
      </c>
      <c r="EQB1" t="s">
        <v>9352</v>
      </c>
      <c r="EQC1" t="s">
        <v>9353</v>
      </c>
      <c r="EQD1" t="s">
        <v>9354</v>
      </c>
      <c r="EQE1" t="s">
        <v>9355</v>
      </c>
      <c r="EQF1" t="s">
        <v>9356</v>
      </c>
      <c r="EQG1" t="s">
        <v>9357</v>
      </c>
      <c r="EQH1" t="s">
        <v>9358</v>
      </c>
      <c r="EQI1" t="s">
        <v>9359</v>
      </c>
      <c r="EQJ1" t="s">
        <v>9360</v>
      </c>
      <c r="EQK1" t="s">
        <v>9361</v>
      </c>
      <c r="EQL1" t="s">
        <v>9362</v>
      </c>
      <c r="EQM1" t="s">
        <v>9363</v>
      </c>
      <c r="EQN1" t="s">
        <v>9364</v>
      </c>
      <c r="EQO1" t="s">
        <v>9365</v>
      </c>
      <c r="EQP1" t="s">
        <v>9366</v>
      </c>
      <c r="EQQ1" t="s">
        <v>9367</v>
      </c>
      <c r="EQR1" t="s">
        <v>9368</v>
      </c>
      <c r="EQS1" t="s">
        <v>9369</v>
      </c>
      <c r="EQT1" t="s">
        <v>9370</v>
      </c>
      <c r="EQU1" t="s">
        <v>9371</v>
      </c>
      <c r="EQV1" t="s">
        <v>9372</v>
      </c>
      <c r="EQW1" t="s">
        <v>9373</v>
      </c>
      <c r="EQX1" t="s">
        <v>9374</v>
      </c>
      <c r="EQY1" t="s">
        <v>9375</v>
      </c>
      <c r="EQZ1" t="s">
        <v>9376</v>
      </c>
      <c r="ERA1" t="s">
        <v>9377</v>
      </c>
      <c r="ERB1" t="s">
        <v>9378</v>
      </c>
      <c r="ERC1" t="s">
        <v>9379</v>
      </c>
      <c r="ERD1" t="s">
        <v>9380</v>
      </c>
      <c r="ERE1" t="s">
        <v>9381</v>
      </c>
      <c r="ERF1" t="s">
        <v>9382</v>
      </c>
      <c r="ERG1" t="s">
        <v>9383</v>
      </c>
      <c r="ERH1" t="s">
        <v>9384</v>
      </c>
      <c r="ERI1" t="s">
        <v>9385</v>
      </c>
      <c r="ERJ1" t="s">
        <v>9386</v>
      </c>
      <c r="ERK1" t="s">
        <v>9387</v>
      </c>
      <c r="ERL1" t="s">
        <v>9388</v>
      </c>
      <c r="ERM1" t="s">
        <v>9389</v>
      </c>
      <c r="ERN1" t="s">
        <v>9390</v>
      </c>
      <c r="ERO1" t="s">
        <v>9391</v>
      </c>
      <c r="ERP1" t="s">
        <v>9392</v>
      </c>
      <c r="ERQ1" t="s">
        <v>9393</v>
      </c>
      <c r="ERR1" t="s">
        <v>9394</v>
      </c>
      <c r="ERS1" t="s">
        <v>9395</v>
      </c>
      <c r="ERT1" t="s">
        <v>9396</v>
      </c>
      <c r="ERU1" t="s">
        <v>9397</v>
      </c>
      <c r="ERV1" t="s">
        <v>9398</v>
      </c>
      <c r="ERW1" t="s">
        <v>9399</v>
      </c>
      <c r="ERX1" t="s">
        <v>9400</v>
      </c>
      <c r="ERY1" t="s">
        <v>9401</v>
      </c>
      <c r="ERZ1" t="s">
        <v>9402</v>
      </c>
      <c r="ESA1" t="s">
        <v>9403</v>
      </c>
      <c r="ESB1" t="s">
        <v>9404</v>
      </c>
      <c r="ESC1" t="s">
        <v>9405</v>
      </c>
      <c r="ESD1" t="s">
        <v>9406</v>
      </c>
      <c r="ESE1" t="s">
        <v>9407</v>
      </c>
      <c r="ESF1" t="s">
        <v>9408</v>
      </c>
      <c r="ESG1" t="s">
        <v>9409</v>
      </c>
      <c r="ESH1" t="s">
        <v>9410</v>
      </c>
      <c r="ESI1" t="s">
        <v>9411</v>
      </c>
      <c r="ESJ1" t="s">
        <v>9412</v>
      </c>
      <c r="ESK1" t="s">
        <v>9413</v>
      </c>
      <c r="ESL1" t="s">
        <v>9414</v>
      </c>
      <c r="ESM1" t="s">
        <v>9415</v>
      </c>
      <c r="ESN1" t="s">
        <v>9416</v>
      </c>
      <c r="ESO1" t="s">
        <v>9417</v>
      </c>
      <c r="ESP1" t="s">
        <v>9418</v>
      </c>
      <c r="ESQ1" t="s">
        <v>9419</v>
      </c>
      <c r="ESR1" t="s">
        <v>9420</v>
      </c>
      <c r="ESS1" t="s">
        <v>9421</v>
      </c>
      <c r="EST1" t="s">
        <v>9422</v>
      </c>
      <c r="ESU1" t="s">
        <v>9423</v>
      </c>
      <c r="ESV1" t="s">
        <v>9424</v>
      </c>
      <c r="ESW1" t="s">
        <v>9425</v>
      </c>
      <c r="ESX1" t="s">
        <v>9426</v>
      </c>
      <c r="ESY1" t="s">
        <v>9427</v>
      </c>
      <c r="ESZ1" t="s">
        <v>9428</v>
      </c>
      <c r="ETA1" t="s">
        <v>9429</v>
      </c>
      <c r="ETB1" t="s">
        <v>9430</v>
      </c>
      <c r="ETC1" t="s">
        <v>9431</v>
      </c>
      <c r="ETD1" t="s">
        <v>9432</v>
      </c>
      <c r="ETE1" t="s">
        <v>9433</v>
      </c>
      <c r="ETF1" t="s">
        <v>9434</v>
      </c>
      <c r="ETG1" t="s">
        <v>9435</v>
      </c>
      <c r="ETH1" t="s">
        <v>9436</v>
      </c>
      <c r="ETI1" t="s">
        <v>9437</v>
      </c>
      <c r="ETJ1" t="s">
        <v>9438</v>
      </c>
      <c r="ETK1" t="s">
        <v>9439</v>
      </c>
      <c r="ETL1" t="s">
        <v>9440</v>
      </c>
      <c r="ETM1" t="s">
        <v>9441</v>
      </c>
      <c r="ETN1" t="s">
        <v>9442</v>
      </c>
      <c r="ETO1" t="s">
        <v>9443</v>
      </c>
      <c r="ETP1" t="s">
        <v>9444</v>
      </c>
      <c r="ETQ1" t="s">
        <v>9445</v>
      </c>
      <c r="ETR1" t="s">
        <v>9446</v>
      </c>
      <c r="ETS1" t="s">
        <v>9447</v>
      </c>
      <c r="ETT1" t="s">
        <v>9448</v>
      </c>
      <c r="ETU1" t="s">
        <v>9449</v>
      </c>
      <c r="ETV1" t="s">
        <v>9450</v>
      </c>
      <c r="ETW1" t="s">
        <v>9451</v>
      </c>
      <c r="ETX1" t="s">
        <v>9452</v>
      </c>
      <c r="ETY1" t="s">
        <v>9453</v>
      </c>
      <c r="ETZ1" t="s">
        <v>9454</v>
      </c>
      <c r="EUA1" t="s">
        <v>9455</v>
      </c>
      <c r="EUB1" t="s">
        <v>9456</v>
      </c>
      <c r="EUC1" t="s">
        <v>9457</v>
      </c>
      <c r="EUD1" t="s">
        <v>9458</v>
      </c>
      <c r="EUE1" t="s">
        <v>9459</v>
      </c>
      <c r="EUF1" t="s">
        <v>9460</v>
      </c>
      <c r="EUG1" t="s">
        <v>9461</v>
      </c>
      <c r="EUH1" t="s">
        <v>9462</v>
      </c>
      <c r="EUI1" t="s">
        <v>9463</v>
      </c>
      <c r="EUJ1" t="s">
        <v>9464</v>
      </c>
      <c r="EUK1" t="s">
        <v>9465</v>
      </c>
      <c r="EUL1" t="s">
        <v>9466</v>
      </c>
      <c r="EUM1" t="s">
        <v>9467</v>
      </c>
      <c r="EUN1" t="s">
        <v>9468</v>
      </c>
      <c r="EUO1" t="s">
        <v>9469</v>
      </c>
      <c r="EUP1" t="s">
        <v>9470</v>
      </c>
      <c r="EUQ1" t="s">
        <v>9471</v>
      </c>
      <c r="EUR1" t="s">
        <v>9472</v>
      </c>
      <c r="EUS1" t="s">
        <v>9473</v>
      </c>
      <c r="EUT1" t="s">
        <v>9474</v>
      </c>
      <c r="EUU1" t="s">
        <v>9475</v>
      </c>
      <c r="EUV1" t="s">
        <v>9476</v>
      </c>
      <c r="EUW1" t="s">
        <v>9477</v>
      </c>
      <c r="EUX1" t="s">
        <v>9478</v>
      </c>
      <c r="EUY1" t="s">
        <v>9479</v>
      </c>
      <c r="EUZ1" t="s">
        <v>9480</v>
      </c>
      <c r="EVA1" t="s">
        <v>9481</v>
      </c>
      <c r="EVB1" t="s">
        <v>9482</v>
      </c>
      <c r="EVC1" t="s">
        <v>9483</v>
      </c>
      <c r="EVD1" t="s">
        <v>9484</v>
      </c>
      <c r="EVE1" t="s">
        <v>9485</v>
      </c>
      <c r="EVF1" t="s">
        <v>9486</v>
      </c>
      <c r="EVG1" t="s">
        <v>9487</v>
      </c>
      <c r="EVH1" t="s">
        <v>9488</v>
      </c>
      <c r="EVI1" t="s">
        <v>9489</v>
      </c>
      <c r="EVJ1" t="s">
        <v>9490</v>
      </c>
      <c r="EVK1" t="s">
        <v>9491</v>
      </c>
      <c r="EVL1" t="s">
        <v>9492</v>
      </c>
      <c r="EVM1" t="s">
        <v>9493</v>
      </c>
      <c r="EVN1" t="s">
        <v>9494</v>
      </c>
      <c r="EVO1" t="s">
        <v>9495</v>
      </c>
      <c r="EVP1" t="s">
        <v>9496</v>
      </c>
      <c r="EVQ1" t="s">
        <v>9497</v>
      </c>
      <c r="EVR1" t="s">
        <v>9498</v>
      </c>
      <c r="EVS1" t="s">
        <v>9499</v>
      </c>
      <c r="EVT1" t="s">
        <v>9500</v>
      </c>
      <c r="EVU1" t="s">
        <v>9501</v>
      </c>
      <c r="EVV1" t="s">
        <v>9502</v>
      </c>
      <c r="EVW1" t="s">
        <v>9503</v>
      </c>
      <c r="EVX1" t="s">
        <v>9504</v>
      </c>
      <c r="EVY1" t="s">
        <v>9505</v>
      </c>
      <c r="EVZ1" t="s">
        <v>9506</v>
      </c>
      <c r="EWA1" t="s">
        <v>9507</v>
      </c>
      <c r="EWB1" t="s">
        <v>9508</v>
      </c>
      <c r="EWC1" t="s">
        <v>9509</v>
      </c>
      <c r="EWD1" t="s">
        <v>9510</v>
      </c>
      <c r="EWE1" t="s">
        <v>9511</v>
      </c>
      <c r="EWF1" t="s">
        <v>9512</v>
      </c>
      <c r="EWG1" t="s">
        <v>9513</v>
      </c>
      <c r="EWH1" t="s">
        <v>9514</v>
      </c>
      <c r="EWI1" t="s">
        <v>9515</v>
      </c>
      <c r="EWJ1" t="s">
        <v>9516</v>
      </c>
      <c r="EWK1" t="s">
        <v>9517</v>
      </c>
      <c r="EWL1" t="s">
        <v>9518</v>
      </c>
      <c r="EWM1" t="s">
        <v>9519</v>
      </c>
      <c r="EWN1" t="s">
        <v>9520</v>
      </c>
      <c r="EWO1" t="s">
        <v>9521</v>
      </c>
      <c r="EWP1" t="s">
        <v>9522</v>
      </c>
      <c r="EWQ1" t="s">
        <v>9523</v>
      </c>
      <c r="EWR1" t="s">
        <v>9524</v>
      </c>
      <c r="EWS1" t="s">
        <v>9525</v>
      </c>
      <c r="EWT1" t="s">
        <v>9526</v>
      </c>
      <c r="EWU1" t="s">
        <v>9527</v>
      </c>
      <c r="EWV1" t="s">
        <v>9528</v>
      </c>
      <c r="EWW1" t="s">
        <v>9529</v>
      </c>
      <c r="EWX1" t="s">
        <v>9530</v>
      </c>
      <c r="EWY1" t="s">
        <v>9531</v>
      </c>
      <c r="EWZ1" t="s">
        <v>9532</v>
      </c>
      <c r="EXA1" t="s">
        <v>9533</v>
      </c>
      <c r="EXB1" t="s">
        <v>9534</v>
      </c>
      <c r="EXC1" t="s">
        <v>9535</v>
      </c>
      <c r="EXD1" t="s">
        <v>9536</v>
      </c>
      <c r="EXE1" t="s">
        <v>9537</v>
      </c>
      <c r="EXF1" t="s">
        <v>9538</v>
      </c>
      <c r="EXG1" t="s">
        <v>9539</v>
      </c>
      <c r="EXH1" t="s">
        <v>9540</v>
      </c>
      <c r="EXI1" t="s">
        <v>9541</v>
      </c>
      <c r="EXJ1" t="s">
        <v>9542</v>
      </c>
      <c r="EXK1" t="s">
        <v>9543</v>
      </c>
      <c r="EXL1" t="s">
        <v>9544</v>
      </c>
      <c r="EXM1" t="s">
        <v>9545</v>
      </c>
      <c r="EXN1" t="s">
        <v>9546</v>
      </c>
      <c r="EXO1" t="s">
        <v>9547</v>
      </c>
      <c r="EXP1" t="s">
        <v>9548</v>
      </c>
      <c r="EXQ1" t="s">
        <v>9549</v>
      </c>
      <c r="EXR1" t="s">
        <v>9550</v>
      </c>
      <c r="EXS1" t="s">
        <v>9551</v>
      </c>
      <c r="EXT1" t="s">
        <v>9552</v>
      </c>
      <c r="EXU1" t="s">
        <v>9553</v>
      </c>
      <c r="EXV1" t="s">
        <v>9554</v>
      </c>
      <c r="EXW1" t="s">
        <v>9555</v>
      </c>
      <c r="EXX1" t="s">
        <v>9556</v>
      </c>
      <c r="EXY1" t="s">
        <v>9557</v>
      </c>
      <c r="EXZ1" t="s">
        <v>9558</v>
      </c>
      <c r="EYA1" t="s">
        <v>9559</v>
      </c>
      <c r="EYB1" t="s">
        <v>9560</v>
      </c>
      <c r="EYC1" t="s">
        <v>9561</v>
      </c>
      <c r="EYD1" t="s">
        <v>9562</v>
      </c>
      <c r="EYE1" t="s">
        <v>9563</v>
      </c>
      <c r="EYF1" t="s">
        <v>9564</v>
      </c>
      <c r="EYG1" t="s">
        <v>9565</v>
      </c>
      <c r="EYH1" t="s">
        <v>9566</v>
      </c>
      <c r="EYI1" t="s">
        <v>9567</v>
      </c>
      <c r="EYJ1" t="s">
        <v>9568</v>
      </c>
      <c r="EYK1" t="s">
        <v>9569</v>
      </c>
      <c r="EYL1" t="s">
        <v>9570</v>
      </c>
      <c r="EYM1" t="s">
        <v>9571</v>
      </c>
      <c r="EYN1" t="s">
        <v>9572</v>
      </c>
      <c r="EYO1" t="s">
        <v>9573</v>
      </c>
      <c r="EYP1" t="s">
        <v>9574</v>
      </c>
      <c r="EYQ1" t="s">
        <v>9575</v>
      </c>
      <c r="EYR1" t="s">
        <v>9576</v>
      </c>
      <c r="EYS1" t="s">
        <v>9577</v>
      </c>
      <c r="EYT1" t="s">
        <v>9578</v>
      </c>
      <c r="EYU1" t="s">
        <v>9579</v>
      </c>
      <c r="EYV1" t="s">
        <v>9580</v>
      </c>
      <c r="EYW1" t="s">
        <v>9581</v>
      </c>
      <c r="EYX1" t="s">
        <v>9582</v>
      </c>
      <c r="EYY1" t="s">
        <v>9583</v>
      </c>
      <c r="EYZ1" t="s">
        <v>9584</v>
      </c>
      <c r="EZA1" t="s">
        <v>9585</v>
      </c>
      <c r="EZB1" t="s">
        <v>9586</v>
      </c>
      <c r="EZC1" t="s">
        <v>9587</v>
      </c>
      <c r="EZD1" t="s">
        <v>9588</v>
      </c>
      <c r="EZE1" t="s">
        <v>9589</v>
      </c>
      <c r="EZF1" t="s">
        <v>9590</v>
      </c>
      <c r="EZG1" t="s">
        <v>9591</v>
      </c>
      <c r="EZH1" t="s">
        <v>9592</v>
      </c>
      <c r="EZI1" t="s">
        <v>9593</v>
      </c>
      <c r="EZJ1" t="s">
        <v>9594</v>
      </c>
      <c r="EZK1" t="s">
        <v>9595</v>
      </c>
      <c r="EZL1" t="s">
        <v>9596</v>
      </c>
      <c r="EZM1" t="s">
        <v>9597</v>
      </c>
      <c r="EZN1" t="s">
        <v>9598</v>
      </c>
      <c r="EZO1" t="s">
        <v>9599</v>
      </c>
      <c r="EZP1" t="s">
        <v>9600</v>
      </c>
      <c r="EZQ1" t="s">
        <v>9601</v>
      </c>
      <c r="EZR1" t="s">
        <v>9602</v>
      </c>
      <c r="EZS1" t="s">
        <v>9603</v>
      </c>
      <c r="EZT1" t="s">
        <v>9604</v>
      </c>
      <c r="EZU1" t="s">
        <v>9605</v>
      </c>
      <c r="EZV1" t="s">
        <v>9606</v>
      </c>
      <c r="EZW1" t="s">
        <v>9607</v>
      </c>
      <c r="EZX1" t="s">
        <v>9608</v>
      </c>
      <c r="EZY1" t="s">
        <v>9609</v>
      </c>
      <c r="EZZ1" t="s">
        <v>9610</v>
      </c>
      <c r="FAA1" t="s">
        <v>9611</v>
      </c>
      <c r="FAB1" t="s">
        <v>9612</v>
      </c>
      <c r="FAC1" t="s">
        <v>9613</v>
      </c>
      <c r="FAD1" t="s">
        <v>9614</v>
      </c>
      <c r="FAE1" t="s">
        <v>9615</v>
      </c>
      <c r="FAF1" t="s">
        <v>9616</v>
      </c>
      <c r="FAG1" t="s">
        <v>9617</v>
      </c>
      <c r="FAH1" t="s">
        <v>9618</v>
      </c>
      <c r="FAI1" t="s">
        <v>9619</v>
      </c>
      <c r="FAJ1" t="s">
        <v>9620</v>
      </c>
      <c r="FAK1" t="s">
        <v>9621</v>
      </c>
      <c r="FAL1" t="s">
        <v>9622</v>
      </c>
      <c r="FAM1" t="s">
        <v>9623</v>
      </c>
      <c r="FAN1" t="s">
        <v>9624</v>
      </c>
      <c r="FAO1" t="s">
        <v>9625</v>
      </c>
      <c r="FAP1" t="s">
        <v>9626</v>
      </c>
      <c r="FAQ1" t="s">
        <v>9627</v>
      </c>
      <c r="FAR1" t="s">
        <v>9628</v>
      </c>
      <c r="FAS1" t="s">
        <v>9629</v>
      </c>
      <c r="FAT1" t="s">
        <v>9630</v>
      </c>
      <c r="FAU1" t="s">
        <v>9631</v>
      </c>
      <c r="FAV1" t="s">
        <v>9632</v>
      </c>
      <c r="FAW1" t="s">
        <v>9633</v>
      </c>
      <c r="FAX1" t="s">
        <v>9634</v>
      </c>
      <c r="FAY1" t="s">
        <v>9635</v>
      </c>
      <c r="FAZ1" t="s">
        <v>9636</v>
      </c>
      <c r="FBA1" t="s">
        <v>9637</v>
      </c>
      <c r="FBB1" t="s">
        <v>9638</v>
      </c>
      <c r="FBC1" t="s">
        <v>9639</v>
      </c>
      <c r="FBD1" t="s">
        <v>9640</v>
      </c>
      <c r="FBE1" t="s">
        <v>9641</v>
      </c>
      <c r="FBF1" t="s">
        <v>9642</v>
      </c>
      <c r="FBG1" t="s">
        <v>9643</v>
      </c>
      <c r="FBH1" t="s">
        <v>9644</v>
      </c>
      <c r="FBI1" t="s">
        <v>9645</v>
      </c>
      <c r="FBJ1" t="s">
        <v>9646</v>
      </c>
      <c r="FBK1" t="s">
        <v>9647</v>
      </c>
      <c r="FBL1" t="s">
        <v>9648</v>
      </c>
      <c r="FBM1" t="s">
        <v>9649</v>
      </c>
      <c r="FBN1" t="s">
        <v>9650</v>
      </c>
      <c r="FBO1" t="s">
        <v>9651</v>
      </c>
      <c r="FBP1" t="s">
        <v>9652</v>
      </c>
      <c r="FBQ1" t="s">
        <v>9653</v>
      </c>
      <c r="FBR1" t="s">
        <v>9654</v>
      </c>
      <c r="FBS1" t="s">
        <v>9655</v>
      </c>
      <c r="FBT1" t="s">
        <v>9656</v>
      </c>
      <c r="FBU1" t="s">
        <v>9657</v>
      </c>
      <c r="FBV1" t="s">
        <v>9658</v>
      </c>
      <c r="FBW1" t="s">
        <v>9659</v>
      </c>
      <c r="FBX1" t="s">
        <v>9660</v>
      </c>
      <c r="FBY1" t="s">
        <v>9661</v>
      </c>
      <c r="FBZ1" t="s">
        <v>9662</v>
      </c>
      <c r="FCA1" t="s">
        <v>9663</v>
      </c>
      <c r="FCB1" t="s">
        <v>9664</v>
      </c>
      <c r="FCC1" t="s">
        <v>9665</v>
      </c>
      <c r="FCD1" t="s">
        <v>9666</v>
      </c>
      <c r="FCE1" t="s">
        <v>9667</v>
      </c>
      <c r="FCF1" t="s">
        <v>9668</v>
      </c>
      <c r="FCG1" t="s">
        <v>9669</v>
      </c>
      <c r="FCH1" t="s">
        <v>9670</v>
      </c>
      <c r="FCI1" t="s">
        <v>9671</v>
      </c>
      <c r="FCJ1" t="s">
        <v>9672</v>
      </c>
      <c r="FCK1" t="s">
        <v>9673</v>
      </c>
      <c r="FCL1" t="s">
        <v>9674</v>
      </c>
      <c r="FCM1" t="s">
        <v>9675</v>
      </c>
      <c r="FCN1" t="s">
        <v>9676</v>
      </c>
      <c r="FCO1" t="s">
        <v>9677</v>
      </c>
      <c r="FCP1" t="s">
        <v>9678</v>
      </c>
      <c r="FCQ1" t="s">
        <v>9679</v>
      </c>
      <c r="FCR1" t="s">
        <v>9680</v>
      </c>
      <c r="FCS1" t="s">
        <v>9681</v>
      </c>
      <c r="FCT1" t="s">
        <v>9682</v>
      </c>
      <c r="FCU1" t="s">
        <v>9683</v>
      </c>
      <c r="FCV1" t="s">
        <v>9684</v>
      </c>
      <c r="FCW1" t="s">
        <v>9685</v>
      </c>
      <c r="FCX1" t="s">
        <v>9686</v>
      </c>
      <c r="FCY1" t="s">
        <v>9687</v>
      </c>
      <c r="FCZ1" t="s">
        <v>9688</v>
      </c>
      <c r="FDA1" t="s">
        <v>9689</v>
      </c>
      <c r="FDB1" t="s">
        <v>9690</v>
      </c>
      <c r="FDC1" t="s">
        <v>9691</v>
      </c>
      <c r="FDD1" t="s">
        <v>9692</v>
      </c>
      <c r="FDE1" t="s">
        <v>9693</v>
      </c>
      <c r="FDF1" t="s">
        <v>9694</v>
      </c>
      <c r="FDG1" t="s">
        <v>9695</v>
      </c>
      <c r="FDH1" t="s">
        <v>9696</v>
      </c>
      <c r="FDI1" t="s">
        <v>9697</v>
      </c>
      <c r="FDJ1" t="s">
        <v>9698</v>
      </c>
      <c r="FDK1" t="s">
        <v>9699</v>
      </c>
      <c r="FDL1" t="s">
        <v>9700</v>
      </c>
      <c r="FDM1" t="s">
        <v>9701</v>
      </c>
      <c r="FDN1" t="s">
        <v>9702</v>
      </c>
      <c r="FDO1" t="s">
        <v>9703</v>
      </c>
      <c r="FDP1" t="s">
        <v>9704</v>
      </c>
      <c r="FDQ1" t="s">
        <v>9705</v>
      </c>
      <c r="FDR1" t="s">
        <v>9706</v>
      </c>
      <c r="FDS1" t="s">
        <v>9707</v>
      </c>
      <c r="FDT1" t="s">
        <v>9708</v>
      </c>
      <c r="FDU1" t="s">
        <v>9709</v>
      </c>
      <c r="FDV1" t="s">
        <v>9710</v>
      </c>
      <c r="FDW1" t="s">
        <v>9711</v>
      </c>
      <c r="FDX1" t="s">
        <v>9712</v>
      </c>
      <c r="FDY1" t="s">
        <v>9713</v>
      </c>
      <c r="FDZ1" t="s">
        <v>9714</v>
      </c>
      <c r="FEA1" t="s">
        <v>9715</v>
      </c>
      <c r="FEB1" t="s">
        <v>9716</v>
      </c>
      <c r="FEC1" t="s">
        <v>9717</v>
      </c>
      <c r="FED1" t="s">
        <v>9718</v>
      </c>
      <c r="FEE1" t="s">
        <v>9719</v>
      </c>
      <c r="FEF1" t="s">
        <v>9720</v>
      </c>
      <c r="FEG1" t="s">
        <v>9721</v>
      </c>
      <c r="FEH1" t="s">
        <v>9722</v>
      </c>
      <c r="FEI1" t="s">
        <v>9723</v>
      </c>
      <c r="FEJ1" t="s">
        <v>9724</v>
      </c>
      <c r="FEK1" t="s">
        <v>9725</v>
      </c>
      <c r="FEL1" t="s">
        <v>9726</v>
      </c>
      <c r="FEM1" t="s">
        <v>9727</v>
      </c>
      <c r="FEN1" t="s">
        <v>9728</v>
      </c>
      <c r="FEO1" t="s">
        <v>9729</v>
      </c>
      <c r="FEP1" t="s">
        <v>9730</v>
      </c>
      <c r="FEQ1" t="s">
        <v>9731</v>
      </c>
      <c r="FER1" t="s">
        <v>9732</v>
      </c>
      <c r="FES1" t="s">
        <v>9733</v>
      </c>
      <c r="FET1" t="s">
        <v>9734</v>
      </c>
      <c r="FEU1" t="s">
        <v>9735</v>
      </c>
      <c r="FEV1" t="s">
        <v>9736</v>
      </c>
      <c r="FEW1" t="s">
        <v>9737</v>
      </c>
      <c r="FEX1" t="s">
        <v>9738</v>
      </c>
      <c r="FEY1" t="s">
        <v>9739</v>
      </c>
      <c r="FEZ1" t="s">
        <v>9740</v>
      </c>
      <c r="FFA1" t="s">
        <v>9741</v>
      </c>
      <c r="FFB1" t="s">
        <v>9742</v>
      </c>
      <c r="FFC1" t="s">
        <v>9743</v>
      </c>
      <c r="FFD1" t="s">
        <v>9744</v>
      </c>
      <c r="FFE1" t="s">
        <v>9745</v>
      </c>
      <c r="FFF1" t="s">
        <v>9746</v>
      </c>
      <c r="FFG1" t="s">
        <v>9747</v>
      </c>
      <c r="FFH1" t="s">
        <v>9748</v>
      </c>
      <c r="FFI1" t="s">
        <v>9749</v>
      </c>
      <c r="FFJ1" t="s">
        <v>9750</v>
      </c>
      <c r="FFK1" t="s">
        <v>9751</v>
      </c>
      <c r="FFL1" t="s">
        <v>9752</v>
      </c>
      <c r="FFM1" t="s">
        <v>9753</v>
      </c>
      <c r="FFN1" t="s">
        <v>9754</v>
      </c>
      <c r="FFO1" t="s">
        <v>9755</v>
      </c>
      <c r="FFP1" t="s">
        <v>9756</v>
      </c>
      <c r="FFQ1" t="s">
        <v>9757</v>
      </c>
      <c r="FFR1" t="s">
        <v>9758</v>
      </c>
      <c r="FFS1" t="s">
        <v>9759</v>
      </c>
      <c r="FFT1" t="s">
        <v>9760</v>
      </c>
      <c r="FFU1" t="s">
        <v>9761</v>
      </c>
      <c r="FFV1" t="s">
        <v>9762</v>
      </c>
      <c r="FFW1" t="s">
        <v>9763</v>
      </c>
      <c r="FFX1" t="s">
        <v>9764</v>
      </c>
      <c r="FFY1" t="s">
        <v>9765</v>
      </c>
      <c r="FFZ1" t="s">
        <v>9766</v>
      </c>
      <c r="FGA1" t="s">
        <v>9767</v>
      </c>
      <c r="FGB1" t="s">
        <v>9768</v>
      </c>
      <c r="FGC1" t="s">
        <v>9769</v>
      </c>
      <c r="FGD1" t="s">
        <v>9770</v>
      </c>
      <c r="FGE1" t="s">
        <v>9771</v>
      </c>
      <c r="FGF1" t="s">
        <v>9772</v>
      </c>
      <c r="FGG1" t="s">
        <v>9773</v>
      </c>
      <c r="FGH1" t="s">
        <v>9774</v>
      </c>
      <c r="FGI1" t="s">
        <v>9775</v>
      </c>
      <c r="FGJ1" t="s">
        <v>9776</v>
      </c>
      <c r="FGK1" t="s">
        <v>9777</v>
      </c>
      <c r="FGL1" t="s">
        <v>9778</v>
      </c>
      <c r="FGM1" t="s">
        <v>9779</v>
      </c>
      <c r="FGN1" t="s">
        <v>9780</v>
      </c>
      <c r="FGO1" t="s">
        <v>9781</v>
      </c>
      <c r="FGP1" t="s">
        <v>9782</v>
      </c>
      <c r="FGQ1" t="s">
        <v>9783</v>
      </c>
      <c r="FGR1" t="s">
        <v>9784</v>
      </c>
      <c r="FGS1" t="s">
        <v>9785</v>
      </c>
      <c r="FGT1" t="s">
        <v>9786</v>
      </c>
      <c r="FGU1" t="s">
        <v>9787</v>
      </c>
      <c r="FGV1" t="s">
        <v>9788</v>
      </c>
      <c r="FGW1" t="s">
        <v>9789</v>
      </c>
      <c r="FGX1" t="s">
        <v>9790</v>
      </c>
      <c r="FGY1" t="s">
        <v>9791</v>
      </c>
      <c r="FGZ1" t="s">
        <v>9792</v>
      </c>
      <c r="FHA1" t="s">
        <v>9793</v>
      </c>
      <c r="FHB1" t="s">
        <v>9794</v>
      </c>
      <c r="FHC1" t="s">
        <v>9795</v>
      </c>
      <c r="FHD1" t="s">
        <v>9796</v>
      </c>
      <c r="FHE1" t="s">
        <v>9797</v>
      </c>
      <c r="FHF1" t="s">
        <v>9798</v>
      </c>
      <c r="FHG1" t="s">
        <v>9799</v>
      </c>
      <c r="FHH1" t="s">
        <v>9800</v>
      </c>
      <c r="FHI1" t="s">
        <v>9801</v>
      </c>
      <c r="FHJ1" t="s">
        <v>9802</v>
      </c>
      <c r="FHK1" t="s">
        <v>9803</v>
      </c>
      <c r="FHL1" t="s">
        <v>9804</v>
      </c>
      <c r="FHM1" t="s">
        <v>9805</v>
      </c>
      <c r="FHN1" t="s">
        <v>9806</v>
      </c>
      <c r="FHO1" t="s">
        <v>9807</v>
      </c>
      <c r="FHP1" t="s">
        <v>9808</v>
      </c>
      <c r="FHQ1" t="s">
        <v>9809</v>
      </c>
      <c r="FHR1" t="s">
        <v>9810</v>
      </c>
      <c r="FHS1" t="s">
        <v>9811</v>
      </c>
      <c r="FHT1" t="s">
        <v>9812</v>
      </c>
      <c r="FHU1" t="s">
        <v>9813</v>
      </c>
      <c r="FHV1" t="s">
        <v>9814</v>
      </c>
      <c r="FHW1" t="s">
        <v>9815</v>
      </c>
      <c r="FHX1" t="s">
        <v>9816</v>
      </c>
      <c r="FHY1" t="s">
        <v>9817</v>
      </c>
      <c r="FHZ1" t="s">
        <v>9818</v>
      </c>
      <c r="FIA1" t="s">
        <v>9819</v>
      </c>
      <c r="FIB1" t="s">
        <v>9820</v>
      </c>
      <c r="FIC1" t="s">
        <v>9821</v>
      </c>
      <c r="FID1" t="s">
        <v>9822</v>
      </c>
      <c r="FIE1" t="s">
        <v>9823</v>
      </c>
      <c r="FIF1" t="s">
        <v>9824</v>
      </c>
      <c r="FIG1" t="s">
        <v>9825</v>
      </c>
      <c r="FIH1" t="s">
        <v>9826</v>
      </c>
      <c r="FII1" t="s">
        <v>9827</v>
      </c>
      <c r="FIJ1" t="s">
        <v>9828</v>
      </c>
      <c r="FIK1" t="s">
        <v>9829</v>
      </c>
      <c r="FIL1" t="s">
        <v>9830</v>
      </c>
      <c r="FIM1" t="s">
        <v>9831</v>
      </c>
      <c r="FIN1" t="s">
        <v>9832</v>
      </c>
      <c r="FIO1" t="s">
        <v>9833</v>
      </c>
      <c r="FIP1" t="s">
        <v>9834</v>
      </c>
      <c r="FIQ1" t="s">
        <v>9835</v>
      </c>
      <c r="FIR1" t="s">
        <v>9836</v>
      </c>
      <c r="FIS1" t="s">
        <v>9837</v>
      </c>
      <c r="FIT1" t="s">
        <v>9838</v>
      </c>
      <c r="FIU1" t="s">
        <v>9839</v>
      </c>
      <c r="FIV1" t="s">
        <v>9840</v>
      </c>
      <c r="FIW1" t="s">
        <v>9841</v>
      </c>
      <c r="FIX1" t="s">
        <v>9842</v>
      </c>
      <c r="FIY1" t="s">
        <v>9843</v>
      </c>
      <c r="FIZ1" t="s">
        <v>9844</v>
      </c>
      <c r="FJA1" t="s">
        <v>9845</v>
      </c>
      <c r="FJB1" t="s">
        <v>9846</v>
      </c>
      <c r="FJC1" t="s">
        <v>9847</v>
      </c>
      <c r="FJD1" t="s">
        <v>9848</v>
      </c>
      <c r="FJE1" t="s">
        <v>9849</v>
      </c>
      <c r="FJF1" t="s">
        <v>9850</v>
      </c>
      <c r="FJG1" t="s">
        <v>9851</v>
      </c>
      <c r="FJH1" t="s">
        <v>9852</v>
      </c>
      <c r="FJI1" t="s">
        <v>9853</v>
      </c>
      <c r="FJJ1" t="s">
        <v>9854</v>
      </c>
      <c r="FJK1" t="s">
        <v>9855</v>
      </c>
      <c r="FJL1" t="s">
        <v>9856</v>
      </c>
      <c r="FJM1" t="s">
        <v>9857</v>
      </c>
      <c r="FJN1" t="s">
        <v>9858</v>
      </c>
      <c r="FJO1" t="s">
        <v>9859</v>
      </c>
      <c r="FJP1" t="s">
        <v>9860</v>
      </c>
      <c r="FJQ1" t="s">
        <v>9861</v>
      </c>
      <c r="FJR1" t="s">
        <v>9862</v>
      </c>
      <c r="FJS1" t="s">
        <v>9863</v>
      </c>
      <c r="FJT1" t="s">
        <v>9864</v>
      </c>
      <c r="FJU1" t="s">
        <v>9865</v>
      </c>
      <c r="FJV1" t="s">
        <v>9866</v>
      </c>
      <c r="FJW1" t="s">
        <v>9867</v>
      </c>
      <c r="FJX1" t="s">
        <v>9868</v>
      </c>
      <c r="FJY1" t="s">
        <v>9869</v>
      </c>
      <c r="FJZ1" t="s">
        <v>9870</v>
      </c>
      <c r="FKA1" t="s">
        <v>9871</v>
      </c>
      <c r="FKB1" t="s">
        <v>9872</v>
      </c>
      <c r="FKC1" t="s">
        <v>9873</v>
      </c>
      <c r="FKD1" t="s">
        <v>9874</v>
      </c>
      <c r="FKE1" t="s">
        <v>9875</v>
      </c>
      <c r="FKF1" t="s">
        <v>9876</v>
      </c>
      <c r="FKG1" t="s">
        <v>9877</v>
      </c>
      <c r="FKH1" t="s">
        <v>9878</v>
      </c>
      <c r="FKI1" t="s">
        <v>9879</v>
      </c>
      <c r="FKJ1" t="s">
        <v>9880</v>
      </c>
      <c r="FKK1" t="s">
        <v>9881</v>
      </c>
      <c r="FKL1" t="s">
        <v>9882</v>
      </c>
      <c r="FKM1" t="s">
        <v>9883</v>
      </c>
      <c r="FKN1" t="s">
        <v>9884</v>
      </c>
      <c r="FKO1" t="s">
        <v>9885</v>
      </c>
      <c r="FKP1" t="s">
        <v>9886</v>
      </c>
      <c r="FKQ1" t="s">
        <v>9887</v>
      </c>
      <c r="FKR1" t="s">
        <v>9888</v>
      </c>
      <c r="FKS1" t="s">
        <v>9889</v>
      </c>
      <c r="FKT1" t="s">
        <v>9890</v>
      </c>
      <c r="FKU1" t="s">
        <v>9891</v>
      </c>
      <c r="FKV1" t="s">
        <v>9892</v>
      </c>
      <c r="FKW1" t="s">
        <v>9893</v>
      </c>
      <c r="FKX1" t="s">
        <v>9894</v>
      </c>
      <c r="FKY1" t="s">
        <v>9895</v>
      </c>
      <c r="FKZ1" t="s">
        <v>9896</v>
      </c>
      <c r="FLA1" t="s">
        <v>9897</v>
      </c>
      <c r="FLB1" t="s">
        <v>9898</v>
      </c>
      <c r="FLC1" t="s">
        <v>9899</v>
      </c>
      <c r="FLD1" t="s">
        <v>9900</v>
      </c>
      <c r="FLE1" t="s">
        <v>9901</v>
      </c>
      <c r="FLF1" t="s">
        <v>9902</v>
      </c>
      <c r="FLG1" t="s">
        <v>9903</v>
      </c>
      <c r="FLH1" t="s">
        <v>9904</v>
      </c>
      <c r="FLI1" t="s">
        <v>9905</v>
      </c>
      <c r="FLJ1" t="s">
        <v>9906</v>
      </c>
      <c r="FLK1" t="s">
        <v>9907</v>
      </c>
      <c r="FLL1" t="s">
        <v>9908</v>
      </c>
      <c r="FLM1" t="s">
        <v>9909</v>
      </c>
      <c r="FLN1" t="s">
        <v>9910</v>
      </c>
      <c r="FLO1" t="s">
        <v>9911</v>
      </c>
      <c r="FLP1" t="s">
        <v>9912</v>
      </c>
      <c r="FLQ1" t="s">
        <v>9913</v>
      </c>
      <c r="FLR1" t="s">
        <v>9914</v>
      </c>
      <c r="FLS1" t="s">
        <v>9915</v>
      </c>
      <c r="FLT1" t="s">
        <v>9916</v>
      </c>
      <c r="FLU1" t="s">
        <v>9917</v>
      </c>
      <c r="FLV1" t="s">
        <v>9918</v>
      </c>
      <c r="FLW1" t="s">
        <v>9919</v>
      </c>
      <c r="FLX1" t="s">
        <v>9920</v>
      </c>
      <c r="FLY1" t="s">
        <v>9921</v>
      </c>
      <c r="FLZ1" t="s">
        <v>9922</v>
      </c>
      <c r="FMA1" t="s">
        <v>9923</v>
      </c>
      <c r="FMB1" t="s">
        <v>9924</v>
      </c>
      <c r="FMC1" t="s">
        <v>9925</v>
      </c>
      <c r="FMD1" t="s">
        <v>9926</v>
      </c>
      <c r="FME1" t="s">
        <v>9927</v>
      </c>
      <c r="FMF1" t="s">
        <v>9928</v>
      </c>
      <c r="FMG1" t="s">
        <v>9929</v>
      </c>
      <c r="FMH1" t="s">
        <v>9930</v>
      </c>
      <c r="FMI1" t="s">
        <v>9931</v>
      </c>
      <c r="FMJ1" t="s">
        <v>9932</v>
      </c>
      <c r="FMK1" t="s">
        <v>9933</v>
      </c>
      <c r="FML1" t="s">
        <v>9934</v>
      </c>
      <c r="FMM1" t="s">
        <v>9935</v>
      </c>
      <c r="FMN1" t="s">
        <v>9936</v>
      </c>
      <c r="FMO1" t="s">
        <v>9937</v>
      </c>
      <c r="FMP1" t="s">
        <v>9938</v>
      </c>
      <c r="FMQ1" t="s">
        <v>9939</v>
      </c>
      <c r="FMR1" t="s">
        <v>9940</v>
      </c>
      <c r="FMS1" t="s">
        <v>9941</v>
      </c>
      <c r="FMT1" t="s">
        <v>9942</v>
      </c>
      <c r="FMU1" t="s">
        <v>9943</v>
      </c>
      <c r="FMV1" t="s">
        <v>9944</v>
      </c>
      <c r="FMW1" t="s">
        <v>9945</v>
      </c>
      <c r="FMX1" t="s">
        <v>9946</v>
      </c>
      <c r="FMY1" t="s">
        <v>9947</v>
      </c>
      <c r="FMZ1" t="s">
        <v>9948</v>
      </c>
      <c r="FNA1" t="s">
        <v>9949</v>
      </c>
      <c r="FNB1" t="s">
        <v>9950</v>
      </c>
      <c r="FNC1" t="s">
        <v>9951</v>
      </c>
      <c r="FND1" t="s">
        <v>9952</v>
      </c>
      <c r="FNE1" t="s">
        <v>9953</v>
      </c>
      <c r="FNF1" t="s">
        <v>9954</v>
      </c>
      <c r="FNG1" t="s">
        <v>9955</v>
      </c>
      <c r="FNH1" t="s">
        <v>9956</v>
      </c>
      <c r="FNI1" t="s">
        <v>9957</v>
      </c>
      <c r="FNJ1" t="s">
        <v>9958</v>
      </c>
      <c r="FNK1" t="s">
        <v>9959</v>
      </c>
      <c r="FNL1" t="s">
        <v>9960</v>
      </c>
      <c r="FNM1" t="s">
        <v>9961</v>
      </c>
      <c r="FNN1" t="s">
        <v>9962</v>
      </c>
      <c r="FNO1" t="s">
        <v>9963</v>
      </c>
      <c r="FNP1" t="s">
        <v>9964</v>
      </c>
      <c r="FNQ1" t="s">
        <v>9965</v>
      </c>
      <c r="FNR1" t="s">
        <v>9966</v>
      </c>
      <c r="FNS1" t="s">
        <v>9967</v>
      </c>
      <c r="FNT1" t="s">
        <v>9968</v>
      </c>
      <c r="FNU1" t="s">
        <v>9969</v>
      </c>
      <c r="FNV1" t="s">
        <v>9970</v>
      </c>
      <c r="FNW1" t="s">
        <v>9971</v>
      </c>
      <c r="FNX1" t="s">
        <v>9972</v>
      </c>
      <c r="FNY1" t="s">
        <v>9973</v>
      </c>
      <c r="FNZ1" t="s">
        <v>9974</v>
      </c>
      <c r="FOA1" t="s">
        <v>9975</v>
      </c>
      <c r="FOB1" t="s">
        <v>9976</v>
      </c>
      <c r="FOC1" t="s">
        <v>9977</v>
      </c>
      <c r="FOD1" t="s">
        <v>9978</v>
      </c>
      <c r="FOE1" t="s">
        <v>9979</v>
      </c>
      <c r="FOF1" t="s">
        <v>9980</v>
      </c>
      <c r="FOG1" t="s">
        <v>9981</v>
      </c>
      <c r="FOH1" t="s">
        <v>9982</v>
      </c>
      <c r="FOI1" t="s">
        <v>9983</v>
      </c>
      <c r="FOJ1" t="s">
        <v>9984</v>
      </c>
      <c r="FOK1" t="s">
        <v>9985</v>
      </c>
      <c r="FOL1" t="s">
        <v>9986</v>
      </c>
      <c r="FOM1" t="s">
        <v>9987</v>
      </c>
      <c r="FON1" t="s">
        <v>9988</v>
      </c>
      <c r="FOO1" t="s">
        <v>9989</v>
      </c>
      <c r="FOP1" t="s">
        <v>9990</v>
      </c>
      <c r="FOQ1" t="s">
        <v>9991</v>
      </c>
      <c r="FOR1" t="s">
        <v>9992</v>
      </c>
      <c r="FOS1" t="s">
        <v>9993</v>
      </c>
      <c r="FOT1" t="s">
        <v>9994</v>
      </c>
      <c r="FOU1" t="s">
        <v>9995</v>
      </c>
      <c r="FOV1" t="s">
        <v>9996</v>
      </c>
      <c r="FOW1" t="s">
        <v>9997</v>
      </c>
      <c r="FOX1" t="s">
        <v>9998</v>
      </c>
      <c r="FOY1" t="s">
        <v>9999</v>
      </c>
      <c r="FOZ1" t="s">
        <v>10000</v>
      </c>
      <c r="FPA1" t="s">
        <v>10001</v>
      </c>
      <c r="FPB1" t="s">
        <v>10002</v>
      </c>
      <c r="FPC1" t="s">
        <v>10003</v>
      </c>
      <c r="FPD1" t="s">
        <v>10004</v>
      </c>
      <c r="FPE1" t="s">
        <v>10005</v>
      </c>
      <c r="FPF1" t="s">
        <v>10006</v>
      </c>
      <c r="FPG1" t="s">
        <v>10007</v>
      </c>
      <c r="FPH1" t="s">
        <v>10008</v>
      </c>
      <c r="FPI1" t="s">
        <v>10009</v>
      </c>
      <c r="FPJ1" t="s">
        <v>10010</v>
      </c>
      <c r="FPK1" t="s">
        <v>10011</v>
      </c>
      <c r="FPL1" t="s">
        <v>10012</v>
      </c>
      <c r="FPM1" t="s">
        <v>10013</v>
      </c>
      <c r="FPN1" t="s">
        <v>10014</v>
      </c>
      <c r="FPO1" t="s">
        <v>10015</v>
      </c>
      <c r="FPP1" t="s">
        <v>10016</v>
      </c>
      <c r="FPQ1" t="s">
        <v>10017</v>
      </c>
      <c r="FPR1" t="s">
        <v>10018</v>
      </c>
      <c r="FPS1" t="s">
        <v>10019</v>
      </c>
      <c r="FPT1" t="s">
        <v>10020</v>
      </c>
      <c r="FPU1" t="s">
        <v>10021</v>
      </c>
      <c r="FPV1" t="s">
        <v>10022</v>
      </c>
      <c r="FPW1" t="s">
        <v>10023</v>
      </c>
      <c r="FPX1" t="s">
        <v>10024</v>
      </c>
      <c r="FPY1" t="s">
        <v>10025</v>
      </c>
      <c r="FPZ1" t="s">
        <v>10026</v>
      </c>
      <c r="FQA1" t="s">
        <v>10027</v>
      </c>
      <c r="FQB1" t="s">
        <v>10028</v>
      </c>
      <c r="FQC1" t="s">
        <v>10029</v>
      </c>
      <c r="FQD1" t="s">
        <v>10030</v>
      </c>
      <c r="FQE1" t="s">
        <v>10031</v>
      </c>
      <c r="FQF1" t="s">
        <v>10032</v>
      </c>
      <c r="FQG1" t="s">
        <v>10033</v>
      </c>
      <c r="FQH1" t="s">
        <v>10034</v>
      </c>
      <c r="FQI1" t="s">
        <v>10035</v>
      </c>
      <c r="FQJ1" t="s">
        <v>10036</v>
      </c>
      <c r="FQK1" t="s">
        <v>10037</v>
      </c>
      <c r="FQL1" t="s">
        <v>10038</v>
      </c>
      <c r="FQM1" t="s">
        <v>10039</v>
      </c>
      <c r="FQN1" t="s">
        <v>10040</v>
      </c>
      <c r="FQO1" t="s">
        <v>10041</v>
      </c>
      <c r="FQP1" t="s">
        <v>10042</v>
      </c>
      <c r="FQQ1" t="s">
        <v>10043</v>
      </c>
      <c r="FQR1" t="s">
        <v>10044</v>
      </c>
      <c r="FQS1" t="s">
        <v>10045</v>
      </c>
      <c r="FQT1" t="s">
        <v>10046</v>
      </c>
      <c r="FQU1" t="s">
        <v>10047</v>
      </c>
      <c r="FQV1" t="s">
        <v>10048</v>
      </c>
      <c r="FQW1" t="s">
        <v>10049</v>
      </c>
      <c r="FQX1" t="s">
        <v>10050</v>
      </c>
      <c r="FQY1" t="s">
        <v>10051</v>
      </c>
      <c r="FQZ1" t="s">
        <v>10052</v>
      </c>
      <c r="FRA1" t="s">
        <v>10053</v>
      </c>
      <c r="FRB1" t="s">
        <v>10054</v>
      </c>
      <c r="FRC1" t="s">
        <v>10055</v>
      </c>
      <c r="FRD1" t="s">
        <v>10056</v>
      </c>
      <c r="FRE1" t="s">
        <v>10057</v>
      </c>
      <c r="FRF1" t="s">
        <v>10058</v>
      </c>
      <c r="FRG1" t="s">
        <v>10059</v>
      </c>
      <c r="FRH1" t="s">
        <v>10060</v>
      </c>
      <c r="FRI1" t="s">
        <v>10061</v>
      </c>
      <c r="FRJ1" t="s">
        <v>10062</v>
      </c>
      <c r="FRK1" t="s">
        <v>10063</v>
      </c>
      <c r="FRL1" t="s">
        <v>10064</v>
      </c>
      <c r="FRM1" t="s">
        <v>10065</v>
      </c>
      <c r="FRN1" t="s">
        <v>10066</v>
      </c>
      <c r="FRO1" t="s">
        <v>10067</v>
      </c>
      <c r="FRP1" t="s">
        <v>10068</v>
      </c>
      <c r="FRQ1" t="s">
        <v>10069</v>
      </c>
      <c r="FRR1" t="s">
        <v>10070</v>
      </c>
      <c r="FRS1" t="s">
        <v>10071</v>
      </c>
      <c r="FRT1" t="s">
        <v>10072</v>
      </c>
      <c r="FRU1" t="s">
        <v>10073</v>
      </c>
      <c r="FRV1" t="s">
        <v>10074</v>
      </c>
      <c r="FRW1" t="s">
        <v>10075</v>
      </c>
      <c r="FRX1" t="s">
        <v>10076</v>
      </c>
      <c r="FRY1" t="s">
        <v>10077</v>
      </c>
      <c r="FRZ1" t="s">
        <v>10078</v>
      </c>
      <c r="FSA1" t="s">
        <v>10079</v>
      </c>
      <c r="FSB1" t="s">
        <v>10080</v>
      </c>
      <c r="FSC1" t="s">
        <v>10081</v>
      </c>
      <c r="FSD1" t="s">
        <v>10082</v>
      </c>
      <c r="FSE1" t="s">
        <v>10083</v>
      </c>
      <c r="FSF1" t="s">
        <v>10084</v>
      </c>
      <c r="FSG1" t="s">
        <v>10085</v>
      </c>
      <c r="FSH1" t="s">
        <v>10086</v>
      </c>
      <c r="FSI1" t="s">
        <v>10087</v>
      </c>
      <c r="FSJ1" t="s">
        <v>10088</v>
      </c>
      <c r="FSK1" t="s">
        <v>10089</v>
      </c>
      <c r="FSL1" t="s">
        <v>10090</v>
      </c>
      <c r="FSM1" t="s">
        <v>10091</v>
      </c>
      <c r="FSN1" t="s">
        <v>10092</v>
      </c>
      <c r="FSO1" t="s">
        <v>10093</v>
      </c>
      <c r="FSP1" t="s">
        <v>10094</v>
      </c>
      <c r="FSQ1" t="s">
        <v>10095</v>
      </c>
      <c r="FSR1" t="s">
        <v>10096</v>
      </c>
      <c r="FSS1" t="s">
        <v>10097</v>
      </c>
      <c r="FST1" t="s">
        <v>10098</v>
      </c>
      <c r="FSU1" t="s">
        <v>10099</v>
      </c>
      <c r="FSV1" t="s">
        <v>10100</v>
      </c>
      <c r="FSW1" t="s">
        <v>10101</v>
      </c>
      <c r="FSX1" t="s">
        <v>10102</v>
      </c>
      <c r="FSY1" t="s">
        <v>10103</v>
      </c>
      <c r="FSZ1" t="s">
        <v>10104</v>
      </c>
      <c r="FTA1" t="s">
        <v>10105</v>
      </c>
      <c r="FTB1" t="s">
        <v>10106</v>
      </c>
      <c r="FTC1" t="s">
        <v>10107</v>
      </c>
      <c r="FTD1" t="s">
        <v>10108</v>
      </c>
      <c r="FTE1" t="s">
        <v>10109</v>
      </c>
      <c r="FTF1" t="s">
        <v>10110</v>
      </c>
      <c r="FTG1" t="s">
        <v>10111</v>
      </c>
      <c r="FTH1" t="s">
        <v>10112</v>
      </c>
      <c r="FTI1" t="s">
        <v>10113</v>
      </c>
      <c r="FTJ1" t="s">
        <v>10114</v>
      </c>
      <c r="FTK1" t="s">
        <v>10115</v>
      </c>
      <c r="FTL1" t="s">
        <v>10116</v>
      </c>
      <c r="FTM1" t="s">
        <v>10117</v>
      </c>
      <c r="FTN1" t="s">
        <v>10118</v>
      </c>
      <c r="FTO1" t="s">
        <v>10119</v>
      </c>
      <c r="FTP1" t="s">
        <v>10120</v>
      </c>
      <c r="FTQ1" t="s">
        <v>10121</v>
      </c>
      <c r="FTR1" t="s">
        <v>10122</v>
      </c>
      <c r="FTS1" t="s">
        <v>10123</v>
      </c>
      <c r="FTT1" t="s">
        <v>10124</v>
      </c>
      <c r="FTU1" t="s">
        <v>10125</v>
      </c>
      <c r="FTV1" t="s">
        <v>10126</v>
      </c>
      <c r="FTW1" t="s">
        <v>10127</v>
      </c>
      <c r="FTX1" t="s">
        <v>10128</v>
      </c>
      <c r="FTY1" t="s">
        <v>10129</v>
      </c>
      <c r="FTZ1" t="s">
        <v>10130</v>
      </c>
      <c r="FUA1" t="s">
        <v>10131</v>
      </c>
      <c r="FUB1" t="s">
        <v>10132</v>
      </c>
      <c r="FUC1" t="s">
        <v>10133</v>
      </c>
      <c r="FUD1" t="s">
        <v>10134</v>
      </c>
      <c r="FUE1" t="s">
        <v>10135</v>
      </c>
      <c r="FUF1" t="s">
        <v>10136</v>
      </c>
      <c r="FUG1" t="s">
        <v>10137</v>
      </c>
      <c r="FUH1" t="s">
        <v>10138</v>
      </c>
      <c r="FUI1" t="s">
        <v>10139</v>
      </c>
      <c r="FUJ1" t="s">
        <v>10140</v>
      </c>
      <c r="FUK1" t="s">
        <v>10141</v>
      </c>
      <c r="FUL1" t="s">
        <v>10142</v>
      </c>
      <c r="FUM1" t="s">
        <v>10143</v>
      </c>
      <c r="FUN1" t="s">
        <v>10144</v>
      </c>
      <c r="FUO1" t="s">
        <v>10145</v>
      </c>
      <c r="FUP1" t="s">
        <v>10146</v>
      </c>
      <c r="FUQ1" t="s">
        <v>10147</v>
      </c>
      <c r="FUR1" t="s">
        <v>10148</v>
      </c>
      <c r="FUS1" t="s">
        <v>10149</v>
      </c>
      <c r="FUT1" t="s">
        <v>10150</v>
      </c>
      <c r="FUU1" t="s">
        <v>10151</v>
      </c>
      <c r="FUV1" t="s">
        <v>10152</v>
      </c>
      <c r="FUW1" t="s">
        <v>10153</v>
      </c>
      <c r="FUX1" t="s">
        <v>10154</v>
      </c>
      <c r="FUY1" t="s">
        <v>10155</v>
      </c>
      <c r="FUZ1" t="s">
        <v>10156</v>
      </c>
      <c r="FVA1" t="s">
        <v>10157</v>
      </c>
      <c r="FVB1" t="s">
        <v>10158</v>
      </c>
      <c r="FVC1" t="s">
        <v>10159</v>
      </c>
      <c r="FVD1" t="s">
        <v>10160</v>
      </c>
      <c r="FVE1" t="s">
        <v>10161</v>
      </c>
      <c r="FVF1" t="s">
        <v>10162</v>
      </c>
      <c r="FVG1" t="s">
        <v>10163</v>
      </c>
      <c r="FVH1" t="s">
        <v>10164</v>
      </c>
      <c r="FVI1" t="s">
        <v>10165</v>
      </c>
      <c r="FVJ1" t="s">
        <v>10166</v>
      </c>
      <c r="FVK1" t="s">
        <v>10167</v>
      </c>
      <c r="FVL1" t="s">
        <v>10168</v>
      </c>
      <c r="FVM1" t="s">
        <v>10169</v>
      </c>
      <c r="FVN1" t="s">
        <v>10170</v>
      </c>
      <c r="FVO1" t="s">
        <v>10171</v>
      </c>
      <c r="FVP1" t="s">
        <v>10172</v>
      </c>
      <c r="FVQ1" t="s">
        <v>10173</v>
      </c>
      <c r="FVR1" t="s">
        <v>10174</v>
      </c>
      <c r="FVS1" t="s">
        <v>10175</v>
      </c>
      <c r="FVT1" t="s">
        <v>10176</v>
      </c>
      <c r="FVU1" t="s">
        <v>10177</v>
      </c>
      <c r="FVV1" t="s">
        <v>10178</v>
      </c>
      <c r="FVW1" t="s">
        <v>10179</v>
      </c>
      <c r="FVX1" t="s">
        <v>10180</v>
      </c>
      <c r="FVY1" t="s">
        <v>10181</v>
      </c>
      <c r="FVZ1" t="s">
        <v>10182</v>
      </c>
      <c r="FWA1" t="s">
        <v>10183</v>
      </c>
      <c r="FWB1" t="s">
        <v>10184</v>
      </c>
      <c r="FWC1" t="s">
        <v>10185</v>
      </c>
      <c r="FWD1" t="s">
        <v>10186</v>
      </c>
      <c r="FWE1" t="s">
        <v>10187</v>
      </c>
      <c r="FWF1" t="s">
        <v>10188</v>
      </c>
      <c r="FWG1" t="s">
        <v>10189</v>
      </c>
      <c r="FWH1" t="s">
        <v>10190</v>
      </c>
      <c r="FWI1" t="s">
        <v>10191</v>
      </c>
      <c r="FWJ1" t="s">
        <v>10192</v>
      </c>
      <c r="FWK1" t="s">
        <v>10193</v>
      </c>
      <c r="FWL1" t="s">
        <v>10194</v>
      </c>
      <c r="FWM1" t="s">
        <v>10195</v>
      </c>
      <c r="FWN1" t="s">
        <v>10196</v>
      </c>
      <c r="FWO1" t="s">
        <v>10197</v>
      </c>
      <c r="FWP1" t="s">
        <v>10198</v>
      </c>
      <c r="FWQ1" t="s">
        <v>10199</v>
      </c>
      <c r="FWR1" t="s">
        <v>10200</v>
      </c>
      <c r="FWS1" t="s">
        <v>10201</v>
      </c>
      <c r="FWT1" t="s">
        <v>10202</v>
      </c>
      <c r="FWU1" t="s">
        <v>10203</v>
      </c>
      <c r="FWV1" t="s">
        <v>10204</v>
      </c>
      <c r="FWW1" t="s">
        <v>10205</v>
      </c>
      <c r="FWX1" t="s">
        <v>10206</v>
      </c>
      <c r="FWY1" t="s">
        <v>10207</v>
      </c>
      <c r="FWZ1" t="s">
        <v>10208</v>
      </c>
      <c r="FXA1" t="s">
        <v>10209</v>
      </c>
      <c r="FXB1" t="s">
        <v>10210</v>
      </c>
      <c r="FXC1" t="s">
        <v>10211</v>
      </c>
      <c r="FXD1" t="s">
        <v>10212</v>
      </c>
      <c r="FXE1" t="s">
        <v>10213</v>
      </c>
      <c r="FXF1" t="s">
        <v>10214</v>
      </c>
      <c r="FXG1" t="s">
        <v>10215</v>
      </c>
      <c r="FXH1" t="s">
        <v>10216</v>
      </c>
      <c r="FXI1" t="s">
        <v>10217</v>
      </c>
      <c r="FXJ1" t="s">
        <v>10218</v>
      </c>
      <c r="FXK1" t="s">
        <v>10219</v>
      </c>
      <c r="FXL1" t="s">
        <v>10220</v>
      </c>
      <c r="FXM1" t="s">
        <v>10221</v>
      </c>
      <c r="FXN1" t="s">
        <v>10222</v>
      </c>
      <c r="FXO1" t="s">
        <v>10223</v>
      </c>
      <c r="FXP1" t="s">
        <v>10224</v>
      </c>
      <c r="FXQ1" t="s">
        <v>10225</v>
      </c>
      <c r="FXR1" t="s">
        <v>10226</v>
      </c>
      <c r="FXS1" t="s">
        <v>10227</v>
      </c>
      <c r="FXT1" t="s">
        <v>10228</v>
      </c>
      <c r="FXU1" t="s">
        <v>10229</v>
      </c>
      <c r="FXV1" t="s">
        <v>10230</v>
      </c>
      <c r="FXW1" t="s">
        <v>10231</v>
      </c>
      <c r="FXX1" t="s">
        <v>10232</v>
      </c>
      <c r="FXY1" t="s">
        <v>10233</v>
      </c>
      <c r="FXZ1" t="s">
        <v>10234</v>
      </c>
      <c r="FYA1" t="s">
        <v>10235</v>
      </c>
      <c r="FYB1" t="s">
        <v>10236</v>
      </c>
      <c r="FYC1" t="s">
        <v>10237</v>
      </c>
      <c r="FYD1" t="s">
        <v>10238</v>
      </c>
      <c r="FYE1" t="s">
        <v>10239</v>
      </c>
      <c r="FYF1" t="s">
        <v>10240</v>
      </c>
      <c r="FYG1" t="s">
        <v>10241</v>
      </c>
      <c r="FYH1" t="s">
        <v>10242</v>
      </c>
      <c r="FYI1" t="s">
        <v>10243</v>
      </c>
      <c r="FYJ1" t="s">
        <v>10244</v>
      </c>
      <c r="FYK1" t="s">
        <v>10245</v>
      </c>
      <c r="FYL1" t="s">
        <v>10246</v>
      </c>
      <c r="FYM1" t="s">
        <v>10247</v>
      </c>
      <c r="FYN1" t="s">
        <v>10248</v>
      </c>
      <c r="FYO1" t="s">
        <v>10249</v>
      </c>
      <c r="FYP1" t="s">
        <v>10250</v>
      </c>
      <c r="FYQ1" t="s">
        <v>10251</v>
      </c>
      <c r="FYR1" t="s">
        <v>10252</v>
      </c>
      <c r="FYS1" t="s">
        <v>10253</v>
      </c>
      <c r="FYT1" t="s">
        <v>10254</v>
      </c>
      <c r="FYU1" t="s">
        <v>10255</v>
      </c>
      <c r="FYV1" t="s">
        <v>10256</v>
      </c>
      <c r="FYW1" t="s">
        <v>10257</v>
      </c>
      <c r="FYX1" t="s">
        <v>10258</v>
      </c>
      <c r="FYY1" t="s">
        <v>10259</v>
      </c>
      <c r="FYZ1" t="s">
        <v>10260</v>
      </c>
      <c r="FZA1" t="s">
        <v>10261</v>
      </c>
      <c r="FZB1" t="s">
        <v>10262</v>
      </c>
      <c r="FZC1" t="s">
        <v>10263</v>
      </c>
      <c r="FZD1" t="s">
        <v>10264</v>
      </c>
      <c r="FZE1" t="s">
        <v>10265</v>
      </c>
      <c r="FZF1" t="s">
        <v>10266</v>
      </c>
      <c r="FZG1" t="s">
        <v>10267</v>
      </c>
      <c r="FZH1" t="s">
        <v>10268</v>
      </c>
      <c r="FZI1" t="s">
        <v>10269</v>
      </c>
      <c r="FZJ1" t="s">
        <v>10270</v>
      </c>
      <c r="FZK1" t="s">
        <v>10271</v>
      </c>
      <c r="FZL1" t="s">
        <v>10272</v>
      </c>
      <c r="FZM1" t="s">
        <v>10273</v>
      </c>
      <c r="FZN1" t="s">
        <v>10274</v>
      </c>
      <c r="FZO1" t="s">
        <v>10275</v>
      </c>
      <c r="FZP1" t="s">
        <v>10276</v>
      </c>
      <c r="FZQ1" t="s">
        <v>10277</v>
      </c>
      <c r="FZR1" t="s">
        <v>10278</v>
      </c>
      <c r="FZS1" t="s">
        <v>10279</v>
      </c>
      <c r="FZT1" t="s">
        <v>10280</v>
      </c>
      <c r="FZU1" t="s">
        <v>10281</v>
      </c>
      <c r="FZV1" t="s">
        <v>10282</v>
      </c>
      <c r="FZW1" t="s">
        <v>10283</v>
      </c>
      <c r="FZX1" t="s">
        <v>10284</v>
      </c>
      <c r="FZY1" t="s">
        <v>10285</v>
      </c>
      <c r="FZZ1" t="s">
        <v>10286</v>
      </c>
      <c r="GAA1" t="s">
        <v>10287</v>
      </c>
      <c r="GAB1" t="s">
        <v>10288</v>
      </c>
      <c r="GAC1" t="s">
        <v>10289</v>
      </c>
      <c r="GAD1" t="s">
        <v>10290</v>
      </c>
      <c r="GAE1" t="s">
        <v>10291</v>
      </c>
      <c r="GAF1" t="s">
        <v>10292</v>
      </c>
      <c r="GAG1" t="s">
        <v>10293</v>
      </c>
      <c r="GAH1" t="s">
        <v>10294</v>
      </c>
      <c r="GAI1" t="s">
        <v>10295</v>
      </c>
      <c r="GAJ1" t="s">
        <v>10296</v>
      </c>
      <c r="GAK1" t="s">
        <v>10297</v>
      </c>
      <c r="GAL1" t="s">
        <v>10298</v>
      </c>
      <c r="GAM1" t="s">
        <v>10299</v>
      </c>
      <c r="GAN1" t="s">
        <v>10300</v>
      </c>
      <c r="GAO1" t="s">
        <v>10301</v>
      </c>
      <c r="GAP1" t="s">
        <v>10302</v>
      </c>
      <c r="GAQ1" t="s">
        <v>10303</v>
      </c>
      <c r="GAR1" t="s">
        <v>10304</v>
      </c>
      <c r="GAS1" t="s">
        <v>10305</v>
      </c>
      <c r="GAT1" t="s">
        <v>10306</v>
      </c>
      <c r="GAU1" t="s">
        <v>10307</v>
      </c>
      <c r="GAV1" t="s">
        <v>10308</v>
      </c>
      <c r="GAW1" t="s">
        <v>10309</v>
      </c>
      <c r="GAX1" t="s">
        <v>10310</v>
      </c>
      <c r="GAY1" t="s">
        <v>10311</v>
      </c>
      <c r="GAZ1" t="s">
        <v>10312</v>
      </c>
      <c r="GBA1" t="s">
        <v>10313</v>
      </c>
      <c r="GBB1" t="s">
        <v>10314</v>
      </c>
      <c r="GBC1" t="s">
        <v>10315</v>
      </c>
      <c r="GBD1" t="s">
        <v>10316</v>
      </c>
      <c r="GBE1" t="s">
        <v>10317</v>
      </c>
      <c r="GBF1" t="s">
        <v>10318</v>
      </c>
      <c r="GBG1" t="s">
        <v>10319</v>
      </c>
      <c r="GBH1" t="s">
        <v>10320</v>
      </c>
      <c r="GBI1" t="s">
        <v>10321</v>
      </c>
      <c r="GBJ1" t="s">
        <v>10322</v>
      </c>
      <c r="GBK1" t="s">
        <v>10323</v>
      </c>
      <c r="GBL1" t="s">
        <v>10324</v>
      </c>
      <c r="GBM1" t="s">
        <v>10325</v>
      </c>
      <c r="GBN1" t="s">
        <v>10326</v>
      </c>
      <c r="GBO1" t="s">
        <v>10327</v>
      </c>
      <c r="GBP1" t="s">
        <v>10328</v>
      </c>
      <c r="GBQ1" t="s">
        <v>10329</v>
      </c>
      <c r="GBR1" t="s">
        <v>10330</v>
      </c>
      <c r="GBS1" t="s">
        <v>10331</v>
      </c>
      <c r="GBT1" t="s">
        <v>10332</v>
      </c>
      <c r="GBU1" t="s">
        <v>10333</v>
      </c>
      <c r="GBV1" t="s">
        <v>10334</v>
      </c>
      <c r="GBW1" t="s">
        <v>10335</v>
      </c>
      <c r="GBX1" t="s">
        <v>10336</v>
      </c>
      <c r="GBY1" t="s">
        <v>10337</v>
      </c>
      <c r="GBZ1" t="s">
        <v>10338</v>
      </c>
      <c r="GCA1" t="s">
        <v>10339</v>
      </c>
      <c r="GCB1" t="s">
        <v>10340</v>
      </c>
      <c r="GCC1" t="s">
        <v>10341</v>
      </c>
      <c r="GCD1" t="s">
        <v>10342</v>
      </c>
      <c r="GCE1" t="s">
        <v>10343</v>
      </c>
      <c r="GCF1" t="s">
        <v>10344</v>
      </c>
      <c r="GCG1" t="s">
        <v>10345</v>
      </c>
      <c r="GCH1" t="s">
        <v>10346</v>
      </c>
      <c r="GCI1" t="s">
        <v>10347</v>
      </c>
      <c r="GCJ1" t="s">
        <v>10348</v>
      </c>
      <c r="GCK1" t="s">
        <v>10349</v>
      </c>
      <c r="GCL1" t="s">
        <v>10350</v>
      </c>
      <c r="GCM1" t="s">
        <v>10351</v>
      </c>
      <c r="GCN1" t="s">
        <v>10352</v>
      </c>
      <c r="GCO1" t="s">
        <v>10353</v>
      </c>
      <c r="GCP1" t="s">
        <v>10354</v>
      </c>
      <c r="GCQ1" t="s">
        <v>10355</v>
      </c>
      <c r="GCR1" t="s">
        <v>10356</v>
      </c>
      <c r="GCS1" t="s">
        <v>10357</v>
      </c>
      <c r="GCT1" t="s">
        <v>10358</v>
      </c>
      <c r="GCU1" t="s">
        <v>10359</v>
      </c>
      <c r="GCV1" t="s">
        <v>10360</v>
      </c>
      <c r="GCW1" t="s">
        <v>10361</v>
      </c>
      <c r="GCX1" t="s">
        <v>10362</v>
      </c>
      <c r="GCY1" t="s">
        <v>10363</v>
      </c>
      <c r="GCZ1" t="s">
        <v>10364</v>
      </c>
      <c r="GDA1" t="s">
        <v>10365</v>
      </c>
      <c r="GDB1" t="s">
        <v>10366</v>
      </c>
      <c r="GDC1" t="s">
        <v>10367</v>
      </c>
      <c r="GDD1" t="s">
        <v>10368</v>
      </c>
      <c r="GDE1" t="s">
        <v>10369</v>
      </c>
      <c r="GDF1" t="s">
        <v>10370</v>
      </c>
      <c r="GDG1" t="s">
        <v>10371</v>
      </c>
      <c r="GDH1" t="s">
        <v>10372</v>
      </c>
      <c r="GDI1" t="s">
        <v>10373</v>
      </c>
      <c r="GDJ1" t="s">
        <v>10374</v>
      </c>
      <c r="GDK1" t="s">
        <v>10375</v>
      </c>
      <c r="GDL1" t="s">
        <v>10376</v>
      </c>
      <c r="GDM1" t="s">
        <v>10377</v>
      </c>
      <c r="GDN1" t="s">
        <v>10378</v>
      </c>
      <c r="GDO1" t="s">
        <v>10379</v>
      </c>
      <c r="GDP1" t="s">
        <v>10380</v>
      </c>
      <c r="GDQ1" t="s">
        <v>10381</v>
      </c>
      <c r="GDR1" t="s">
        <v>10382</v>
      </c>
      <c r="GDS1" t="s">
        <v>10383</v>
      </c>
      <c r="GDT1" t="s">
        <v>10384</v>
      </c>
      <c r="GDU1" t="s">
        <v>10385</v>
      </c>
      <c r="GDV1" t="s">
        <v>10386</v>
      </c>
      <c r="GDW1" t="s">
        <v>10387</v>
      </c>
      <c r="GDX1" t="s">
        <v>10388</v>
      </c>
      <c r="GDY1" t="s">
        <v>10389</v>
      </c>
      <c r="GDZ1" t="s">
        <v>10390</v>
      </c>
      <c r="GEA1" t="s">
        <v>10391</v>
      </c>
      <c r="GEB1" t="s">
        <v>10392</v>
      </c>
      <c r="GEC1" t="s">
        <v>10393</v>
      </c>
      <c r="GED1" t="s">
        <v>10394</v>
      </c>
      <c r="GEE1" t="s">
        <v>10395</v>
      </c>
      <c r="GEF1" t="s">
        <v>10396</v>
      </c>
      <c r="GEG1" t="s">
        <v>10397</v>
      </c>
      <c r="GEH1" t="s">
        <v>10398</v>
      </c>
      <c r="GEI1" t="s">
        <v>10399</v>
      </c>
      <c r="GEJ1" t="s">
        <v>10400</v>
      </c>
      <c r="GEK1" t="s">
        <v>10401</v>
      </c>
      <c r="GEL1" t="s">
        <v>10402</v>
      </c>
      <c r="GEM1" t="s">
        <v>10403</v>
      </c>
      <c r="GEN1" t="s">
        <v>10404</v>
      </c>
      <c r="GEO1" t="s">
        <v>10405</v>
      </c>
      <c r="GEP1" t="s">
        <v>10406</v>
      </c>
      <c r="GEQ1" t="s">
        <v>10407</v>
      </c>
      <c r="GER1" t="s">
        <v>10408</v>
      </c>
      <c r="GES1" t="s">
        <v>10409</v>
      </c>
      <c r="GET1" t="s">
        <v>10410</v>
      </c>
      <c r="GEU1" t="s">
        <v>10411</v>
      </c>
      <c r="GEV1" t="s">
        <v>10412</v>
      </c>
      <c r="GEW1" t="s">
        <v>10413</v>
      </c>
      <c r="GEX1" t="s">
        <v>10414</v>
      </c>
      <c r="GEY1" t="s">
        <v>10415</v>
      </c>
      <c r="GEZ1" t="s">
        <v>10416</v>
      </c>
      <c r="GFA1" t="s">
        <v>10417</v>
      </c>
      <c r="GFB1" t="s">
        <v>10418</v>
      </c>
      <c r="GFC1" t="s">
        <v>10419</v>
      </c>
      <c r="GFD1" t="s">
        <v>10420</v>
      </c>
      <c r="GFE1" t="s">
        <v>10421</v>
      </c>
      <c r="GFF1" t="s">
        <v>10422</v>
      </c>
      <c r="GFG1" t="s">
        <v>10423</v>
      </c>
      <c r="GFH1" t="s">
        <v>10424</v>
      </c>
      <c r="GFI1" t="s">
        <v>10425</v>
      </c>
      <c r="GFJ1" t="s">
        <v>10426</v>
      </c>
      <c r="GFK1" t="s">
        <v>10427</v>
      </c>
      <c r="GFL1" t="s">
        <v>10428</v>
      </c>
      <c r="GFM1" t="s">
        <v>10429</v>
      </c>
      <c r="GFN1" t="s">
        <v>10430</v>
      </c>
      <c r="GFO1" t="s">
        <v>10431</v>
      </c>
      <c r="GFP1" t="s">
        <v>10432</v>
      </c>
      <c r="GFQ1" t="s">
        <v>10433</v>
      </c>
      <c r="GFR1" t="s">
        <v>10434</v>
      </c>
      <c r="GFS1" t="s">
        <v>10435</v>
      </c>
      <c r="GFT1" t="s">
        <v>10436</v>
      </c>
      <c r="GFU1" t="s">
        <v>10437</v>
      </c>
      <c r="GFV1" t="s">
        <v>10438</v>
      </c>
      <c r="GFW1" t="s">
        <v>10439</v>
      </c>
      <c r="GFX1" t="s">
        <v>10440</v>
      </c>
      <c r="GFY1" t="s">
        <v>10441</v>
      </c>
      <c r="GFZ1" t="s">
        <v>10442</v>
      </c>
      <c r="GGA1" t="s">
        <v>10443</v>
      </c>
      <c r="GGB1" t="s">
        <v>10444</v>
      </c>
      <c r="GGC1" t="s">
        <v>10445</v>
      </c>
      <c r="GGD1" t="s">
        <v>10446</v>
      </c>
      <c r="GGE1" t="s">
        <v>10447</v>
      </c>
      <c r="GGF1" t="s">
        <v>10448</v>
      </c>
      <c r="GGG1" t="s">
        <v>10449</v>
      </c>
      <c r="GGH1" t="s">
        <v>10450</v>
      </c>
      <c r="GGI1" t="s">
        <v>10451</v>
      </c>
      <c r="GGJ1" t="s">
        <v>10452</v>
      </c>
      <c r="GGK1" t="s">
        <v>10453</v>
      </c>
      <c r="GGL1" t="s">
        <v>10454</v>
      </c>
      <c r="GGM1" t="s">
        <v>10455</v>
      </c>
      <c r="GGN1" t="s">
        <v>10456</v>
      </c>
      <c r="GGO1" t="s">
        <v>10457</v>
      </c>
      <c r="GGP1" t="s">
        <v>10458</v>
      </c>
      <c r="GGQ1" t="s">
        <v>10459</v>
      </c>
      <c r="GGR1" t="s">
        <v>10460</v>
      </c>
      <c r="GGS1" t="s">
        <v>10461</v>
      </c>
      <c r="GGT1" t="s">
        <v>10462</v>
      </c>
      <c r="GGU1" t="s">
        <v>10463</v>
      </c>
      <c r="GGV1" t="s">
        <v>10464</v>
      </c>
      <c r="GGW1" t="s">
        <v>10465</v>
      </c>
      <c r="GGX1" t="s">
        <v>10466</v>
      </c>
      <c r="GGY1" t="s">
        <v>10467</v>
      </c>
      <c r="GGZ1" t="s">
        <v>10468</v>
      </c>
      <c r="GHA1" t="s">
        <v>10469</v>
      </c>
      <c r="GHB1" t="s">
        <v>10470</v>
      </c>
      <c r="GHC1" t="s">
        <v>10471</v>
      </c>
      <c r="GHD1" t="s">
        <v>10472</v>
      </c>
      <c r="GHE1" t="s">
        <v>10473</v>
      </c>
      <c r="GHF1" t="s">
        <v>10474</v>
      </c>
      <c r="GHG1" t="s">
        <v>10475</v>
      </c>
      <c r="GHH1" t="s">
        <v>10476</v>
      </c>
      <c r="GHI1" t="s">
        <v>10477</v>
      </c>
      <c r="GHJ1" t="s">
        <v>10478</v>
      </c>
      <c r="GHK1" t="s">
        <v>10479</v>
      </c>
      <c r="GHL1" t="s">
        <v>10480</v>
      </c>
      <c r="GHM1" t="s">
        <v>10481</v>
      </c>
      <c r="GHN1" t="s">
        <v>10482</v>
      </c>
      <c r="GHO1" t="s">
        <v>10483</v>
      </c>
      <c r="GHP1" t="s">
        <v>10484</v>
      </c>
      <c r="GHQ1" t="s">
        <v>10485</v>
      </c>
      <c r="GHR1" t="s">
        <v>10486</v>
      </c>
      <c r="GHS1" t="s">
        <v>10487</v>
      </c>
      <c r="GHT1" t="s">
        <v>10488</v>
      </c>
      <c r="GHU1" t="s">
        <v>10489</v>
      </c>
      <c r="GHV1" t="s">
        <v>10490</v>
      </c>
      <c r="GHW1" t="s">
        <v>10491</v>
      </c>
      <c r="GHX1" t="s">
        <v>10492</v>
      </c>
      <c r="GHY1" t="s">
        <v>10493</v>
      </c>
      <c r="GHZ1" t="s">
        <v>10494</v>
      </c>
      <c r="GIA1" t="s">
        <v>10495</v>
      </c>
      <c r="GIB1" t="s">
        <v>10496</v>
      </c>
      <c r="GIC1" t="s">
        <v>10497</v>
      </c>
      <c r="GID1" t="s">
        <v>10498</v>
      </c>
      <c r="GIE1" t="s">
        <v>10499</v>
      </c>
      <c r="GIF1" t="s">
        <v>10500</v>
      </c>
      <c r="GIG1" t="s">
        <v>10501</v>
      </c>
      <c r="GIH1" t="s">
        <v>10502</v>
      </c>
      <c r="GII1" t="s">
        <v>10503</v>
      </c>
      <c r="GIJ1" t="s">
        <v>10504</v>
      </c>
      <c r="GIK1" t="s">
        <v>10505</v>
      </c>
      <c r="GIL1" t="s">
        <v>10506</v>
      </c>
      <c r="GIM1" t="s">
        <v>10507</v>
      </c>
      <c r="GIN1" t="s">
        <v>10508</v>
      </c>
      <c r="GIO1" t="s">
        <v>10509</v>
      </c>
      <c r="GIP1" t="s">
        <v>10510</v>
      </c>
      <c r="GIQ1" t="s">
        <v>10511</v>
      </c>
      <c r="GIR1" t="s">
        <v>10512</v>
      </c>
      <c r="GIS1" t="s">
        <v>10513</v>
      </c>
      <c r="GIT1" t="s">
        <v>10514</v>
      </c>
      <c r="GIU1" t="s">
        <v>10515</v>
      </c>
      <c r="GIV1" t="s">
        <v>10516</v>
      </c>
      <c r="GIW1" t="s">
        <v>10517</v>
      </c>
      <c r="GIX1" t="s">
        <v>10518</v>
      </c>
      <c r="GIY1" t="s">
        <v>10519</v>
      </c>
      <c r="GIZ1" t="s">
        <v>10520</v>
      </c>
      <c r="GJA1" t="s">
        <v>10521</v>
      </c>
      <c r="GJB1" t="s">
        <v>10522</v>
      </c>
      <c r="GJC1" t="s">
        <v>10523</v>
      </c>
      <c r="GJD1" t="s">
        <v>10524</v>
      </c>
      <c r="GJE1" t="s">
        <v>10525</v>
      </c>
      <c r="GJF1" t="s">
        <v>10526</v>
      </c>
      <c r="GJG1" t="s">
        <v>10527</v>
      </c>
      <c r="GJH1" t="s">
        <v>10528</v>
      </c>
      <c r="GJI1" t="s">
        <v>10529</v>
      </c>
      <c r="GJJ1" t="s">
        <v>10530</v>
      </c>
      <c r="GJK1" t="s">
        <v>10531</v>
      </c>
      <c r="GJL1" t="s">
        <v>10532</v>
      </c>
      <c r="GJM1" t="s">
        <v>10533</v>
      </c>
      <c r="GJN1" t="s">
        <v>10534</v>
      </c>
      <c r="GJO1" t="s">
        <v>10535</v>
      </c>
      <c r="GJP1" t="s">
        <v>10536</v>
      </c>
      <c r="GJQ1" t="s">
        <v>10537</v>
      </c>
      <c r="GJR1" t="s">
        <v>10538</v>
      </c>
      <c r="GJS1" t="s">
        <v>10539</v>
      </c>
      <c r="GJT1" t="s">
        <v>10540</v>
      </c>
      <c r="GJU1" t="s">
        <v>10541</v>
      </c>
      <c r="GJV1" t="s">
        <v>10542</v>
      </c>
      <c r="GJW1" t="s">
        <v>10543</v>
      </c>
      <c r="GJX1" t="s">
        <v>10544</v>
      </c>
      <c r="GJY1" t="s">
        <v>10545</v>
      </c>
      <c r="GJZ1" t="s">
        <v>10546</v>
      </c>
      <c r="GKA1" t="s">
        <v>10547</v>
      </c>
      <c r="GKB1" t="s">
        <v>10548</v>
      </c>
      <c r="GKC1" t="s">
        <v>10549</v>
      </c>
      <c r="GKD1" t="s">
        <v>10550</v>
      </c>
      <c r="GKE1" t="s">
        <v>10551</v>
      </c>
      <c r="GKF1" t="s">
        <v>10552</v>
      </c>
      <c r="GKG1" t="s">
        <v>10553</v>
      </c>
      <c r="GKH1" t="s">
        <v>10554</v>
      </c>
      <c r="GKI1" t="s">
        <v>10555</v>
      </c>
      <c r="GKJ1" t="s">
        <v>10556</v>
      </c>
      <c r="GKK1" t="s">
        <v>10557</v>
      </c>
      <c r="GKL1" t="s">
        <v>10558</v>
      </c>
      <c r="GKM1" t="s">
        <v>10559</v>
      </c>
      <c r="GKN1" t="s">
        <v>10560</v>
      </c>
      <c r="GKO1" t="s">
        <v>10561</v>
      </c>
      <c r="GKP1" t="s">
        <v>10562</v>
      </c>
      <c r="GKQ1" t="s">
        <v>10563</v>
      </c>
      <c r="GKR1" t="s">
        <v>10564</v>
      </c>
      <c r="GKS1" t="s">
        <v>10565</v>
      </c>
      <c r="GKT1" t="s">
        <v>10566</v>
      </c>
      <c r="GKU1" t="s">
        <v>10567</v>
      </c>
      <c r="GKV1" t="s">
        <v>10568</v>
      </c>
      <c r="GKW1" t="s">
        <v>10569</v>
      </c>
      <c r="GKX1" t="s">
        <v>10570</v>
      </c>
      <c r="GKY1" t="s">
        <v>10571</v>
      </c>
      <c r="GKZ1" t="s">
        <v>10572</v>
      </c>
      <c r="GLA1" t="s">
        <v>10573</v>
      </c>
      <c r="GLB1" t="s">
        <v>10574</v>
      </c>
      <c r="GLC1" t="s">
        <v>10575</v>
      </c>
      <c r="GLD1" t="s">
        <v>10576</v>
      </c>
      <c r="GLE1" t="s">
        <v>10577</v>
      </c>
      <c r="GLF1" t="s">
        <v>10578</v>
      </c>
      <c r="GLG1" t="s">
        <v>10579</v>
      </c>
      <c r="GLH1" t="s">
        <v>10580</v>
      </c>
      <c r="GLI1" t="s">
        <v>10581</v>
      </c>
      <c r="GLJ1" t="s">
        <v>10582</v>
      </c>
      <c r="GLK1" t="s">
        <v>10583</v>
      </c>
      <c r="GLL1" t="s">
        <v>10584</v>
      </c>
      <c r="GLM1" t="s">
        <v>10585</v>
      </c>
      <c r="GLN1" t="s">
        <v>10586</v>
      </c>
      <c r="GLO1" t="s">
        <v>10587</v>
      </c>
      <c r="GLP1" t="s">
        <v>10588</v>
      </c>
      <c r="GLQ1" t="s">
        <v>10589</v>
      </c>
      <c r="GLR1" t="s">
        <v>10590</v>
      </c>
      <c r="GLS1" t="s">
        <v>10591</v>
      </c>
      <c r="GLT1" t="s">
        <v>10592</v>
      </c>
      <c r="GLU1" t="s">
        <v>10593</v>
      </c>
      <c r="GLV1" t="s">
        <v>10594</v>
      </c>
      <c r="GLW1" t="s">
        <v>10595</v>
      </c>
      <c r="GLX1" t="s">
        <v>10596</v>
      </c>
      <c r="GLY1" t="s">
        <v>10597</v>
      </c>
      <c r="GLZ1" t="s">
        <v>10598</v>
      </c>
      <c r="GMA1" t="s">
        <v>10599</v>
      </c>
      <c r="GMB1" t="s">
        <v>10600</v>
      </c>
      <c r="GMC1" t="s">
        <v>10601</v>
      </c>
      <c r="GMD1" t="s">
        <v>10602</v>
      </c>
      <c r="GME1" t="s">
        <v>10603</v>
      </c>
      <c r="GMF1" t="s">
        <v>10604</v>
      </c>
      <c r="GMG1" t="s">
        <v>10605</v>
      </c>
      <c r="GMH1" t="s">
        <v>10606</v>
      </c>
      <c r="GMI1" t="s">
        <v>10607</v>
      </c>
      <c r="GMJ1" t="s">
        <v>10608</v>
      </c>
      <c r="GMK1" t="s">
        <v>10609</v>
      </c>
      <c r="GML1" t="s">
        <v>10610</v>
      </c>
      <c r="GMM1" t="s">
        <v>10611</v>
      </c>
      <c r="GMN1" t="s">
        <v>10612</v>
      </c>
      <c r="GMO1" t="s">
        <v>10613</v>
      </c>
      <c r="GMP1" t="s">
        <v>10614</v>
      </c>
      <c r="GMQ1" t="s">
        <v>10615</v>
      </c>
      <c r="GMR1" t="s">
        <v>10616</v>
      </c>
      <c r="GMS1" t="s">
        <v>10617</v>
      </c>
      <c r="GMT1" t="s">
        <v>10618</v>
      </c>
      <c r="GMU1" t="s">
        <v>10619</v>
      </c>
      <c r="GMV1" t="s">
        <v>10620</v>
      </c>
      <c r="GMW1" t="s">
        <v>10621</v>
      </c>
      <c r="GMX1" t="s">
        <v>10622</v>
      </c>
      <c r="GMY1" t="s">
        <v>10623</v>
      </c>
      <c r="GMZ1" t="s">
        <v>10624</v>
      </c>
      <c r="GNA1" t="s">
        <v>10625</v>
      </c>
      <c r="GNB1" t="s">
        <v>10626</v>
      </c>
      <c r="GNC1" t="s">
        <v>10627</v>
      </c>
      <c r="GND1" t="s">
        <v>10628</v>
      </c>
      <c r="GNE1" t="s">
        <v>10629</v>
      </c>
      <c r="GNF1" t="s">
        <v>10630</v>
      </c>
      <c r="GNG1" t="s">
        <v>10631</v>
      </c>
      <c r="GNH1" t="s">
        <v>10632</v>
      </c>
      <c r="GNI1" t="s">
        <v>10633</v>
      </c>
      <c r="GNJ1" t="s">
        <v>10634</v>
      </c>
      <c r="GNK1" t="s">
        <v>10635</v>
      </c>
      <c r="GNL1" t="s">
        <v>10636</v>
      </c>
      <c r="GNM1" t="s">
        <v>10637</v>
      </c>
      <c r="GNN1" t="s">
        <v>10638</v>
      </c>
      <c r="GNO1" t="s">
        <v>10639</v>
      </c>
      <c r="GNP1" t="s">
        <v>10640</v>
      </c>
      <c r="GNQ1" t="s">
        <v>10641</v>
      </c>
      <c r="GNR1" t="s">
        <v>10642</v>
      </c>
      <c r="GNS1" t="s">
        <v>10643</v>
      </c>
      <c r="GNT1" t="s">
        <v>10644</v>
      </c>
      <c r="GNU1" t="s">
        <v>10645</v>
      </c>
      <c r="GNV1" t="s">
        <v>10646</v>
      </c>
      <c r="GNW1" t="s">
        <v>10647</v>
      </c>
      <c r="GNX1" t="s">
        <v>10648</v>
      </c>
      <c r="GNY1" t="s">
        <v>10649</v>
      </c>
      <c r="GNZ1" t="s">
        <v>10650</v>
      </c>
      <c r="GOA1" t="s">
        <v>10651</v>
      </c>
      <c r="GOB1" t="s">
        <v>10652</v>
      </c>
      <c r="GOC1" t="s">
        <v>10653</v>
      </c>
      <c r="GOD1" t="s">
        <v>10654</v>
      </c>
      <c r="GOE1" t="s">
        <v>10655</v>
      </c>
      <c r="GOF1" t="s">
        <v>10656</v>
      </c>
      <c r="GOG1" t="s">
        <v>10657</v>
      </c>
      <c r="GOH1" t="s">
        <v>10658</v>
      </c>
      <c r="GOI1" t="s">
        <v>10659</v>
      </c>
      <c r="GOJ1" t="s">
        <v>10660</v>
      </c>
      <c r="GOK1" t="s">
        <v>10661</v>
      </c>
      <c r="GOL1" t="s">
        <v>10662</v>
      </c>
      <c r="GOM1" t="s">
        <v>10663</v>
      </c>
      <c r="GON1" t="s">
        <v>10664</v>
      </c>
      <c r="GOO1" t="s">
        <v>10665</v>
      </c>
      <c r="GOP1" t="s">
        <v>10666</v>
      </c>
      <c r="GOQ1" t="s">
        <v>10667</v>
      </c>
      <c r="GOR1" t="s">
        <v>10668</v>
      </c>
      <c r="GOS1" t="s">
        <v>10669</v>
      </c>
      <c r="GOT1" t="s">
        <v>10670</v>
      </c>
      <c r="GOU1" t="s">
        <v>10671</v>
      </c>
      <c r="GOV1" t="s">
        <v>10672</v>
      </c>
      <c r="GOW1" t="s">
        <v>10673</v>
      </c>
      <c r="GOX1" t="s">
        <v>10674</v>
      </c>
      <c r="GOY1" t="s">
        <v>10675</v>
      </c>
      <c r="GOZ1" t="s">
        <v>10676</v>
      </c>
      <c r="GPA1" t="s">
        <v>10677</v>
      </c>
      <c r="GPB1" t="s">
        <v>10678</v>
      </c>
      <c r="GPC1" t="s">
        <v>10679</v>
      </c>
      <c r="GPD1" t="s">
        <v>10680</v>
      </c>
      <c r="GPE1" t="s">
        <v>10681</v>
      </c>
      <c r="GPF1" t="s">
        <v>10682</v>
      </c>
      <c r="GPG1" t="s">
        <v>10683</v>
      </c>
      <c r="GPH1" t="s">
        <v>10684</v>
      </c>
      <c r="GPI1" t="s">
        <v>10685</v>
      </c>
      <c r="GPJ1" t="s">
        <v>10686</v>
      </c>
      <c r="GPK1" t="s">
        <v>10687</v>
      </c>
      <c r="GPL1" t="s">
        <v>10688</v>
      </c>
      <c r="GPM1" t="s">
        <v>10689</v>
      </c>
      <c r="GPN1" t="s">
        <v>10690</v>
      </c>
      <c r="GPO1" t="s">
        <v>10691</v>
      </c>
      <c r="GPP1" t="s">
        <v>10692</v>
      </c>
      <c r="GPQ1" t="s">
        <v>10693</v>
      </c>
      <c r="GPR1" t="s">
        <v>10694</v>
      </c>
      <c r="GPS1" t="s">
        <v>10695</v>
      </c>
      <c r="GPT1" t="s">
        <v>10696</v>
      </c>
      <c r="GPU1" t="s">
        <v>10697</v>
      </c>
      <c r="GPV1" t="s">
        <v>10698</v>
      </c>
      <c r="GPW1" t="s">
        <v>10699</v>
      </c>
      <c r="GPX1" t="s">
        <v>10700</v>
      </c>
      <c r="GPY1" t="s">
        <v>10701</v>
      </c>
      <c r="GPZ1" t="s">
        <v>10702</v>
      </c>
      <c r="GQA1" t="s">
        <v>10703</v>
      </c>
      <c r="GQB1" t="s">
        <v>10704</v>
      </c>
      <c r="GQC1" t="s">
        <v>10705</v>
      </c>
      <c r="GQD1" t="s">
        <v>10706</v>
      </c>
      <c r="GQE1" t="s">
        <v>10707</v>
      </c>
      <c r="GQF1" t="s">
        <v>10708</v>
      </c>
      <c r="GQG1" t="s">
        <v>10709</v>
      </c>
      <c r="GQH1" t="s">
        <v>10710</v>
      </c>
      <c r="GQI1" t="s">
        <v>10711</v>
      </c>
      <c r="GQJ1" t="s">
        <v>10712</v>
      </c>
      <c r="GQK1" t="s">
        <v>10713</v>
      </c>
      <c r="GQL1" t="s">
        <v>10714</v>
      </c>
      <c r="GQM1" t="s">
        <v>10715</v>
      </c>
      <c r="GQN1" t="s">
        <v>10716</v>
      </c>
      <c r="GQO1" t="s">
        <v>10717</v>
      </c>
      <c r="GQP1" t="s">
        <v>10718</v>
      </c>
      <c r="GQQ1" t="s">
        <v>10719</v>
      </c>
      <c r="GQR1" t="s">
        <v>10720</v>
      </c>
      <c r="GQS1" t="s">
        <v>10721</v>
      </c>
      <c r="GQT1" t="s">
        <v>10722</v>
      </c>
      <c r="GQU1" t="s">
        <v>10723</v>
      </c>
      <c r="GQV1" t="s">
        <v>10724</v>
      </c>
      <c r="GQW1" t="s">
        <v>10725</v>
      </c>
      <c r="GQX1" t="s">
        <v>10726</v>
      </c>
      <c r="GQY1" t="s">
        <v>10727</v>
      </c>
      <c r="GQZ1" t="s">
        <v>10728</v>
      </c>
      <c r="GRA1" t="s">
        <v>10729</v>
      </c>
      <c r="GRB1" t="s">
        <v>10730</v>
      </c>
      <c r="GRC1" t="s">
        <v>10731</v>
      </c>
      <c r="GRD1" t="s">
        <v>10732</v>
      </c>
      <c r="GRE1" t="s">
        <v>10733</v>
      </c>
      <c r="GRF1" t="s">
        <v>10734</v>
      </c>
      <c r="GRG1" t="s">
        <v>10735</v>
      </c>
      <c r="GRH1" t="s">
        <v>10736</v>
      </c>
      <c r="GRI1" t="s">
        <v>10737</v>
      </c>
      <c r="GRJ1" t="s">
        <v>10738</v>
      </c>
      <c r="GRK1" t="s">
        <v>10739</v>
      </c>
      <c r="GRL1" t="s">
        <v>10740</v>
      </c>
      <c r="GRM1" t="s">
        <v>10741</v>
      </c>
      <c r="GRN1" t="s">
        <v>10742</v>
      </c>
      <c r="GRO1" t="s">
        <v>10743</v>
      </c>
      <c r="GRP1" t="s">
        <v>10744</v>
      </c>
      <c r="GRQ1" t="s">
        <v>10745</v>
      </c>
      <c r="GRR1" t="s">
        <v>10746</v>
      </c>
      <c r="GRS1" t="s">
        <v>10747</v>
      </c>
      <c r="GRT1" t="s">
        <v>10748</v>
      </c>
      <c r="GRU1" t="s">
        <v>10749</v>
      </c>
      <c r="GRV1" t="s">
        <v>10750</v>
      </c>
      <c r="GRW1" t="s">
        <v>10751</v>
      </c>
      <c r="GRX1" t="s">
        <v>10752</v>
      </c>
      <c r="GRY1" t="s">
        <v>10753</v>
      </c>
      <c r="GRZ1" t="s">
        <v>10754</v>
      </c>
      <c r="GSA1" t="s">
        <v>10755</v>
      </c>
      <c r="GSB1" t="s">
        <v>10756</v>
      </c>
      <c r="GSC1" t="s">
        <v>10757</v>
      </c>
      <c r="GSD1" t="s">
        <v>10758</v>
      </c>
      <c r="GSE1" t="s">
        <v>10759</v>
      </c>
      <c r="GSF1" t="s">
        <v>10760</v>
      </c>
      <c r="GSG1" t="s">
        <v>10761</v>
      </c>
      <c r="GSH1" t="s">
        <v>10762</v>
      </c>
      <c r="GSI1" t="s">
        <v>10763</v>
      </c>
      <c r="GSJ1" t="s">
        <v>10764</v>
      </c>
      <c r="GSK1" t="s">
        <v>10765</v>
      </c>
      <c r="GSL1" t="s">
        <v>10766</v>
      </c>
      <c r="GSM1" t="s">
        <v>10767</v>
      </c>
      <c r="GSN1" t="s">
        <v>10768</v>
      </c>
      <c r="GSO1" t="s">
        <v>10769</v>
      </c>
      <c r="GSP1" t="s">
        <v>10770</v>
      </c>
      <c r="GSQ1" t="s">
        <v>10771</v>
      </c>
      <c r="GSR1" t="s">
        <v>10772</v>
      </c>
      <c r="GSS1" t="s">
        <v>10773</v>
      </c>
      <c r="GST1" t="s">
        <v>10774</v>
      </c>
      <c r="GSU1" t="s">
        <v>10775</v>
      </c>
      <c r="GSV1" t="s">
        <v>10776</v>
      </c>
      <c r="GSW1" t="s">
        <v>10777</v>
      </c>
      <c r="GSX1" t="s">
        <v>10778</v>
      </c>
      <c r="GSY1" t="s">
        <v>10779</v>
      </c>
      <c r="GSZ1" t="s">
        <v>10780</v>
      </c>
      <c r="GTA1" t="s">
        <v>10781</v>
      </c>
      <c r="GTB1" t="s">
        <v>10782</v>
      </c>
      <c r="GTC1" t="s">
        <v>10783</v>
      </c>
      <c r="GTD1" t="s">
        <v>10784</v>
      </c>
      <c r="GTE1" t="s">
        <v>10785</v>
      </c>
      <c r="GTF1" t="s">
        <v>10786</v>
      </c>
      <c r="GTG1" t="s">
        <v>10787</v>
      </c>
      <c r="GTH1" t="s">
        <v>10788</v>
      </c>
      <c r="GTI1" t="s">
        <v>10789</v>
      </c>
      <c r="GTJ1" t="s">
        <v>10790</v>
      </c>
      <c r="GTK1" t="s">
        <v>10791</v>
      </c>
      <c r="GTL1" t="s">
        <v>10792</v>
      </c>
      <c r="GTM1" t="s">
        <v>10793</v>
      </c>
      <c r="GTN1" t="s">
        <v>10794</v>
      </c>
      <c r="GTO1" t="s">
        <v>10795</v>
      </c>
      <c r="GTP1" t="s">
        <v>10796</v>
      </c>
      <c r="GTQ1" t="s">
        <v>10797</v>
      </c>
      <c r="GTR1" t="s">
        <v>10798</v>
      </c>
      <c r="GTS1" t="s">
        <v>10799</v>
      </c>
      <c r="GTT1" t="s">
        <v>10800</v>
      </c>
      <c r="GTU1" t="s">
        <v>10801</v>
      </c>
      <c r="GTV1" t="s">
        <v>10802</v>
      </c>
      <c r="GTW1" t="s">
        <v>10803</v>
      </c>
      <c r="GTX1" t="s">
        <v>10804</v>
      </c>
      <c r="GTY1" t="s">
        <v>10805</v>
      </c>
      <c r="GTZ1" t="s">
        <v>10806</v>
      </c>
      <c r="GUA1" t="s">
        <v>10807</v>
      </c>
      <c r="GUB1" t="s">
        <v>10808</v>
      </c>
      <c r="GUC1" t="s">
        <v>10809</v>
      </c>
      <c r="GUD1" t="s">
        <v>10810</v>
      </c>
      <c r="GUE1" t="s">
        <v>10811</v>
      </c>
      <c r="GUF1" t="s">
        <v>10812</v>
      </c>
      <c r="GUG1" t="s">
        <v>10813</v>
      </c>
      <c r="GUH1" t="s">
        <v>10814</v>
      </c>
      <c r="GUI1" t="s">
        <v>10815</v>
      </c>
      <c r="GUJ1" t="s">
        <v>10816</v>
      </c>
      <c r="GUK1" t="s">
        <v>10817</v>
      </c>
      <c r="GUL1" t="s">
        <v>10818</v>
      </c>
      <c r="GUM1" t="s">
        <v>10819</v>
      </c>
      <c r="GUN1" t="s">
        <v>10820</v>
      </c>
      <c r="GUO1" t="s">
        <v>10821</v>
      </c>
      <c r="GUP1" t="s">
        <v>10822</v>
      </c>
      <c r="GUQ1" t="s">
        <v>10823</v>
      </c>
      <c r="GUR1" t="s">
        <v>10824</v>
      </c>
      <c r="GUS1" t="s">
        <v>10825</v>
      </c>
      <c r="GUT1" t="s">
        <v>10826</v>
      </c>
      <c r="GUU1" t="s">
        <v>10827</v>
      </c>
      <c r="GUV1" t="s">
        <v>10828</v>
      </c>
      <c r="GUW1" t="s">
        <v>10829</v>
      </c>
      <c r="GUX1" t="s">
        <v>10830</v>
      </c>
      <c r="GUY1" t="s">
        <v>10831</v>
      </c>
      <c r="GUZ1" t="s">
        <v>10832</v>
      </c>
      <c r="GVA1" t="s">
        <v>10833</v>
      </c>
      <c r="GVB1" t="s">
        <v>10834</v>
      </c>
      <c r="GVC1" t="s">
        <v>10835</v>
      </c>
      <c r="GVD1" t="s">
        <v>10836</v>
      </c>
      <c r="GVE1" t="s">
        <v>10837</v>
      </c>
      <c r="GVF1" t="s">
        <v>10838</v>
      </c>
      <c r="GVG1" t="s">
        <v>10839</v>
      </c>
      <c r="GVH1" t="s">
        <v>10840</v>
      </c>
      <c r="GVI1" t="s">
        <v>10841</v>
      </c>
      <c r="GVJ1" t="s">
        <v>10842</v>
      </c>
      <c r="GVK1" t="s">
        <v>10843</v>
      </c>
      <c r="GVL1" t="s">
        <v>10844</v>
      </c>
      <c r="GVM1" t="s">
        <v>10845</v>
      </c>
      <c r="GVN1" t="s">
        <v>10846</v>
      </c>
      <c r="GVO1" t="s">
        <v>10847</v>
      </c>
      <c r="GVP1" t="s">
        <v>10848</v>
      </c>
      <c r="GVQ1" t="s">
        <v>10849</v>
      </c>
      <c r="GVR1" t="s">
        <v>10850</v>
      </c>
      <c r="GVS1" t="s">
        <v>10851</v>
      </c>
      <c r="GVT1" t="s">
        <v>10852</v>
      </c>
      <c r="GVU1" t="s">
        <v>10853</v>
      </c>
      <c r="GVV1" t="s">
        <v>10854</v>
      </c>
      <c r="GVW1" t="s">
        <v>10855</v>
      </c>
      <c r="GVX1" t="s">
        <v>10856</v>
      </c>
      <c r="GVY1" t="s">
        <v>10857</v>
      </c>
      <c r="GVZ1" t="s">
        <v>10858</v>
      </c>
      <c r="GWA1" t="s">
        <v>10859</v>
      </c>
      <c r="GWB1" t="s">
        <v>10860</v>
      </c>
      <c r="GWC1" t="s">
        <v>10861</v>
      </c>
      <c r="GWD1" t="s">
        <v>10862</v>
      </c>
      <c r="GWE1" t="s">
        <v>10863</v>
      </c>
      <c r="GWF1" t="s">
        <v>10864</v>
      </c>
      <c r="GWG1" t="s">
        <v>10865</v>
      </c>
      <c r="GWH1" t="s">
        <v>10866</v>
      </c>
      <c r="GWI1" t="s">
        <v>10867</v>
      </c>
      <c r="GWJ1" t="s">
        <v>10868</v>
      </c>
      <c r="GWK1" t="s">
        <v>10869</v>
      </c>
      <c r="GWL1" t="s">
        <v>10870</v>
      </c>
      <c r="GWM1" t="s">
        <v>10871</v>
      </c>
      <c r="GWN1" t="s">
        <v>10872</v>
      </c>
      <c r="GWO1" t="s">
        <v>10873</v>
      </c>
      <c r="GWP1" t="s">
        <v>10874</v>
      </c>
      <c r="GWQ1" t="s">
        <v>10875</v>
      </c>
      <c r="GWR1" t="s">
        <v>10876</v>
      </c>
      <c r="GWS1" t="s">
        <v>10877</v>
      </c>
      <c r="GWT1" t="s">
        <v>10878</v>
      </c>
      <c r="GWU1" t="s">
        <v>10879</v>
      </c>
      <c r="GWV1" t="s">
        <v>10880</v>
      </c>
      <c r="GWW1" t="s">
        <v>10881</v>
      </c>
      <c r="GWX1" t="s">
        <v>10882</v>
      </c>
      <c r="GWY1" t="s">
        <v>10883</v>
      </c>
      <c r="GWZ1" t="s">
        <v>10884</v>
      </c>
      <c r="GXA1" t="s">
        <v>10885</v>
      </c>
      <c r="GXB1" t="s">
        <v>10886</v>
      </c>
      <c r="GXC1" t="s">
        <v>10887</v>
      </c>
      <c r="GXD1" t="s">
        <v>10888</v>
      </c>
      <c r="GXE1" t="s">
        <v>10889</v>
      </c>
      <c r="GXF1" t="s">
        <v>10890</v>
      </c>
      <c r="GXG1" t="s">
        <v>10891</v>
      </c>
      <c r="GXH1" t="s">
        <v>10892</v>
      </c>
      <c r="GXI1" t="s">
        <v>10893</v>
      </c>
      <c r="GXJ1" t="s">
        <v>10894</v>
      </c>
      <c r="GXK1" t="s">
        <v>10895</v>
      </c>
      <c r="GXL1" t="s">
        <v>10896</v>
      </c>
      <c r="GXM1" t="s">
        <v>10897</v>
      </c>
      <c r="GXN1" t="s">
        <v>10898</v>
      </c>
      <c r="GXO1" t="s">
        <v>10899</v>
      </c>
      <c r="GXP1" t="s">
        <v>10900</v>
      </c>
      <c r="GXQ1" t="s">
        <v>10901</v>
      </c>
      <c r="GXR1" t="s">
        <v>10902</v>
      </c>
      <c r="GXS1" t="s">
        <v>10903</v>
      </c>
      <c r="GXT1" t="s">
        <v>10904</v>
      </c>
      <c r="GXU1" t="s">
        <v>10905</v>
      </c>
      <c r="GXV1" t="s">
        <v>10906</v>
      </c>
      <c r="GXW1" t="s">
        <v>10907</v>
      </c>
      <c r="GXX1" t="s">
        <v>10908</v>
      </c>
      <c r="GXY1" t="s">
        <v>10909</v>
      </c>
      <c r="GXZ1" t="s">
        <v>10910</v>
      </c>
      <c r="GYA1" t="s">
        <v>10911</v>
      </c>
      <c r="GYB1" t="s">
        <v>10912</v>
      </c>
      <c r="GYC1" t="s">
        <v>10913</v>
      </c>
      <c r="GYD1" t="s">
        <v>10914</v>
      </c>
      <c r="GYE1" t="s">
        <v>10915</v>
      </c>
      <c r="GYF1" t="s">
        <v>10916</v>
      </c>
      <c r="GYG1" t="s">
        <v>10917</v>
      </c>
      <c r="GYH1" t="s">
        <v>10918</v>
      </c>
      <c r="GYI1" t="s">
        <v>10919</v>
      </c>
      <c r="GYJ1" t="s">
        <v>10920</v>
      </c>
      <c r="GYK1" t="s">
        <v>10921</v>
      </c>
      <c r="GYL1" t="s">
        <v>10922</v>
      </c>
      <c r="GYM1" t="s">
        <v>10923</v>
      </c>
      <c r="GYN1" t="s">
        <v>10924</v>
      </c>
      <c r="GYO1" t="s">
        <v>10925</v>
      </c>
      <c r="GYP1" t="s">
        <v>10926</v>
      </c>
      <c r="GYQ1" t="s">
        <v>10927</v>
      </c>
      <c r="GYR1" t="s">
        <v>10928</v>
      </c>
      <c r="GYS1" t="s">
        <v>10929</v>
      </c>
      <c r="GYT1" t="s">
        <v>10930</v>
      </c>
      <c r="GYU1" t="s">
        <v>10931</v>
      </c>
      <c r="GYV1" t="s">
        <v>10932</v>
      </c>
      <c r="GYW1" t="s">
        <v>10933</v>
      </c>
      <c r="GYX1" t="s">
        <v>10934</v>
      </c>
      <c r="GYY1" t="s">
        <v>10935</v>
      </c>
      <c r="GYZ1" t="s">
        <v>10936</v>
      </c>
      <c r="GZA1" t="s">
        <v>10937</v>
      </c>
      <c r="GZB1" t="s">
        <v>10938</v>
      </c>
      <c r="GZC1" t="s">
        <v>10939</v>
      </c>
      <c r="GZD1" t="s">
        <v>10940</v>
      </c>
      <c r="GZE1" t="s">
        <v>10941</v>
      </c>
      <c r="GZF1" t="s">
        <v>10942</v>
      </c>
      <c r="GZG1" t="s">
        <v>10943</v>
      </c>
      <c r="GZH1" t="s">
        <v>10944</v>
      </c>
      <c r="GZI1" t="s">
        <v>10945</v>
      </c>
      <c r="GZJ1" t="s">
        <v>10946</v>
      </c>
      <c r="GZK1" t="s">
        <v>10947</v>
      </c>
      <c r="GZL1" t="s">
        <v>10948</v>
      </c>
      <c r="GZM1" t="s">
        <v>10949</v>
      </c>
      <c r="GZN1" t="s">
        <v>10950</v>
      </c>
      <c r="GZO1" t="s">
        <v>10951</v>
      </c>
      <c r="GZP1" t="s">
        <v>10952</v>
      </c>
      <c r="GZQ1" t="s">
        <v>10953</v>
      </c>
      <c r="GZR1" t="s">
        <v>10954</v>
      </c>
      <c r="GZS1" t="s">
        <v>10955</v>
      </c>
      <c r="GZT1" t="s">
        <v>10956</v>
      </c>
      <c r="GZU1" t="s">
        <v>10957</v>
      </c>
      <c r="GZV1" t="s">
        <v>10958</v>
      </c>
      <c r="GZW1" t="s">
        <v>10959</v>
      </c>
      <c r="GZX1" t="s">
        <v>10960</v>
      </c>
      <c r="GZY1" t="s">
        <v>10961</v>
      </c>
      <c r="GZZ1" t="s">
        <v>10962</v>
      </c>
      <c r="HAA1" t="s">
        <v>10963</v>
      </c>
      <c r="HAB1" t="s">
        <v>10964</v>
      </c>
      <c r="HAC1" t="s">
        <v>10965</v>
      </c>
      <c r="HAD1" t="s">
        <v>10966</v>
      </c>
      <c r="HAE1" t="s">
        <v>10967</v>
      </c>
      <c r="HAF1" t="s">
        <v>10968</v>
      </c>
      <c r="HAG1" t="s">
        <v>10969</v>
      </c>
      <c r="HAH1" t="s">
        <v>10970</v>
      </c>
      <c r="HAI1" t="s">
        <v>10971</v>
      </c>
      <c r="HAJ1" t="s">
        <v>10972</v>
      </c>
      <c r="HAK1" t="s">
        <v>10973</v>
      </c>
      <c r="HAL1" t="s">
        <v>10974</v>
      </c>
      <c r="HAM1" t="s">
        <v>10975</v>
      </c>
      <c r="HAN1" t="s">
        <v>10976</v>
      </c>
      <c r="HAO1" t="s">
        <v>10977</v>
      </c>
      <c r="HAP1" t="s">
        <v>10978</v>
      </c>
      <c r="HAQ1" t="s">
        <v>10979</v>
      </c>
      <c r="HAR1" t="s">
        <v>10980</v>
      </c>
      <c r="HAS1" t="s">
        <v>10981</v>
      </c>
      <c r="HAT1" t="s">
        <v>10982</v>
      </c>
      <c r="HAU1" t="s">
        <v>10983</v>
      </c>
      <c r="HAV1" t="s">
        <v>10984</v>
      </c>
      <c r="HAW1" t="s">
        <v>10985</v>
      </c>
      <c r="HAX1" t="s">
        <v>10986</v>
      </c>
      <c r="HAY1" t="s">
        <v>10987</v>
      </c>
      <c r="HAZ1" t="s">
        <v>10988</v>
      </c>
      <c r="HBA1" t="s">
        <v>10989</v>
      </c>
      <c r="HBB1" t="s">
        <v>10990</v>
      </c>
      <c r="HBC1" t="s">
        <v>10991</v>
      </c>
      <c r="HBD1" t="s">
        <v>10992</v>
      </c>
      <c r="HBE1" t="s">
        <v>10993</v>
      </c>
      <c r="HBF1" t="s">
        <v>10994</v>
      </c>
      <c r="HBG1" t="s">
        <v>10995</v>
      </c>
      <c r="HBH1" t="s">
        <v>10996</v>
      </c>
      <c r="HBI1" t="s">
        <v>10997</v>
      </c>
      <c r="HBJ1" t="s">
        <v>10998</v>
      </c>
      <c r="HBK1" t="s">
        <v>10999</v>
      </c>
      <c r="HBL1" t="s">
        <v>11000</v>
      </c>
      <c r="HBM1" t="s">
        <v>11001</v>
      </c>
      <c r="HBN1" t="s">
        <v>11002</v>
      </c>
      <c r="HBO1" t="s">
        <v>11003</v>
      </c>
      <c r="HBP1" t="s">
        <v>11004</v>
      </c>
      <c r="HBQ1" t="s">
        <v>11005</v>
      </c>
      <c r="HBR1" t="s">
        <v>11006</v>
      </c>
      <c r="HBS1" t="s">
        <v>11007</v>
      </c>
      <c r="HBT1" t="s">
        <v>11008</v>
      </c>
      <c r="HBU1" t="s">
        <v>11009</v>
      </c>
      <c r="HBV1" t="s">
        <v>11010</v>
      </c>
      <c r="HBW1" t="s">
        <v>11011</v>
      </c>
      <c r="HBX1" t="s">
        <v>11012</v>
      </c>
      <c r="HBY1" t="s">
        <v>11013</v>
      </c>
      <c r="HBZ1" t="s">
        <v>11014</v>
      </c>
      <c r="HCA1" t="s">
        <v>11015</v>
      </c>
      <c r="HCB1" t="s">
        <v>11016</v>
      </c>
      <c r="HCC1" t="s">
        <v>11017</v>
      </c>
      <c r="HCD1" t="s">
        <v>11018</v>
      </c>
      <c r="HCE1" t="s">
        <v>11019</v>
      </c>
      <c r="HCF1" t="s">
        <v>11020</v>
      </c>
      <c r="HCG1" t="s">
        <v>11021</v>
      </c>
      <c r="HCH1" t="s">
        <v>11022</v>
      </c>
      <c r="HCI1" t="s">
        <v>11023</v>
      </c>
      <c r="HCJ1" t="s">
        <v>11024</v>
      </c>
      <c r="HCK1" t="s">
        <v>11025</v>
      </c>
      <c r="HCL1" t="s">
        <v>11026</v>
      </c>
      <c r="HCM1" t="s">
        <v>11027</v>
      </c>
      <c r="HCN1" t="s">
        <v>11028</v>
      </c>
      <c r="HCO1" t="s">
        <v>11029</v>
      </c>
      <c r="HCP1" t="s">
        <v>11030</v>
      </c>
      <c r="HCQ1" t="s">
        <v>11031</v>
      </c>
      <c r="HCR1" t="s">
        <v>11032</v>
      </c>
      <c r="HCS1" t="s">
        <v>11033</v>
      </c>
      <c r="HCT1" t="s">
        <v>11034</v>
      </c>
      <c r="HCU1" t="s">
        <v>11035</v>
      </c>
      <c r="HCV1" t="s">
        <v>11036</v>
      </c>
      <c r="HCW1" t="s">
        <v>11037</v>
      </c>
      <c r="HCX1" t="s">
        <v>11038</v>
      </c>
      <c r="HCY1" t="s">
        <v>11039</v>
      </c>
      <c r="HCZ1" t="s">
        <v>11040</v>
      </c>
      <c r="HDA1" t="s">
        <v>11041</v>
      </c>
      <c r="HDB1" t="s">
        <v>11042</v>
      </c>
      <c r="HDC1" t="s">
        <v>11043</v>
      </c>
      <c r="HDD1" t="s">
        <v>11044</v>
      </c>
      <c r="HDE1" t="s">
        <v>11045</v>
      </c>
      <c r="HDF1" t="s">
        <v>11046</v>
      </c>
      <c r="HDG1" t="s">
        <v>11047</v>
      </c>
      <c r="HDH1" t="s">
        <v>11048</v>
      </c>
      <c r="HDI1" t="s">
        <v>11049</v>
      </c>
      <c r="HDJ1" t="s">
        <v>11050</v>
      </c>
      <c r="HDK1" t="s">
        <v>11051</v>
      </c>
      <c r="HDL1" t="s">
        <v>11052</v>
      </c>
      <c r="HDM1" t="s">
        <v>11053</v>
      </c>
      <c r="HDN1" t="s">
        <v>11054</v>
      </c>
      <c r="HDO1" t="s">
        <v>11055</v>
      </c>
      <c r="HDP1" t="s">
        <v>11056</v>
      </c>
      <c r="HDQ1" t="s">
        <v>11057</v>
      </c>
      <c r="HDR1" t="s">
        <v>11058</v>
      </c>
      <c r="HDS1" t="s">
        <v>11059</v>
      </c>
      <c r="HDT1" t="s">
        <v>11060</v>
      </c>
      <c r="HDU1" t="s">
        <v>11061</v>
      </c>
      <c r="HDV1" t="s">
        <v>11062</v>
      </c>
      <c r="HDW1" t="s">
        <v>11063</v>
      </c>
      <c r="HDX1" t="s">
        <v>11064</v>
      </c>
      <c r="HDY1" t="s">
        <v>11065</v>
      </c>
      <c r="HDZ1" t="s">
        <v>11066</v>
      </c>
      <c r="HEA1" t="s">
        <v>11067</v>
      </c>
      <c r="HEB1" t="s">
        <v>11068</v>
      </c>
      <c r="HEC1" t="s">
        <v>11069</v>
      </c>
      <c r="HED1" t="s">
        <v>11070</v>
      </c>
      <c r="HEE1" t="s">
        <v>11071</v>
      </c>
      <c r="HEF1" t="s">
        <v>11072</v>
      </c>
      <c r="HEG1" t="s">
        <v>11073</v>
      </c>
      <c r="HEH1" t="s">
        <v>11074</v>
      </c>
      <c r="HEI1" t="s">
        <v>11075</v>
      </c>
      <c r="HEJ1" t="s">
        <v>11076</v>
      </c>
      <c r="HEK1" t="s">
        <v>11077</v>
      </c>
      <c r="HEL1" t="s">
        <v>11078</v>
      </c>
      <c r="HEM1" t="s">
        <v>11079</v>
      </c>
      <c r="HEN1" t="s">
        <v>11080</v>
      </c>
      <c r="HEO1" t="s">
        <v>11081</v>
      </c>
      <c r="HEP1" t="s">
        <v>11082</v>
      </c>
      <c r="HEQ1" t="s">
        <v>11083</v>
      </c>
      <c r="HER1" t="s">
        <v>11084</v>
      </c>
      <c r="HES1" t="s">
        <v>11085</v>
      </c>
      <c r="HET1" t="s">
        <v>11086</v>
      </c>
      <c r="HEU1" t="s">
        <v>11087</v>
      </c>
      <c r="HEV1" t="s">
        <v>11088</v>
      </c>
      <c r="HEW1" t="s">
        <v>11089</v>
      </c>
      <c r="HEX1" t="s">
        <v>11090</v>
      </c>
      <c r="HEY1" t="s">
        <v>11091</v>
      </c>
      <c r="HEZ1" t="s">
        <v>11092</v>
      </c>
      <c r="HFA1" t="s">
        <v>11093</v>
      </c>
      <c r="HFB1" t="s">
        <v>11094</v>
      </c>
      <c r="HFC1" t="s">
        <v>11095</v>
      </c>
      <c r="HFD1" t="s">
        <v>11096</v>
      </c>
      <c r="HFE1" t="s">
        <v>11097</v>
      </c>
      <c r="HFF1" t="s">
        <v>11098</v>
      </c>
      <c r="HFG1" t="s">
        <v>11099</v>
      </c>
      <c r="HFH1" t="s">
        <v>11100</v>
      </c>
      <c r="HFI1" t="s">
        <v>11101</v>
      </c>
      <c r="HFJ1" t="s">
        <v>11102</v>
      </c>
      <c r="HFK1" t="s">
        <v>11103</v>
      </c>
      <c r="HFL1" t="s">
        <v>11104</v>
      </c>
      <c r="HFM1" t="s">
        <v>11105</v>
      </c>
      <c r="HFN1" t="s">
        <v>11106</v>
      </c>
      <c r="HFO1" t="s">
        <v>11107</v>
      </c>
      <c r="HFP1" t="s">
        <v>11108</v>
      </c>
      <c r="HFQ1" t="s">
        <v>11109</v>
      </c>
      <c r="HFR1" t="s">
        <v>11110</v>
      </c>
      <c r="HFS1" t="s">
        <v>11111</v>
      </c>
      <c r="HFT1" t="s">
        <v>11112</v>
      </c>
      <c r="HFU1" t="s">
        <v>11113</v>
      </c>
      <c r="HFV1" t="s">
        <v>11114</v>
      </c>
      <c r="HFW1" t="s">
        <v>11115</v>
      </c>
      <c r="HFX1" t="s">
        <v>11116</v>
      </c>
      <c r="HFY1" t="s">
        <v>11117</v>
      </c>
      <c r="HFZ1" t="s">
        <v>11118</v>
      </c>
      <c r="HGA1" t="s">
        <v>11119</v>
      </c>
      <c r="HGB1" t="s">
        <v>11120</v>
      </c>
      <c r="HGC1" t="s">
        <v>11121</v>
      </c>
      <c r="HGD1" t="s">
        <v>11122</v>
      </c>
      <c r="HGE1" t="s">
        <v>11123</v>
      </c>
      <c r="HGF1" t="s">
        <v>11124</v>
      </c>
      <c r="HGG1" t="s">
        <v>11125</v>
      </c>
      <c r="HGH1" t="s">
        <v>11126</v>
      </c>
      <c r="HGI1" t="s">
        <v>11127</v>
      </c>
      <c r="HGJ1" t="s">
        <v>11128</v>
      </c>
      <c r="HGK1" t="s">
        <v>11129</v>
      </c>
      <c r="HGL1" t="s">
        <v>11130</v>
      </c>
      <c r="HGM1" t="s">
        <v>11131</v>
      </c>
      <c r="HGN1" t="s">
        <v>11132</v>
      </c>
      <c r="HGO1" t="s">
        <v>11133</v>
      </c>
      <c r="HGP1" t="s">
        <v>11134</v>
      </c>
      <c r="HGQ1" t="s">
        <v>11135</v>
      </c>
      <c r="HGR1" t="s">
        <v>11136</v>
      </c>
      <c r="HGS1" t="s">
        <v>11137</v>
      </c>
      <c r="HGT1" t="s">
        <v>11138</v>
      </c>
      <c r="HGU1" t="s">
        <v>11139</v>
      </c>
      <c r="HGV1" t="s">
        <v>11140</v>
      </c>
      <c r="HGW1" t="s">
        <v>11141</v>
      </c>
      <c r="HGX1" t="s">
        <v>11142</v>
      </c>
      <c r="HGY1" t="s">
        <v>11143</v>
      </c>
      <c r="HGZ1" t="s">
        <v>11144</v>
      </c>
      <c r="HHA1" t="s">
        <v>11145</v>
      </c>
      <c r="HHB1" t="s">
        <v>11146</v>
      </c>
      <c r="HHC1" t="s">
        <v>11147</v>
      </c>
      <c r="HHD1" t="s">
        <v>11148</v>
      </c>
      <c r="HHE1" t="s">
        <v>11149</v>
      </c>
      <c r="HHF1" t="s">
        <v>11150</v>
      </c>
      <c r="HHG1" t="s">
        <v>11151</v>
      </c>
      <c r="HHH1" t="s">
        <v>11152</v>
      </c>
      <c r="HHI1" t="s">
        <v>11153</v>
      </c>
      <c r="HHJ1" t="s">
        <v>11154</v>
      </c>
      <c r="HHK1" t="s">
        <v>11155</v>
      </c>
      <c r="HHL1" t="s">
        <v>11156</v>
      </c>
      <c r="HHM1" t="s">
        <v>11157</v>
      </c>
      <c r="HHN1" t="s">
        <v>11158</v>
      </c>
      <c r="HHO1" t="s">
        <v>11159</v>
      </c>
      <c r="HHP1" t="s">
        <v>11160</v>
      </c>
      <c r="HHQ1" t="s">
        <v>11161</v>
      </c>
      <c r="HHR1" t="s">
        <v>11162</v>
      </c>
      <c r="HHS1" t="s">
        <v>11163</v>
      </c>
      <c r="HHT1" t="s">
        <v>11164</v>
      </c>
      <c r="HHU1" t="s">
        <v>11165</v>
      </c>
      <c r="HHV1" t="s">
        <v>11166</v>
      </c>
      <c r="HHW1" t="s">
        <v>11167</v>
      </c>
      <c r="HHX1" t="s">
        <v>11168</v>
      </c>
      <c r="HHY1" t="s">
        <v>11169</v>
      </c>
      <c r="HHZ1" t="s">
        <v>11170</v>
      </c>
      <c r="HIA1" t="s">
        <v>11171</v>
      </c>
      <c r="HIB1" t="s">
        <v>11172</v>
      </c>
      <c r="HIC1" t="s">
        <v>11173</v>
      </c>
      <c r="HID1" t="s">
        <v>11174</v>
      </c>
      <c r="HIE1" t="s">
        <v>11175</v>
      </c>
      <c r="HIF1" t="s">
        <v>11176</v>
      </c>
      <c r="HIG1" t="s">
        <v>11177</v>
      </c>
      <c r="HIH1" t="s">
        <v>11178</v>
      </c>
      <c r="HII1" t="s">
        <v>11179</v>
      </c>
      <c r="HIJ1" t="s">
        <v>11180</v>
      </c>
      <c r="HIK1" t="s">
        <v>11181</v>
      </c>
      <c r="HIL1" t="s">
        <v>11182</v>
      </c>
      <c r="HIM1" t="s">
        <v>11183</v>
      </c>
      <c r="HIN1" t="s">
        <v>11184</v>
      </c>
      <c r="HIO1" t="s">
        <v>11185</v>
      </c>
      <c r="HIP1" t="s">
        <v>11186</v>
      </c>
      <c r="HIQ1" t="s">
        <v>11187</v>
      </c>
      <c r="HIR1" t="s">
        <v>11188</v>
      </c>
      <c r="HIS1" t="s">
        <v>11189</v>
      </c>
      <c r="HIT1" t="s">
        <v>11190</v>
      </c>
      <c r="HIU1" t="s">
        <v>11191</v>
      </c>
      <c r="HIV1" t="s">
        <v>11192</v>
      </c>
      <c r="HIW1" t="s">
        <v>11193</v>
      </c>
      <c r="HIX1" t="s">
        <v>11194</v>
      </c>
      <c r="HIY1" t="s">
        <v>11195</v>
      </c>
      <c r="HIZ1" t="s">
        <v>11196</v>
      </c>
      <c r="HJA1" t="s">
        <v>11197</v>
      </c>
      <c r="HJB1" t="s">
        <v>11198</v>
      </c>
      <c r="HJC1" t="s">
        <v>11199</v>
      </c>
      <c r="HJD1" t="s">
        <v>11200</v>
      </c>
      <c r="HJE1" t="s">
        <v>11201</v>
      </c>
      <c r="HJF1" t="s">
        <v>11202</v>
      </c>
      <c r="HJG1" t="s">
        <v>11203</v>
      </c>
      <c r="HJH1" t="s">
        <v>11204</v>
      </c>
      <c r="HJI1" t="s">
        <v>11205</v>
      </c>
      <c r="HJJ1" t="s">
        <v>11206</v>
      </c>
      <c r="HJK1" t="s">
        <v>11207</v>
      </c>
      <c r="HJL1" t="s">
        <v>11208</v>
      </c>
      <c r="HJM1" t="s">
        <v>11209</v>
      </c>
      <c r="HJN1" t="s">
        <v>11210</v>
      </c>
      <c r="HJO1" t="s">
        <v>11211</v>
      </c>
      <c r="HJP1" t="s">
        <v>11212</v>
      </c>
      <c r="HJQ1" t="s">
        <v>11213</v>
      </c>
      <c r="HJR1" t="s">
        <v>11214</v>
      </c>
      <c r="HJS1" t="s">
        <v>11215</v>
      </c>
      <c r="HJT1" t="s">
        <v>11216</v>
      </c>
      <c r="HJU1" t="s">
        <v>11217</v>
      </c>
      <c r="HJV1" t="s">
        <v>11218</v>
      </c>
      <c r="HJW1" t="s">
        <v>11219</v>
      </c>
      <c r="HJX1" t="s">
        <v>11220</v>
      </c>
      <c r="HJY1" t="s">
        <v>11221</v>
      </c>
      <c r="HJZ1" t="s">
        <v>11222</v>
      </c>
      <c r="HKA1" t="s">
        <v>11223</v>
      </c>
      <c r="HKB1" t="s">
        <v>11224</v>
      </c>
      <c r="HKC1" t="s">
        <v>11225</v>
      </c>
      <c r="HKD1" t="s">
        <v>11226</v>
      </c>
      <c r="HKE1" t="s">
        <v>11227</v>
      </c>
      <c r="HKF1" t="s">
        <v>11228</v>
      </c>
      <c r="HKG1" t="s">
        <v>11229</v>
      </c>
      <c r="HKH1" t="s">
        <v>11230</v>
      </c>
      <c r="HKI1" t="s">
        <v>11231</v>
      </c>
      <c r="HKJ1" t="s">
        <v>11232</v>
      </c>
      <c r="HKK1" t="s">
        <v>11233</v>
      </c>
      <c r="HKL1" t="s">
        <v>11234</v>
      </c>
      <c r="HKM1" t="s">
        <v>11235</v>
      </c>
      <c r="HKN1" t="s">
        <v>11236</v>
      </c>
      <c r="HKO1" t="s">
        <v>11237</v>
      </c>
      <c r="HKP1" t="s">
        <v>11238</v>
      </c>
      <c r="HKQ1" t="s">
        <v>11239</v>
      </c>
      <c r="HKR1" t="s">
        <v>11240</v>
      </c>
      <c r="HKS1" t="s">
        <v>11241</v>
      </c>
      <c r="HKT1" t="s">
        <v>11242</v>
      </c>
      <c r="HKU1" t="s">
        <v>11243</v>
      </c>
      <c r="HKV1" t="s">
        <v>11244</v>
      </c>
      <c r="HKW1" t="s">
        <v>11245</v>
      </c>
      <c r="HKX1" t="s">
        <v>11246</v>
      </c>
      <c r="HKY1" t="s">
        <v>11247</v>
      </c>
      <c r="HKZ1" t="s">
        <v>11248</v>
      </c>
      <c r="HLA1" t="s">
        <v>11249</v>
      </c>
      <c r="HLB1" t="s">
        <v>11250</v>
      </c>
      <c r="HLC1" t="s">
        <v>11251</v>
      </c>
      <c r="HLD1" t="s">
        <v>11252</v>
      </c>
      <c r="HLE1" t="s">
        <v>11253</v>
      </c>
      <c r="HLF1" t="s">
        <v>11254</v>
      </c>
      <c r="HLG1" t="s">
        <v>11255</v>
      </c>
      <c r="HLH1" t="s">
        <v>11256</v>
      </c>
      <c r="HLI1" t="s">
        <v>11257</v>
      </c>
      <c r="HLJ1" t="s">
        <v>11258</v>
      </c>
      <c r="HLK1" t="s">
        <v>11259</v>
      </c>
      <c r="HLL1" t="s">
        <v>11260</v>
      </c>
      <c r="HLM1" t="s">
        <v>11261</v>
      </c>
      <c r="HLN1" t="s">
        <v>11262</v>
      </c>
      <c r="HLO1" t="s">
        <v>11263</v>
      </c>
      <c r="HLP1" t="s">
        <v>11264</v>
      </c>
      <c r="HLQ1" t="s">
        <v>11265</v>
      </c>
      <c r="HLR1" t="s">
        <v>11266</v>
      </c>
      <c r="HLS1" t="s">
        <v>11267</v>
      </c>
      <c r="HLT1" t="s">
        <v>11268</v>
      </c>
      <c r="HLU1" t="s">
        <v>11269</v>
      </c>
      <c r="HLV1" t="s">
        <v>11270</v>
      </c>
      <c r="HLW1" t="s">
        <v>11271</v>
      </c>
      <c r="HLX1" t="s">
        <v>11272</v>
      </c>
      <c r="HLY1" t="s">
        <v>11273</v>
      </c>
      <c r="HLZ1" t="s">
        <v>11274</v>
      </c>
      <c r="HMA1" t="s">
        <v>11275</v>
      </c>
      <c r="HMB1" t="s">
        <v>11276</v>
      </c>
      <c r="HMC1" t="s">
        <v>11277</v>
      </c>
      <c r="HMD1" t="s">
        <v>11278</v>
      </c>
      <c r="HME1" t="s">
        <v>11279</v>
      </c>
      <c r="HMF1" t="s">
        <v>11280</v>
      </c>
      <c r="HMG1" t="s">
        <v>11281</v>
      </c>
      <c r="HMH1" t="s">
        <v>11282</v>
      </c>
      <c r="HMI1" t="s">
        <v>11283</v>
      </c>
      <c r="HMJ1" t="s">
        <v>11284</v>
      </c>
      <c r="HMK1" t="s">
        <v>11285</v>
      </c>
      <c r="HML1" t="s">
        <v>11286</v>
      </c>
      <c r="HMM1" t="s">
        <v>11287</v>
      </c>
      <c r="HMN1" t="s">
        <v>11288</v>
      </c>
      <c r="HMO1" t="s">
        <v>11289</v>
      </c>
      <c r="HMP1" t="s">
        <v>11290</v>
      </c>
      <c r="HMQ1" t="s">
        <v>11291</v>
      </c>
      <c r="HMR1" t="s">
        <v>11292</v>
      </c>
      <c r="HMS1" t="s">
        <v>11293</v>
      </c>
      <c r="HMT1" t="s">
        <v>11294</v>
      </c>
      <c r="HMU1" t="s">
        <v>11295</v>
      </c>
      <c r="HMV1" t="s">
        <v>11296</v>
      </c>
      <c r="HMW1" t="s">
        <v>11297</v>
      </c>
      <c r="HMX1" t="s">
        <v>11298</v>
      </c>
      <c r="HMY1" t="s">
        <v>11299</v>
      </c>
      <c r="HMZ1" t="s">
        <v>11300</v>
      </c>
      <c r="HNA1" t="s">
        <v>11301</v>
      </c>
      <c r="HNB1" t="s">
        <v>11302</v>
      </c>
      <c r="HNC1" t="s">
        <v>11303</v>
      </c>
      <c r="HND1" t="s">
        <v>11304</v>
      </c>
      <c r="HNE1" t="s">
        <v>11305</v>
      </c>
      <c r="HNF1" t="s">
        <v>11306</v>
      </c>
      <c r="HNG1" t="s">
        <v>11307</v>
      </c>
      <c r="HNH1" t="s">
        <v>11308</v>
      </c>
      <c r="HNI1" t="s">
        <v>11309</v>
      </c>
      <c r="HNJ1" t="s">
        <v>11310</v>
      </c>
      <c r="HNK1" t="s">
        <v>11311</v>
      </c>
      <c r="HNL1" t="s">
        <v>11312</v>
      </c>
      <c r="HNM1" t="s">
        <v>11313</v>
      </c>
      <c r="HNN1" t="s">
        <v>11314</v>
      </c>
      <c r="HNO1" t="s">
        <v>11315</v>
      </c>
      <c r="HNP1" t="s">
        <v>11316</v>
      </c>
      <c r="HNQ1" t="s">
        <v>11317</v>
      </c>
      <c r="HNR1" t="s">
        <v>11318</v>
      </c>
      <c r="HNS1" t="s">
        <v>11319</v>
      </c>
      <c r="HNT1" t="s">
        <v>11320</v>
      </c>
      <c r="HNU1" t="s">
        <v>11321</v>
      </c>
      <c r="HNV1" t="s">
        <v>11322</v>
      </c>
      <c r="HNW1" t="s">
        <v>11323</v>
      </c>
      <c r="HNX1" t="s">
        <v>11324</v>
      </c>
      <c r="HNY1" t="s">
        <v>11325</v>
      </c>
      <c r="HNZ1" t="s">
        <v>11326</v>
      </c>
      <c r="HOA1" t="s">
        <v>11327</v>
      </c>
      <c r="HOB1" t="s">
        <v>11328</v>
      </c>
      <c r="HOC1" t="s">
        <v>11329</v>
      </c>
      <c r="HOD1" t="s">
        <v>11330</v>
      </c>
      <c r="HOE1" t="s">
        <v>11331</v>
      </c>
      <c r="HOF1" t="s">
        <v>11332</v>
      </c>
      <c r="HOG1" t="s">
        <v>11333</v>
      </c>
      <c r="HOH1" t="s">
        <v>11334</v>
      </c>
      <c r="HOI1" t="s">
        <v>11335</v>
      </c>
      <c r="HOJ1" t="s">
        <v>11336</v>
      </c>
      <c r="HOK1" t="s">
        <v>11337</v>
      </c>
      <c r="HOL1" t="s">
        <v>11338</v>
      </c>
      <c r="HOM1" t="s">
        <v>11339</v>
      </c>
      <c r="HON1" t="s">
        <v>11340</v>
      </c>
      <c r="HOO1" t="s">
        <v>11341</v>
      </c>
      <c r="HOP1" t="s">
        <v>11342</v>
      </c>
      <c r="HOQ1" t="s">
        <v>11343</v>
      </c>
      <c r="HOR1" t="s">
        <v>11344</v>
      </c>
      <c r="HOS1" t="s">
        <v>11345</v>
      </c>
      <c r="HOT1" t="s">
        <v>11346</v>
      </c>
      <c r="HOU1" t="s">
        <v>11347</v>
      </c>
      <c r="HOV1" t="s">
        <v>11348</v>
      </c>
      <c r="HOW1" t="s">
        <v>11349</v>
      </c>
      <c r="HOX1" t="s">
        <v>11350</v>
      </c>
      <c r="HOY1" t="s">
        <v>11351</v>
      </c>
      <c r="HOZ1" t="s">
        <v>11352</v>
      </c>
      <c r="HPA1" t="s">
        <v>11353</v>
      </c>
      <c r="HPB1" t="s">
        <v>11354</v>
      </c>
      <c r="HPC1" t="s">
        <v>11355</v>
      </c>
      <c r="HPD1" t="s">
        <v>11356</v>
      </c>
      <c r="HPE1" t="s">
        <v>11357</v>
      </c>
      <c r="HPF1" t="s">
        <v>11358</v>
      </c>
      <c r="HPG1" t="s">
        <v>11359</v>
      </c>
      <c r="HPH1" t="s">
        <v>11360</v>
      </c>
      <c r="HPI1" t="s">
        <v>11361</v>
      </c>
      <c r="HPJ1" t="s">
        <v>11362</v>
      </c>
      <c r="HPK1" t="s">
        <v>11363</v>
      </c>
      <c r="HPL1" t="s">
        <v>11364</v>
      </c>
      <c r="HPM1" t="s">
        <v>11365</v>
      </c>
      <c r="HPN1" t="s">
        <v>11366</v>
      </c>
      <c r="HPO1" t="s">
        <v>11367</v>
      </c>
      <c r="HPP1" t="s">
        <v>11368</v>
      </c>
      <c r="HPQ1" t="s">
        <v>11369</v>
      </c>
      <c r="HPR1" t="s">
        <v>11370</v>
      </c>
      <c r="HPS1" t="s">
        <v>11371</v>
      </c>
      <c r="HPT1" t="s">
        <v>11372</v>
      </c>
      <c r="HPU1" t="s">
        <v>11373</v>
      </c>
      <c r="HPV1" t="s">
        <v>11374</v>
      </c>
      <c r="HPW1" t="s">
        <v>11375</v>
      </c>
      <c r="HPX1" t="s">
        <v>11376</v>
      </c>
      <c r="HPY1" t="s">
        <v>11377</v>
      </c>
      <c r="HPZ1" t="s">
        <v>11378</v>
      </c>
      <c r="HQA1" t="s">
        <v>11379</v>
      </c>
      <c r="HQB1" t="s">
        <v>11380</v>
      </c>
      <c r="HQC1" t="s">
        <v>11381</v>
      </c>
      <c r="HQD1" t="s">
        <v>11382</v>
      </c>
      <c r="HQE1" t="s">
        <v>11383</v>
      </c>
      <c r="HQF1" t="s">
        <v>11384</v>
      </c>
      <c r="HQG1" t="s">
        <v>11385</v>
      </c>
      <c r="HQH1" t="s">
        <v>11386</v>
      </c>
      <c r="HQI1" t="s">
        <v>11387</v>
      </c>
      <c r="HQJ1" t="s">
        <v>11388</v>
      </c>
      <c r="HQK1" t="s">
        <v>11389</v>
      </c>
      <c r="HQL1" t="s">
        <v>11390</v>
      </c>
      <c r="HQM1" t="s">
        <v>11391</v>
      </c>
      <c r="HQN1" t="s">
        <v>11392</v>
      </c>
      <c r="HQO1" t="s">
        <v>11393</v>
      </c>
      <c r="HQP1" t="s">
        <v>11394</v>
      </c>
      <c r="HQQ1" t="s">
        <v>11395</v>
      </c>
      <c r="HQR1" t="s">
        <v>11396</v>
      </c>
      <c r="HQS1" t="s">
        <v>11397</v>
      </c>
      <c r="HQT1" t="s">
        <v>11398</v>
      </c>
      <c r="HQU1" t="s">
        <v>11399</v>
      </c>
      <c r="HQV1" t="s">
        <v>11400</v>
      </c>
      <c r="HQW1" t="s">
        <v>11401</v>
      </c>
      <c r="HQX1" t="s">
        <v>11402</v>
      </c>
      <c r="HQY1" t="s">
        <v>11403</v>
      </c>
      <c r="HQZ1" t="s">
        <v>11404</v>
      </c>
      <c r="HRA1" t="s">
        <v>11405</v>
      </c>
      <c r="HRB1" t="s">
        <v>11406</v>
      </c>
      <c r="HRC1" t="s">
        <v>11407</v>
      </c>
      <c r="HRD1" t="s">
        <v>11408</v>
      </c>
      <c r="HRE1" t="s">
        <v>11409</v>
      </c>
      <c r="HRF1" t="s">
        <v>11410</v>
      </c>
      <c r="HRG1" t="s">
        <v>11411</v>
      </c>
      <c r="HRH1" t="s">
        <v>11412</v>
      </c>
      <c r="HRI1" t="s">
        <v>11413</v>
      </c>
      <c r="HRJ1" t="s">
        <v>11414</v>
      </c>
      <c r="HRK1" t="s">
        <v>11415</v>
      </c>
      <c r="HRL1" t="s">
        <v>11416</v>
      </c>
      <c r="HRM1" t="s">
        <v>11417</v>
      </c>
      <c r="HRN1" t="s">
        <v>11418</v>
      </c>
      <c r="HRO1" t="s">
        <v>11419</v>
      </c>
      <c r="HRP1" t="s">
        <v>11420</v>
      </c>
      <c r="HRQ1" t="s">
        <v>11421</v>
      </c>
      <c r="HRR1" t="s">
        <v>11422</v>
      </c>
      <c r="HRS1" t="s">
        <v>11423</v>
      </c>
      <c r="HRT1" t="s">
        <v>11424</v>
      </c>
      <c r="HRU1" t="s">
        <v>11425</v>
      </c>
      <c r="HRV1" t="s">
        <v>11426</v>
      </c>
      <c r="HRW1" t="s">
        <v>11427</v>
      </c>
      <c r="HRX1" t="s">
        <v>11428</v>
      </c>
      <c r="HRY1" t="s">
        <v>11429</v>
      </c>
      <c r="HRZ1" t="s">
        <v>11430</v>
      </c>
      <c r="HSA1" t="s">
        <v>11431</v>
      </c>
      <c r="HSB1" t="s">
        <v>11432</v>
      </c>
      <c r="HSC1" t="s">
        <v>11433</v>
      </c>
      <c r="HSD1" t="s">
        <v>11434</v>
      </c>
      <c r="HSE1" t="s">
        <v>11435</v>
      </c>
      <c r="HSF1" t="s">
        <v>11436</v>
      </c>
      <c r="HSG1" t="s">
        <v>11437</v>
      </c>
      <c r="HSH1" t="s">
        <v>11438</v>
      </c>
      <c r="HSI1" t="s">
        <v>11439</v>
      </c>
      <c r="HSJ1" t="s">
        <v>11440</v>
      </c>
      <c r="HSK1" t="s">
        <v>11441</v>
      </c>
      <c r="HSL1" t="s">
        <v>11442</v>
      </c>
      <c r="HSM1" t="s">
        <v>11443</v>
      </c>
      <c r="HSN1" t="s">
        <v>11444</v>
      </c>
      <c r="HSO1" t="s">
        <v>11445</v>
      </c>
      <c r="HSP1" t="s">
        <v>11446</v>
      </c>
      <c r="HSQ1" t="s">
        <v>11447</v>
      </c>
      <c r="HSR1" t="s">
        <v>11448</v>
      </c>
      <c r="HSS1" t="s">
        <v>11449</v>
      </c>
      <c r="HST1" t="s">
        <v>11450</v>
      </c>
      <c r="HSU1" t="s">
        <v>11451</v>
      </c>
      <c r="HSV1" t="s">
        <v>11452</v>
      </c>
      <c r="HSW1" t="s">
        <v>11453</v>
      </c>
      <c r="HSX1" t="s">
        <v>11454</v>
      </c>
      <c r="HSY1" t="s">
        <v>11455</v>
      </c>
      <c r="HSZ1" t="s">
        <v>11456</v>
      </c>
      <c r="HTA1" t="s">
        <v>11457</v>
      </c>
      <c r="HTB1" t="s">
        <v>11458</v>
      </c>
      <c r="HTC1" t="s">
        <v>11459</v>
      </c>
      <c r="HTD1" t="s">
        <v>11460</v>
      </c>
      <c r="HTE1" t="s">
        <v>11461</v>
      </c>
      <c r="HTF1" t="s">
        <v>11462</v>
      </c>
      <c r="HTG1" t="s">
        <v>11463</v>
      </c>
      <c r="HTH1" t="s">
        <v>11464</v>
      </c>
      <c r="HTI1" t="s">
        <v>11465</v>
      </c>
      <c r="HTJ1" t="s">
        <v>11466</v>
      </c>
      <c r="HTK1" t="s">
        <v>11467</v>
      </c>
      <c r="HTL1" t="s">
        <v>11468</v>
      </c>
      <c r="HTM1" t="s">
        <v>11469</v>
      </c>
      <c r="HTN1" t="s">
        <v>11470</v>
      </c>
      <c r="HTO1" t="s">
        <v>11471</v>
      </c>
      <c r="HTP1" t="s">
        <v>11472</v>
      </c>
      <c r="HTQ1" t="s">
        <v>11473</v>
      </c>
      <c r="HTR1" t="s">
        <v>11474</v>
      </c>
      <c r="HTS1" t="s">
        <v>11475</v>
      </c>
      <c r="HTT1" t="s">
        <v>11476</v>
      </c>
      <c r="HTU1" t="s">
        <v>11477</v>
      </c>
      <c r="HTV1" t="s">
        <v>11478</v>
      </c>
      <c r="HTW1" t="s">
        <v>11479</v>
      </c>
      <c r="HTX1" t="s">
        <v>11480</v>
      </c>
      <c r="HTY1" t="s">
        <v>11481</v>
      </c>
      <c r="HTZ1" t="s">
        <v>11482</v>
      </c>
      <c r="HUA1" t="s">
        <v>11483</v>
      </c>
      <c r="HUB1" t="s">
        <v>11484</v>
      </c>
      <c r="HUC1" t="s">
        <v>11485</v>
      </c>
      <c r="HUD1" t="s">
        <v>11486</v>
      </c>
      <c r="HUE1" t="s">
        <v>11487</v>
      </c>
      <c r="HUF1" t="s">
        <v>11488</v>
      </c>
      <c r="HUG1" t="s">
        <v>11489</v>
      </c>
      <c r="HUH1" t="s">
        <v>11490</v>
      </c>
      <c r="HUI1" t="s">
        <v>11491</v>
      </c>
      <c r="HUJ1" t="s">
        <v>11492</v>
      </c>
      <c r="HUK1" t="s">
        <v>11493</v>
      </c>
      <c r="HUL1" t="s">
        <v>11494</v>
      </c>
      <c r="HUM1" t="s">
        <v>11495</v>
      </c>
      <c r="HUN1" t="s">
        <v>11496</v>
      </c>
      <c r="HUO1" t="s">
        <v>11497</v>
      </c>
      <c r="HUP1" t="s">
        <v>11498</v>
      </c>
      <c r="HUQ1" t="s">
        <v>11499</v>
      </c>
      <c r="HUR1" t="s">
        <v>11500</v>
      </c>
      <c r="HUS1" t="s">
        <v>11501</v>
      </c>
      <c r="HUT1" t="s">
        <v>11502</v>
      </c>
      <c r="HUU1" t="s">
        <v>11503</v>
      </c>
      <c r="HUV1" t="s">
        <v>11504</v>
      </c>
      <c r="HUW1" t="s">
        <v>11505</v>
      </c>
      <c r="HUX1" t="s">
        <v>11506</v>
      </c>
      <c r="HUY1" t="s">
        <v>11507</v>
      </c>
      <c r="HUZ1" t="s">
        <v>11508</v>
      </c>
      <c r="HVA1" t="s">
        <v>11509</v>
      </c>
      <c r="HVB1" t="s">
        <v>11510</v>
      </c>
      <c r="HVC1" t="s">
        <v>11511</v>
      </c>
      <c r="HVD1" t="s">
        <v>11512</v>
      </c>
      <c r="HVE1" t="s">
        <v>11513</v>
      </c>
      <c r="HVF1" t="s">
        <v>11514</v>
      </c>
      <c r="HVG1" t="s">
        <v>11515</v>
      </c>
      <c r="HVH1" t="s">
        <v>11516</v>
      </c>
      <c r="HVI1" t="s">
        <v>11517</v>
      </c>
      <c r="HVJ1" t="s">
        <v>11518</v>
      </c>
      <c r="HVK1" t="s">
        <v>11519</v>
      </c>
      <c r="HVL1" t="s">
        <v>11520</v>
      </c>
      <c r="HVM1" t="s">
        <v>11521</v>
      </c>
      <c r="HVN1" t="s">
        <v>11522</v>
      </c>
      <c r="HVO1" t="s">
        <v>11523</v>
      </c>
      <c r="HVP1" t="s">
        <v>11524</v>
      </c>
      <c r="HVQ1" t="s">
        <v>11525</v>
      </c>
      <c r="HVR1" t="s">
        <v>11526</v>
      </c>
      <c r="HVS1" t="s">
        <v>11527</v>
      </c>
      <c r="HVT1" t="s">
        <v>11528</v>
      </c>
      <c r="HVU1" t="s">
        <v>11529</v>
      </c>
      <c r="HVV1" t="s">
        <v>11530</v>
      </c>
      <c r="HVW1" t="s">
        <v>11531</v>
      </c>
      <c r="HVX1" t="s">
        <v>11532</v>
      </c>
      <c r="HVY1" t="s">
        <v>11533</v>
      </c>
      <c r="HVZ1" t="s">
        <v>11534</v>
      </c>
      <c r="HWA1" t="s">
        <v>11535</v>
      </c>
      <c r="HWB1" t="s">
        <v>11536</v>
      </c>
      <c r="HWC1" t="s">
        <v>11537</v>
      </c>
      <c r="HWD1" t="s">
        <v>11538</v>
      </c>
      <c r="HWE1" t="s">
        <v>11539</v>
      </c>
      <c r="HWF1" t="s">
        <v>11540</v>
      </c>
      <c r="HWG1" t="s">
        <v>11541</v>
      </c>
      <c r="HWH1" t="s">
        <v>11542</v>
      </c>
      <c r="HWI1" t="s">
        <v>11543</v>
      </c>
      <c r="HWJ1" t="s">
        <v>11544</v>
      </c>
      <c r="HWK1" t="s">
        <v>11545</v>
      </c>
      <c r="HWL1" t="s">
        <v>11546</v>
      </c>
      <c r="HWM1" t="s">
        <v>11547</v>
      </c>
      <c r="HWN1" t="s">
        <v>11548</v>
      </c>
      <c r="HWO1" t="s">
        <v>11549</v>
      </c>
      <c r="HWP1" t="s">
        <v>11550</v>
      </c>
      <c r="HWQ1" t="s">
        <v>11551</v>
      </c>
      <c r="HWR1" t="s">
        <v>11552</v>
      </c>
      <c r="HWS1" t="s">
        <v>11553</v>
      </c>
      <c r="HWT1" t="s">
        <v>11554</v>
      </c>
      <c r="HWU1" t="s">
        <v>11555</v>
      </c>
      <c r="HWV1" t="s">
        <v>11556</v>
      </c>
      <c r="HWW1" t="s">
        <v>11557</v>
      </c>
      <c r="HWX1" t="s">
        <v>11558</v>
      </c>
      <c r="HWY1" t="s">
        <v>11559</v>
      </c>
      <c r="HWZ1" t="s">
        <v>11560</v>
      </c>
      <c r="HXA1" t="s">
        <v>11561</v>
      </c>
      <c r="HXB1" t="s">
        <v>11562</v>
      </c>
      <c r="HXC1" t="s">
        <v>11563</v>
      </c>
      <c r="HXD1" t="s">
        <v>11564</v>
      </c>
      <c r="HXE1" t="s">
        <v>11565</v>
      </c>
      <c r="HXF1" t="s">
        <v>11566</v>
      </c>
      <c r="HXG1" t="s">
        <v>11567</v>
      </c>
      <c r="HXH1" t="s">
        <v>11568</v>
      </c>
      <c r="HXI1" t="s">
        <v>11569</v>
      </c>
      <c r="HXJ1" t="s">
        <v>11570</v>
      </c>
      <c r="HXK1" t="s">
        <v>11571</v>
      </c>
      <c r="HXL1" t="s">
        <v>11572</v>
      </c>
      <c r="HXM1" t="s">
        <v>11573</v>
      </c>
      <c r="HXN1" t="s">
        <v>11574</v>
      </c>
      <c r="HXO1" t="s">
        <v>11575</v>
      </c>
      <c r="HXP1" t="s">
        <v>11576</v>
      </c>
      <c r="HXQ1" t="s">
        <v>11577</v>
      </c>
      <c r="HXR1" t="s">
        <v>11578</v>
      </c>
      <c r="HXS1" t="s">
        <v>11579</v>
      </c>
      <c r="HXT1" t="s">
        <v>11580</v>
      </c>
      <c r="HXU1" t="s">
        <v>11581</v>
      </c>
      <c r="HXV1" t="s">
        <v>11582</v>
      </c>
      <c r="HXW1" t="s">
        <v>11583</v>
      </c>
      <c r="HXX1" t="s">
        <v>11584</v>
      </c>
      <c r="HXY1" t="s">
        <v>11585</v>
      </c>
      <c r="HXZ1" t="s">
        <v>11586</v>
      </c>
      <c r="HYA1" t="s">
        <v>11587</v>
      </c>
      <c r="HYB1" t="s">
        <v>11588</v>
      </c>
      <c r="HYC1" t="s">
        <v>11589</v>
      </c>
      <c r="HYD1" t="s">
        <v>11590</v>
      </c>
      <c r="HYE1" t="s">
        <v>11591</v>
      </c>
      <c r="HYF1" t="s">
        <v>11592</v>
      </c>
      <c r="HYG1" t="s">
        <v>11593</v>
      </c>
      <c r="HYH1" t="s">
        <v>11594</v>
      </c>
      <c r="HYI1" t="s">
        <v>11595</v>
      </c>
      <c r="HYJ1" t="s">
        <v>11596</v>
      </c>
      <c r="HYK1" t="s">
        <v>11597</v>
      </c>
      <c r="HYL1" t="s">
        <v>11598</v>
      </c>
      <c r="HYM1" t="s">
        <v>11599</v>
      </c>
      <c r="HYN1" t="s">
        <v>11600</v>
      </c>
      <c r="HYO1" t="s">
        <v>11601</v>
      </c>
      <c r="HYP1" t="s">
        <v>11602</v>
      </c>
      <c r="HYQ1" t="s">
        <v>11603</v>
      </c>
      <c r="HYR1" t="s">
        <v>11604</v>
      </c>
      <c r="HYS1" t="s">
        <v>11605</v>
      </c>
      <c r="HYT1" t="s">
        <v>11606</v>
      </c>
      <c r="HYU1" t="s">
        <v>11607</v>
      </c>
      <c r="HYV1" t="s">
        <v>11608</v>
      </c>
      <c r="HYW1" t="s">
        <v>11609</v>
      </c>
      <c r="HYX1" t="s">
        <v>11610</v>
      </c>
      <c r="HYY1" t="s">
        <v>11611</v>
      </c>
      <c r="HYZ1" t="s">
        <v>11612</v>
      </c>
      <c r="HZA1" t="s">
        <v>11613</v>
      </c>
      <c r="HZB1" t="s">
        <v>11614</v>
      </c>
      <c r="HZC1" t="s">
        <v>11615</v>
      </c>
      <c r="HZD1" t="s">
        <v>11616</v>
      </c>
      <c r="HZE1" t="s">
        <v>11617</v>
      </c>
      <c r="HZF1" t="s">
        <v>11618</v>
      </c>
      <c r="HZG1" t="s">
        <v>11619</v>
      </c>
      <c r="HZH1" t="s">
        <v>11620</v>
      </c>
      <c r="HZI1" t="s">
        <v>11621</v>
      </c>
      <c r="HZJ1" t="s">
        <v>11622</v>
      </c>
      <c r="HZK1" t="s">
        <v>11623</v>
      </c>
      <c r="HZL1" t="s">
        <v>11624</v>
      </c>
      <c r="HZM1" t="s">
        <v>11625</v>
      </c>
      <c r="HZN1" t="s">
        <v>11626</v>
      </c>
      <c r="HZO1" t="s">
        <v>11627</v>
      </c>
      <c r="HZP1" t="s">
        <v>11628</v>
      </c>
      <c r="HZQ1" t="s">
        <v>11629</v>
      </c>
      <c r="HZR1" t="s">
        <v>11630</v>
      </c>
      <c r="HZS1" t="s">
        <v>11631</v>
      </c>
      <c r="HZT1" t="s">
        <v>11632</v>
      </c>
      <c r="HZU1" t="s">
        <v>11633</v>
      </c>
      <c r="HZV1" t="s">
        <v>11634</v>
      </c>
      <c r="HZW1" t="s">
        <v>11635</v>
      </c>
      <c r="HZX1" t="s">
        <v>11636</v>
      </c>
      <c r="HZY1" t="s">
        <v>11637</v>
      </c>
      <c r="HZZ1" t="s">
        <v>11638</v>
      </c>
      <c r="IAA1" t="s">
        <v>11639</v>
      </c>
      <c r="IAB1" t="s">
        <v>11640</v>
      </c>
      <c r="IAC1" t="s">
        <v>11641</v>
      </c>
      <c r="IAD1" t="s">
        <v>11642</v>
      </c>
      <c r="IAE1" t="s">
        <v>11643</v>
      </c>
      <c r="IAF1" t="s">
        <v>11644</v>
      </c>
      <c r="IAG1" t="s">
        <v>11645</v>
      </c>
      <c r="IAH1" t="s">
        <v>11646</v>
      </c>
      <c r="IAI1" t="s">
        <v>11647</v>
      </c>
      <c r="IAJ1" t="s">
        <v>11648</v>
      </c>
      <c r="IAK1" t="s">
        <v>11649</v>
      </c>
      <c r="IAL1" t="s">
        <v>11650</v>
      </c>
      <c r="IAM1" t="s">
        <v>11651</v>
      </c>
      <c r="IAN1" t="s">
        <v>11652</v>
      </c>
      <c r="IAO1" t="s">
        <v>11653</v>
      </c>
      <c r="IAP1" t="s">
        <v>11654</v>
      </c>
      <c r="IAQ1" t="s">
        <v>11655</v>
      </c>
      <c r="IAR1" t="s">
        <v>11656</v>
      </c>
      <c r="IAS1" t="s">
        <v>11657</v>
      </c>
      <c r="IAT1" t="s">
        <v>11658</v>
      </c>
      <c r="IAU1" t="s">
        <v>11659</v>
      </c>
      <c r="IAV1" t="s">
        <v>11660</v>
      </c>
      <c r="IAW1" t="s">
        <v>11661</v>
      </c>
      <c r="IAX1" t="s">
        <v>11662</v>
      </c>
      <c r="IAY1" t="s">
        <v>11663</v>
      </c>
      <c r="IAZ1" t="s">
        <v>11664</v>
      </c>
      <c r="IBA1" t="s">
        <v>11665</v>
      </c>
      <c r="IBB1" t="s">
        <v>11666</v>
      </c>
      <c r="IBC1" t="s">
        <v>11667</v>
      </c>
      <c r="IBD1" t="s">
        <v>11668</v>
      </c>
      <c r="IBE1" t="s">
        <v>11669</v>
      </c>
      <c r="IBF1" t="s">
        <v>11670</v>
      </c>
      <c r="IBG1" t="s">
        <v>11671</v>
      </c>
      <c r="IBH1" t="s">
        <v>11672</v>
      </c>
      <c r="IBI1" t="s">
        <v>11673</v>
      </c>
      <c r="IBJ1" t="s">
        <v>11674</v>
      </c>
      <c r="IBK1" t="s">
        <v>11675</v>
      </c>
      <c r="IBL1" t="s">
        <v>11676</v>
      </c>
      <c r="IBM1" t="s">
        <v>11677</v>
      </c>
      <c r="IBN1" t="s">
        <v>11678</v>
      </c>
      <c r="IBO1" t="s">
        <v>11679</v>
      </c>
      <c r="IBP1" t="s">
        <v>11680</v>
      </c>
      <c r="IBQ1" t="s">
        <v>11681</v>
      </c>
      <c r="IBR1" t="s">
        <v>11682</v>
      </c>
      <c r="IBS1" t="s">
        <v>11683</v>
      </c>
      <c r="IBT1" t="s">
        <v>11684</v>
      </c>
      <c r="IBU1" t="s">
        <v>11685</v>
      </c>
      <c r="IBV1" t="s">
        <v>11686</v>
      </c>
      <c r="IBW1" t="s">
        <v>11687</v>
      </c>
      <c r="IBX1" t="s">
        <v>11688</v>
      </c>
      <c r="IBY1" t="s">
        <v>11689</v>
      </c>
      <c r="IBZ1" t="s">
        <v>11690</v>
      </c>
      <c r="ICA1" t="s">
        <v>11691</v>
      </c>
      <c r="ICB1" t="s">
        <v>11692</v>
      </c>
      <c r="ICC1" t="s">
        <v>11693</v>
      </c>
      <c r="ICD1" t="s">
        <v>11694</v>
      </c>
      <c r="ICE1" t="s">
        <v>11695</v>
      </c>
      <c r="ICF1" t="s">
        <v>11696</v>
      </c>
      <c r="ICG1" t="s">
        <v>11697</v>
      </c>
      <c r="ICH1" t="s">
        <v>11698</v>
      </c>
      <c r="ICI1" t="s">
        <v>11699</v>
      </c>
      <c r="ICJ1" t="s">
        <v>11700</v>
      </c>
      <c r="ICK1" t="s">
        <v>11701</v>
      </c>
      <c r="ICL1" t="s">
        <v>11702</v>
      </c>
      <c r="ICM1" t="s">
        <v>11703</v>
      </c>
      <c r="ICN1" t="s">
        <v>11704</v>
      </c>
      <c r="ICO1" t="s">
        <v>11705</v>
      </c>
      <c r="ICP1" t="s">
        <v>11706</v>
      </c>
      <c r="ICQ1" t="s">
        <v>11707</v>
      </c>
      <c r="ICR1" t="s">
        <v>11708</v>
      </c>
      <c r="ICS1" t="s">
        <v>11709</v>
      </c>
      <c r="ICT1" t="s">
        <v>11710</v>
      </c>
      <c r="ICU1" t="s">
        <v>11711</v>
      </c>
      <c r="ICV1" t="s">
        <v>11712</v>
      </c>
      <c r="ICW1" t="s">
        <v>11713</v>
      </c>
      <c r="ICX1" t="s">
        <v>11714</v>
      </c>
      <c r="ICY1" t="s">
        <v>11715</v>
      </c>
      <c r="ICZ1" t="s">
        <v>11716</v>
      </c>
      <c r="IDA1" t="s">
        <v>11717</v>
      </c>
      <c r="IDB1" t="s">
        <v>11718</v>
      </c>
      <c r="IDC1" t="s">
        <v>11719</v>
      </c>
      <c r="IDD1" t="s">
        <v>11720</v>
      </c>
      <c r="IDE1" t="s">
        <v>11721</v>
      </c>
      <c r="IDF1" t="s">
        <v>11722</v>
      </c>
      <c r="IDG1" t="s">
        <v>11723</v>
      </c>
      <c r="IDH1" t="s">
        <v>11724</v>
      </c>
      <c r="IDI1" t="s">
        <v>11725</v>
      </c>
      <c r="IDJ1" t="s">
        <v>11726</v>
      </c>
      <c r="IDK1" t="s">
        <v>11727</v>
      </c>
      <c r="IDL1" t="s">
        <v>11728</v>
      </c>
      <c r="IDM1" t="s">
        <v>11729</v>
      </c>
      <c r="IDN1" t="s">
        <v>11730</v>
      </c>
      <c r="IDO1" t="s">
        <v>11731</v>
      </c>
      <c r="IDP1" t="s">
        <v>11732</v>
      </c>
      <c r="IDQ1" t="s">
        <v>11733</v>
      </c>
      <c r="IDR1" t="s">
        <v>11734</v>
      </c>
      <c r="IDS1" t="s">
        <v>11735</v>
      </c>
      <c r="IDT1" t="s">
        <v>11736</v>
      </c>
      <c r="IDU1" t="s">
        <v>11737</v>
      </c>
      <c r="IDV1" t="s">
        <v>11738</v>
      </c>
      <c r="IDW1" t="s">
        <v>11739</v>
      </c>
      <c r="IDX1" t="s">
        <v>11740</v>
      </c>
      <c r="IDY1" t="s">
        <v>11741</v>
      </c>
      <c r="IDZ1" t="s">
        <v>11742</v>
      </c>
      <c r="IEA1" t="s">
        <v>11743</v>
      </c>
      <c r="IEB1" t="s">
        <v>11744</v>
      </c>
      <c r="IEC1" t="s">
        <v>11745</v>
      </c>
      <c r="IED1" t="s">
        <v>11746</v>
      </c>
      <c r="IEE1" t="s">
        <v>11747</v>
      </c>
      <c r="IEF1" t="s">
        <v>11748</v>
      </c>
      <c r="IEG1" t="s">
        <v>11749</v>
      </c>
      <c r="IEH1" t="s">
        <v>11750</v>
      </c>
      <c r="IEI1" t="s">
        <v>11751</v>
      </c>
      <c r="IEJ1" t="s">
        <v>11752</v>
      </c>
      <c r="IEK1" t="s">
        <v>11753</v>
      </c>
      <c r="IEL1" t="s">
        <v>11754</v>
      </c>
      <c r="IEM1" t="s">
        <v>11755</v>
      </c>
      <c r="IEN1" t="s">
        <v>11756</v>
      </c>
      <c r="IEO1" t="s">
        <v>11757</v>
      </c>
      <c r="IEP1" t="s">
        <v>11758</v>
      </c>
      <c r="IEQ1" t="s">
        <v>11759</v>
      </c>
      <c r="IER1" t="s">
        <v>11760</v>
      </c>
      <c r="IES1" t="s">
        <v>11761</v>
      </c>
      <c r="IET1" t="s">
        <v>11762</v>
      </c>
      <c r="IEU1" t="s">
        <v>11763</v>
      </c>
      <c r="IEV1" t="s">
        <v>11764</v>
      </c>
      <c r="IEW1" t="s">
        <v>11765</v>
      </c>
      <c r="IEX1" t="s">
        <v>11766</v>
      </c>
      <c r="IEY1" t="s">
        <v>11767</v>
      </c>
      <c r="IEZ1" t="s">
        <v>11768</v>
      </c>
      <c r="IFA1" t="s">
        <v>11769</v>
      </c>
      <c r="IFB1" t="s">
        <v>11770</v>
      </c>
      <c r="IFC1" t="s">
        <v>11771</v>
      </c>
      <c r="IFD1" t="s">
        <v>11772</v>
      </c>
      <c r="IFE1" t="s">
        <v>11773</v>
      </c>
      <c r="IFF1" t="s">
        <v>11774</v>
      </c>
      <c r="IFG1" t="s">
        <v>11775</v>
      </c>
      <c r="IFH1" t="s">
        <v>11776</v>
      </c>
      <c r="IFI1" t="s">
        <v>11777</v>
      </c>
      <c r="IFJ1" t="s">
        <v>11778</v>
      </c>
      <c r="IFK1" t="s">
        <v>11779</v>
      </c>
      <c r="IFL1" t="s">
        <v>11780</v>
      </c>
      <c r="IFM1" t="s">
        <v>11781</v>
      </c>
      <c r="IFN1" t="s">
        <v>11782</v>
      </c>
      <c r="IFO1" t="s">
        <v>11783</v>
      </c>
      <c r="IFP1" t="s">
        <v>11784</v>
      </c>
      <c r="IFQ1" t="s">
        <v>11785</v>
      </c>
      <c r="IFR1" t="s">
        <v>11786</v>
      </c>
      <c r="IFS1" t="s">
        <v>11787</v>
      </c>
      <c r="IFT1" t="s">
        <v>11788</v>
      </c>
      <c r="IFU1" t="s">
        <v>11789</v>
      </c>
      <c r="IFV1" t="s">
        <v>11790</v>
      </c>
      <c r="IFW1" t="s">
        <v>11791</v>
      </c>
      <c r="IFX1" t="s">
        <v>11792</v>
      </c>
      <c r="IFY1" t="s">
        <v>11793</v>
      </c>
      <c r="IFZ1" t="s">
        <v>11794</v>
      </c>
      <c r="IGA1" t="s">
        <v>11795</v>
      </c>
      <c r="IGB1" t="s">
        <v>11796</v>
      </c>
      <c r="IGC1" t="s">
        <v>11797</v>
      </c>
      <c r="IGD1" t="s">
        <v>11798</v>
      </c>
      <c r="IGE1" t="s">
        <v>11799</v>
      </c>
      <c r="IGF1" t="s">
        <v>11800</v>
      </c>
      <c r="IGG1" t="s">
        <v>11801</v>
      </c>
      <c r="IGH1" t="s">
        <v>11802</v>
      </c>
      <c r="IGI1" t="s">
        <v>11803</v>
      </c>
      <c r="IGJ1" t="s">
        <v>11804</v>
      </c>
      <c r="IGK1" t="s">
        <v>11805</v>
      </c>
      <c r="IGL1" t="s">
        <v>11806</v>
      </c>
      <c r="IGM1" t="s">
        <v>11807</v>
      </c>
      <c r="IGN1" t="s">
        <v>11808</v>
      </c>
      <c r="IGO1" t="s">
        <v>11809</v>
      </c>
      <c r="IGP1" t="s">
        <v>11810</v>
      </c>
      <c r="IGQ1" t="s">
        <v>11811</v>
      </c>
      <c r="IGR1" t="s">
        <v>11812</v>
      </c>
      <c r="IGS1" t="s">
        <v>11813</v>
      </c>
      <c r="IGT1" t="s">
        <v>11814</v>
      </c>
      <c r="IGU1" t="s">
        <v>11815</v>
      </c>
      <c r="IGV1" t="s">
        <v>11816</v>
      </c>
      <c r="IGW1" t="s">
        <v>11817</v>
      </c>
      <c r="IGX1" t="s">
        <v>11818</v>
      </c>
      <c r="IGY1" t="s">
        <v>11819</v>
      </c>
      <c r="IGZ1" t="s">
        <v>11820</v>
      </c>
      <c r="IHA1" t="s">
        <v>11821</v>
      </c>
      <c r="IHB1" t="s">
        <v>11822</v>
      </c>
      <c r="IHC1" t="s">
        <v>11823</v>
      </c>
      <c r="IHD1" t="s">
        <v>11824</v>
      </c>
      <c r="IHE1" t="s">
        <v>11825</v>
      </c>
      <c r="IHF1" t="s">
        <v>11826</v>
      </c>
      <c r="IHG1" t="s">
        <v>11827</v>
      </c>
      <c r="IHH1" t="s">
        <v>11828</v>
      </c>
      <c r="IHI1" t="s">
        <v>11829</v>
      </c>
      <c r="IHJ1" t="s">
        <v>11830</v>
      </c>
      <c r="IHK1" t="s">
        <v>11831</v>
      </c>
      <c r="IHL1" t="s">
        <v>11832</v>
      </c>
      <c r="IHM1" t="s">
        <v>11833</v>
      </c>
      <c r="IHN1" t="s">
        <v>11834</v>
      </c>
      <c r="IHO1" t="s">
        <v>11835</v>
      </c>
      <c r="IHP1" t="s">
        <v>11836</v>
      </c>
      <c r="IHQ1" t="s">
        <v>11837</v>
      </c>
      <c r="IHR1" t="s">
        <v>11838</v>
      </c>
      <c r="IHS1" t="s">
        <v>11839</v>
      </c>
      <c r="IHT1" t="s">
        <v>11840</v>
      </c>
      <c r="IHU1" t="s">
        <v>11841</v>
      </c>
      <c r="IHV1" t="s">
        <v>11842</v>
      </c>
      <c r="IHW1" t="s">
        <v>11843</v>
      </c>
      <c r="IHX1" t="s">
        <v>11844</v>
      </c>
      <c r="IHY1" t="s">
        <v>11845</v>
      </c>
      <c r="IHZ1" t="s">
        <v>11846</v>
      </c>
      <c r="IIA1" t="s">
        <v>11847</v>
      </c>
      <c r="IIB1" t="s">
        <v>11848</v>
      </c>
      <c r="IIC1" t="s">
        <v>11849</v>
      </c>
      <c r="IID1" t="s">
        <v>11850</v>
      </c>
      <c r="IIE1" t="s">
        <v>11851</v>
      </c>
      <c r="IIF1" t="s">
        <v>11852</v>
      </c>
      <c r="IIG1" t="s">
        <v>11853</v>
      </c>
      <c r="IIH1" t="s">
        <v>11854</v>
      </c>
      <c r="III1" t="s">
        <v>11855</v>
      </c>
      <c r="IIJ1" t="s">
        <v>11856</v>
      </c>
      <c r="IIK1" t="s">
        <v>11857</v>
      </c>
      <c r="IIL1" t="s">
        <v>11858</v>
      </c>
      <c r="IIM1" t="s">
        <v>11859</v>
      </c>
      <c r="IIN1" t="s">
        <v>11860</v>
      </c>
      <c r="IIO1" t="s">
        <v>11861</v>
      </c>
      <c r="IIP1" t="s">
        <v>11862</v>
      </c>
      <c r="IIQ1" t="s">
        <v>11863</v>
      </c>
      <c r="IIR1" t="s">
        <v>11864</v>
      </c>
      <c r="IIS1" t="s">
        <v>11865</v>
      </c>
      <c r="IIT1" t="s">
        <v>11866</v>
      </c>
      <c r="IIU1" t="s">
        <v>11867</v>
      </c>
      <c r="IIV1" t="s">
        <v>11868</v>
      </c>
      <c r="IIW1" t="s">
        <v>11869</v>
      </c>
      <c r="IIX1" t="s">
        <v>11870</v>
      </c>
      <c r="IIY1" t="s">
        <v>11871</v>
      </c>
      <c r="IIZ1" t="s">
        <v>11872</v>
      </c>
      <c r="IJA1" t="s">
        <v>11873</v>
      </c>
      <c r="IJB1" t="s">
        <v>11874</v>
      </c>
      <c r="IJC1" t="s">
        <v>11875</v>
      </c>
      <c r="IJD1" t="s">
        <v>11876</v>
      </c>
      <c r="IJE1" t="s">
        <v>11877</v>
      </c>
      <c r="IJF1" t="s">
        <v>11878</v>
      </c>
      <c r="IJG1" t="s">
        <v>11879</v>
      </c>
      <c r="IJH1" t="s">
        <v>11880</v>
      </c>
      <c r="IJI1" t="s">
        <v>11881</v>
      </c>
      <c r="IJJ1" t="s">
        <v>11882</v>
      </c>
      <c r="IJK1" t="s">
        <v>11883</v>
      </c>
      <c r="IJL1" t="s">
        <v>11884</v>
      </c>
      <c r="IJM1" t="s">
        <v>11885</v>
      </c>
      <c r="IJN1" t="s">
        <v>11886</v>
      </c>
      <c r="IJO1" t="s">
        <v>11887</v>
      </c>
      <c r="IJP1" t="s">
        <v>11888</v>
      </c>
      <c r="IJQ1" t="s">
        <v>11889</v>
      </c>
      <c r="IJR1" t="s">
        <v>11890</v>
      </c>
      <c r="IJS1" t="s">
        <v>11891</v>
      </c>
      <c r="IJT1" t="s">
        <v>11892</v>
      </c>
      <c r="IJU1" t="s">
        <v>11893</v>
      </c>
      <c r="IJV1" t="s">
        <v>11894</v>
      </c>
      <c r="IJW1" t="s">
        <v>11895</v>
      </c>
      <c r="IJX1" t="s">
        <v>11896</v>
      </c>
      <c r="IJY1" t="s">
        <v>11897</v>
      </c>
      <c r="IJZ1" t="s">
        <v>11898</v>
      </c>
      <c r="IKA1" t="s">
        <v>11899</v>
      </c>
      <c r="IKB1" t="s">
        <v>11900</v>
      </c>
      <c r="IKC1" t="s">
        <v>11901</v>
      </c>
      <c r="IKD1" t="s">
        <v>11902</v>
      </c>
      <c r="IKE1" t="s">
        <v>11903</v>
      </c>
      <c r="IKF1" t="s">
        <v>11904</v>
      </c>
      <c r="IKG1" t="s">
        <v>11905</v>
      </c>
      <c r="IKH1" t="s">
        <v>11906</v>
      </c>
      <c r="IKI1" t="s">
        <v>11907</v>
      </c>
      <c r="IKJ1" t="s">
        <v>11908</v>
      </c>
      <c r="IKK1" t="s">
        <v>11909</v>
      </c>
      <c r="IKL1" t="s">
        <v>11910</v>
      </c>
      <c r="IKM1" t="s">
        <v>11911</v>
      </c>
      <c r="IKN1" t="s">
        <v>11912</v>
      </c>
      <c r="IKO1" t="s">
        <v>11913</v>
      </c>
      <c r="IKP1" t="s">
        <v>11914</v>
      </c>
      <c r="IKQ1" t="s">
        <v>11915</v>
      </c>
      <c r="IKR1" t="s">
        <v>11916</v>
      </c>
      <c r="IKS1" t="s">
        <v>11917</v>
      </c>
      <c r="IKT1" t="s">
        <v>11918</v>
      </c>
      <c r="IKU1" t="s">
        <v>11919</v>
      </c>
      <c r="IKV1" t="s">
        <v>11920</v>
      </c>
      <c r="IKW1" t="s">
        <v>11921</v>
      </c>
      <c r="IKX1" t="s">
        <v>11922</v>
      </c>
      <c r="IKY1" t="s">
        <v>11923</v>
      </c>
      <c r="IKZ1" t="s">
        <v>11924</v>
      </c>
      <c r="ILA1" t="s">
        <v>11925</v>
      </c>
      <c r="ILB1" t="s">
        <v>11926</v>
      </c>
      <c r="ILC1" t="s">
        <v>11927</v>
      </c>
      <c r="ILD1" t="s">
        <v>11928</v>
      </c>
      <c r="ILE1" t="s">
        <v>11929</v>
      </c>
      <c r="ILF1" t="s">
        <v>11930</v>
      </c>
      <c r="ILG1" t="s">
        <v>11931</v>
      </c>
      <c r="ILH1" t="s">
        <v>11932</v>
      </c>
      <c r="ILI1" t="s">
        <v>11933</v>
      </c>
      <c r="ILJ1" t="s">
        <v>11934</v>
      </c>
      <c r="ILK1" t="s">
        <v>11935</v>
      </c>
      <c r="ILL1" t="s">
        <v>11936</v>
      </c>
      <c r="ILM1" t="s">
        <v>11937</v>
      </c>
      <c r="ILN1" t="s">
        <v>11938</v>
      </c>
      <c r="ILO1" t="s">
        <v>11939</v>
      </c>
      <c r="ILP1" t="s">
        <v>11940</v>
      </c>
      <c r="ILQ1" t="s">
        <v>11941</v>
      </c>
      <c r="ILR1" t="s">
        <v>11942</v>
      </c>
      <c r="ILS1" t="s">
        <v>11943</v>
      </c>
      <c r="ILT1" t="s">
        <v>11944</v>
      </c>
      <c r="ILU1" t="s">
        <v>11945</v>
      </c>
      <c r="ILV1" t="s">
        <v>11946</v>
      </c>
      <c r="ILW1" t="s">
        <v>11947</v>
      </c>
      <c r="ILX1" t="s">
        <v>11948</v>
      </c>
      <c r="ILY1" t="s">
        <v>11949</v>
      </c>
      <c r="ILZ1" t="s">
        <v>11950</v>
      </c>
      <c r="IMA1" t="s">
        <v>11951</v>
      </c>
      <c r="IMB1" t="s">
        <v>11952</v>
      </c>
      <c r="IMC1" t="s">
        <v>11953</v>
      </c>
      <c r="IMD1" t="s">
        <v>11954</v>
      </c>
      <c r="IME1" t="s">
        <v>11955</v>
      </c>
      <c r="IMF1" t="s">
        <v>11956</v>
      </c>
      <c r="IMG1" t="s">
        <v>11957</v>
      </c>
      <c r="IMH1" t="s">
        <v>11958</v>
      </c>
      <c r="IMI1" t="s">
        <v>11959</v>
      </c>
      <c r="IMJ1" t="s">
        <v>11960</v>
      </c>
      <c r="IMK1" t="s">
        <v>11961</v>
      </c>
      <c r="IML1" t="s">
        <v>11962</v>
      </c>
      <c r="IMM1" t="s">
        <v>11963</v>
      </c>
      <c r="IMN1" t="s">
        <v>11964</v>
      </c>
      <c r="IMO1" t="s">
        <v>11965</v>
      </c>
      <c r="IMP1" t="s">
        <v>11966</v>
      </c>
      <c r="IMQ1" t="s">
        <v>11967</v>
      </c>
      <c r="IMR1" t="s">
        <v>11968</v>
      </c>
      <c r="IMS1" t="s">
        <v>11969</v>
      </c>
      <c r="IMT1" t="s">
        <v>11970</v>
      </c>
      <c r="IMU1" t="s">
        <v>11971</v>
      </c>
      <c r="IMV1" t="s">
        <v>11972</v>
      </c>
      <c r="IMW1" t="s">
        <v>11973</v>
      </c>
      <c r="IMX1" t="s">
        <v>11974</v>
      </c>
      <c r="IMY1" t="s">
        <v>11975</v>
      </c>
      <c r="IMZ1" t="s">
        <v>11976</v>
      </c>
      <c r="INA1" t="s">
        <v>11977</v>
      </c>
      <c r="INB1" t="s">
        <v>11978</v>
      </c>
      <c r="INC1" t="s">
        <v>11979</v>
      </c>
      <c r="IND1" t="s">
        <v>11980</v>
      </c>
      <c r="INE1" t="s">
        <v>11981</v>
      </c>
      <c r="INF1" t="s">
        <v>11982</v>
      </c>
      <c r="ING1" t="s">
        <v>11983</v>
      </c>
      <c r="INH1" t="s">
        <v>11984</v>
      </c>
      <c r="INI1" t="s">
        <v>11985</v>
      </c>
      <c r="INJ1" t="s">
        <v>11986</v>
      </c>
      <c r="INK1" t="s">
        <v>11987</v>
      </c>
      <c r="INL1" t="s">
        <v>11988</v>
      </c>
      <c r="INM1" t="s">
        <v>11989</v>
      </c>
      <c r="INN1" t="s">
        <v>11990</v>
      </c>
      <c r="INO1" t="s">
        <v>11991</v>
      </c>
      <c r="INP1" t="s">
        <v>11992</v>
      </c>
      <c r="INQ1" t="s">
        <v>11993</v>
      </c>
      <c r="INR1" t="s">
        <v>11994</v>
      </c>
      <c r="INS1" t="s">
        <v>11995</v>
      </c>
      <c r="INT1" t="s">
        <v>11996</v>
      </c>
      <c r="INU1" t="s">
        <v>11997</v>
      </c>
      <c r="INV1" t="s">
        <v>11998</v>
      </c>
      <c r="INW1" t="s">
        <v>11999</v>
      </c>
      <c r="INX1" t="s">
        <v>12000</v>
      </c>
      <c r="INY1" t="s">
        <v>12001</v>
      </c>
      <c r="INZ1" t="s">
        <v>12002</v>
      </c>
      <c r="IOA1" t="s">
        <v>12003</v>
      </c>
      <c r="IOB1" t="s">
        <v>12004</v>
      </c>
      <c r="IOC1" t="s">
        <v>12005</v>
      </c>
      <c r="IOD1" t="s">
        <v>12006</v>
      </c>
      <c r="IOE1" t="s">
        <v>12007</v>
      </c>
      <c r="IOF1" t="s">
        <v>12008</v>
      </c>
      <c r="IOG1" t="s">
        <v>12009</v>
      </c>
      <c r="IOH1" t="s">
        <v>12010</v>
      </c>
      <c r="IOI1" t="s">
        <v>12011</v>
      </c>
      <c r="IOJ1" t="s">
        <v>12012</v>
      </c>
      <c r="IOK1" t="s">
        <v>12013</v>
      </c>
      <c r="IOL1" t="s">
        <v>12014</v>
      </c>
      <c r="IOM1" t="s">
        <v>12015</v>
      </c>
      <c r="ION1" t="s">
        <v>12016</v>
      </c>
      <c r="IOO1" t="s">
        <v>12017</v>
      </c>
      <c r="IOP1" t="s">
        <v>12018</v>
      </c>
      <c r="IOQ1" t="s">
        <v>12019</v>
      </c>
      <c r="IOR1" t="s">
        <v>12020</v>
      </c>
      <c r="IOS1" t="s">
        <v>12021</v>
      </c>
      <c r="IOT1" t="s">
        <v>12022</v>
      </c>
      <c r="IOU1" t="s">
        <v>12023</v>
      </c>
      <c r="IOV1" t="s">
        <v>12024</v>
      </c>
      <c r="IOW1" t="s">
        <v>12025</v>
      </c>
      <c r="IOX1" t="s">
        <v>12026</v>
      </c>
      <c r="IOY1" t="s">
        <v>12027</v>
      </c>
      <c r="IOZ1" t="s">
        <v>12028</v>
      </c>
      <c r="IPA1" t="s">
        <v>12029</v>
      </c>
      <c r="IPB1" t="s">
        <v>12030</v>
      </c>
      <c r="IPC1" t="s">
        <v>12031</v>
      </c>
      <c r="IPD1" t="s">
        <v>12032</v>
      </c>
      <c r="IPE1" t="s">
        <v>12033</v>
      </c>
      <c r="IPF1" t="s">
        <v>12034</v>
      </c>
      <c r="IPG1" t="s">
        <v>12035</v>
      </c>
      <c r="IPH1" t="s">
        <v>12036</v>
      </c>
      <c r="IPI1" t="s">
        <v>12037</v>
      </c>
      <c r="IPJ1" t="s">
        <v>12038</v>
      </c>
      <c r="IPK1" t="s">
        <v>12039</v>
      </c>
      <c r="IPL1" t="s">
        <v>12040</v>
      </c>
      <c r="IPM1" t="s">
        <v>12041</v>
      </c>
      <c r="IPN1" t="s">
        <v>12042</v>
      </c>
      <c r="IPO1" t="s">
        <v>12043</v>
      </c>
      <c r="IPP1" t="s">
        <v>12044</v>
      </c>
      <c r="IPQ1" t="s">
        <v>12045</v>
      </c>
      <c r="IPR1" t="s">
        <v>12046</v>
      </c>
      <c r="IPS1" t="s">
        <v>12047</v>
      </c>
      <c r="IPT1" t="s">
        <v>12048</v>
      </c>
      <c r="IPU1" t="s">
        <v>12049</v>
      </c>
      <c r="IPV1" t="s">
        <v>12050</v>
      </c>
      <c r="IPW1" t="s">
        <v>12051</v>
      </c>
      <c r="IPX1" t="s">
        <v>12052</v>
      </c>
      <c r="IPY1" t="s">
        <v>12053</v>
      </c>
      <c r="IPZ1" t="s">
        <v>12054</v>
      </c>
      <c r="IQA1" t="s">
        <v>12055</v>
      </c>
      <c r="IQB1" t="s">
        <v>12056</v>
      </c>
      <c r="IQC1" t="s">
        <v>12057</v>
      </c>
      <c r="IQD1" t="s">
        <v>12058</v>
      </c>
      <c r="IQE1" t="s">
        <v>12059</v>
      </c>
      <c r="IQF1" t="s">
        <v>12060</v>
      </c>
      <c r="IQG1" t="s">
        <v>12061</v>
      </c>
      <c r="IQH1" t="s">
        <v>12062</v>
      </c>
      <c r="IQI1" t="s">
        <v>12063</v>
      </c>
      <c r="IQJ1" t="s">
        <v>12064</v>
      </c>
      <c r="IQK1" t="s">
        <v>12065</v>
      </c>
      <c r="IQL1" t="s">
        <v>12066</v>
      </c>
      <c r="IQM1" t="s">
        <v>12067</v>
      </c>
      <c r="IQN1" t="s">
        <v>12068</v>
      </c>
      <c r="IQO1" t="s">
        <v>12069</v>
      </c>
      <c r="IQP1" t="s">
        <v>12070</v>
      </c>
      <c r="IQQ1" t="s">
        <v>12071</v>
      </c>
      <c r="IQR1" t="s">
        <v>12072</v>
      </c>
      <c r="IQS1" t="s">
        <v>12073</v>
      </c>
      <c r="IQT1" t="s">
        <v>12074</v>
      </c>
      <c r="IQU1" t="s">
        <v>12075</v>
      </c>
      <c r="IQV1" t="s">
        <v>12076</v>
      </c>
      <c r="IQW1" t="s">
        <v>12077</v>
      </c>
      <c r="IQX1" t="s">
        <v>12078</v>
      </c>
      <c r="IQY1" t="s">
        <v>12079</v>
      </c>
      <c r="IQZ1" t="s">
        <v>12080</v>
      </c>
      <c r="IRA1" t="s">
        <v>12081</v>
      </c>
      <c r="IRB1" t="s">
        <v>12082</v>
      </c>
      <c r="IRC1" t="s">
        <v>12083</v>
      </c>
      <c r="IRD1" t="s">
        <v>12084</v>
      </c>
      <c r="IRE1" t="s">
        <v>12085</v>
      </c>
      <c r="IRF1" t="s">
        <v>12086</v>
      </c>
      <c r="IRG1" t="s">
        <v>12087</v>
      </c>
      <c r="IRH1" t="s">
        <v>12088</v>
      </c>
      <c r="IRI1" t="s">
        <v>12089</v>
      </c>
      <c r="IRJ1" t="s">
        <v>12090</v>
      </c>
      <c r="IRK1" t="s">
        <v>12091</v>
      </c>
      <c r="IRL1" t="s">
        <v>12092</v>
      </c>
      <c r="IRM1" t="s">
        <v>12093</v>
      </c>
      <c r="IRN1" t="s">
        <v>12094</v>
      </c>
      <c r="IRO1" t="s">
        <v>12095</v>
      </c>
      <c r="IRP1" t="s">
        <v>12096</v>
      </c>
      <c r="IRQ1" t="s">
        <v>12097</v>
      </c>
      <c r="IRR1" t="s">
        <v>12098</v>
      </c>
      <c r="IRS1" t="s">
        <v>12099</v>
      </c>
      <c r="IRT1" t="s">
        <v>12100</v>
      </c>
      <c r="IRU1" t="s">
        <v>12101</v>
      </c>
      <c r="IRV1" t="s">
        <v>12102</v>
      </c>
      <c r="IRW1" t="s">
        <v>12103</v>
      </c>
      <c r="IRX1" t="s">
        <v>12104</v>
      </c>
      <c r="IRY1" t="s">
        <v>12105</v>
      </c>
      <c r="IRZ1" t="s">
        <v>12106</v>
      </c>
      <c r="ISA1" t="s">
        <v>12107</v>
      </c>
      <c r="ISB1" t="s">
        <v>12108</v>
      </c>
      <c r="ISC1" t="s">
        <v>12109</v>
      </c>
      <c r="ISD1" t="s">
        <v>12110</v>
      </c>
      <c r="ISE1" t="s">
        <v>12111</v>
      </c>
      <c r="ISF1" t="s">
        <v>12112</v>
      </c>
      <c r="ISG1" t="s">
        <v>12113</v>
      </c>
      <c r="ISH1" t="s">
        <v>12114</v>
      </c>
      <c r="ISI1" t="s">
        <v>12115</v>
      </c>
      <c r="ISJ1" t="s">
        <v>12116</v>
      </c>
      <c r="ISK1" t="s">
        <v>12117</v>
      </c>
      <c r="ISL1" t="s">
        <v>12118</v>
      </c>
      <c r="ISM1" t="s">
        <v>12119</v>
      </c>
      <c r="ISN1" t="s">
        <v>12120</v>
      </c>
      <c r="ISO1" t="s">
        <v>12121</v>
      </c>
      <c r="ISP1" t="s">
        <v>12122</v>
      </c>
      <c r="ISQ1" t="s">
        <v>12123</v>
      </c>
      <c r="ISR1" t="s">
        <v>12124</v>
      </c>
      <c r="ISS1" t="s">
        <v>12125</v>
      </c>
      <c r="IST1" t="s">
        <v>12126</v>
      </c>
      <c r="ISU1" t="s">
        <v>12127</v>
      </c>
      <c r="ISV1" t="s">
        <v>12128</v>
      </c>
      <c r="ISW1" t="s">
        <v>12129</v>
      </c>
      <c r="ISX1" t="s">
        <v>12130</v>
      </c>
      <c r="ISY1" t="s">
        <v>12131</v>
      </c>
      <c r="ISZ1" t="s">
        <v>12132</v>
      </c>
      <c r="ITA1" t="s">
        <v>12133</v>
      </c>
      <c r="ITB1" t="s">
        <v>12134</v>
      </c>
      <c r="ITC1" t="s">
        <v>12135</v>
      </c>
      <c r="ITD1" t="s">
        <v>12136</v>
      </c>
      <c r="ITE1" t="s">
        <v>12137</v>
      </c>
      <c r="ITF1" t="s">
        <v>12138</v>
      </c>
      <c r="ITG1" t="s">
        <v>12139</v>
      </c>
      <c r="ITH1" t="s">
        <v>12140</v>
      </c>
      <c r="ITI1" t="s">
        <v>12141</v>
      </c>
      <c r="ITJ1" t="s">
        <v>12142</v>
      </c>
      <c r="ITK1" t="s">
        <v>12143</v>
      </c>
      <c r="ITL1" t="s">
        <v>12144</v>
      </c>
      <c r="ITM1" t="s">
        <v>12145</v>
      </c>
      <c r="ITN1" t="s">
        <v>12146</v>
      </c>
      <c r="ITO1" t="s">
        <v>12147</v>
      </c>
      <c r="ITP1" t="s">
        <v>12148</v>
      </c>
      <c r="ITQ1" t="s">
        <v>12149</v>
      </c>
      <c r="ITR1" t="s">
        <v>12150</v>
      </c>
      <c r="ITS1" t="s">
        <v>12151</v>
      </c>
      <c r="ITT1" t="s">
        <v>12152</v>
      </c>
      <c r="ITU1" t="s">
        <v>12153</v>
      </c>
      <c r="ITV1" t="s">
        <v>12154</v>
      </c>
      <c r="ITW1" t="s">
        <v>12155</v>
      </c>
      <c r="ITX1" t="s">
        <v>12156</v>
      </c>
      <c r="ITY1" t="s">
        <v>12157</v>
      </c>
      <c r="ITZ1" t="s">
        <v>12158</v>
      </c>
      <c r="IUA1" t="s">
        <v>12159</v>
      </c>
      <c r="IUB1" t="s">
        <v>12160</v>
      </c>
      <c r="IUC1" t="s">
        <v>12161</v>
      </c>
      <c r="IUD1" t="s">
        <v>12162</v>
      </c>
      <c r="IUE1" t="s">
        <v>12163</v>
      </c>
      <c r="IUF1" t="s">
        <v>12164</v>
      </c>
      <c r="IUG1" t="s">
        <v>12165</v>
      </c>
      <c r="IUH1" t="s">
        <v>12166</v>
      </c>
      <c r="IUI1" t="s">
        <v>12167</v>
      </c>
      <c r="IUJ1" t="s">
        <v>12168</v>
      </c>
      <c r="IUK1" t="s">
        <v>12169</v>
      </c>
      <c r="IUL1" t="s">
        <v>12170</v>
      </c>
      <c r="IUM1" t="s">
        <v>12171</v>
      </c>
      <c r="IUN1" t="s">
        <v>12172</v>
      </c>
      <c r="IUO1" t="s">
        <v>12173</v>
      </c>
      <c r="IUP1" t="s">
        <v>12174</v>
      </c>
      <c r="IUQ1" t="s">
        <v>12175</v>
      </c>
      <c r="IUR1" t="s">
        <v>12176</v>
      </c>
      <c r="IUS1" t="s">
        <v>12177</v>
      </c>
      <c r="IUT1" t="s">
        <v>12178</v>
      </c>
      <c r="IUU1" t="s">
        <v>12179</v>
      </c>
      <c r="IUV1" t="s">
        <v>12180</v>
      </c>
      <c r="IUW1" t="s">
        <v>12181</v>
      </c>
      <c r="IUX1" t="s">
        <v>12182</v>
      </c>
      <c r="IUY1" t="s">
        <v>12183</v>
      </c>
      <c r="IUZ1" t="s">
        <v>12184</v>
      </c>
      <c r="IVA1" t="s">
        <v>12185</v>
      </c>
      <c r="IVB1" t="s">
        <v>12186</v>
      </c>
      <c r="IVC1" t="s">
        <v>12187</v>
      </c>
      <c r="IVD1" t="s">
        <v>12188</v>
      </c>
      <c r="IVE1" t="s">
        <v>12189</v>
      </c>
      <c r="IVF1" t="s">
        <v>12190</v>
      </c>
      <c r="IVG1" t="s">
        <v>12191</v>
      </c>
      <c r="IVH1" t="s">
        <v>12192</v>
      </c>
      <c r="IVI1" t="s">
        <v>12193</v>
      </c>
      <c r="IVJ1" t="s">
        <v>12194</v>
      </c>
      <c r="IVK1" t="s">
        <v>12195</v>
      </c>
      <c r="IVL1" t="s">
        <v>12196</v>
      </c>
      <c r="IVM1" t="s">
        <v>12197</v>
      </c>
      <c r="IVN1" t="s">
        <v>12198</v>
      </c>
      <c r="IVO1" t="s">
        <v>12199</v>
      </c>
      <c r="IVP1" t="s">
        <v>12200</v>
      </c>
      <c r="IVQ1" t="s">
        <v>12201</v>
      </c>
      <c r="IVR1" t="s">
        <v>12202</v>
      </c>
      <c r="IVS1" t="s">
        <v>12203</v>
      </c>
      <c r="IVT1" t="s">
        <v>12204</v>
      </c>
      <c r="IVU1" t="s">
        <v>12205</v>
      </c>
      <c r="IVV1" t="s">
        <v>12206</v>
      </c>
      <c r="IVW1" t="s">
        <v>12207</v>
      </c>
      <c r="IVX1" t="s">
        <v>12208</v>
      </c>
      <c r="IVY1" t="s">
        <v>12209</v>
      </c>
      <c r="IVZ1" t="s">
        <v>12210</v>
      </c>
      <c r="IWA1" t="s">
        <v>12211</v>
      </c>
      <c r="IWB1" t="s">
        <v>12212</v>
      </c>
      <c r="IWC1" t="s">
        <v>12213</v>
      </c>
      <c r="IWD1" t="s">
        <v>12214</v>
      </c>
      <c r="IWE1" t="s">
        <v>12215</v>
      </c>
      <c r="IWF1" t="s">
        <v>12216</v>
      </c>
      <c r="IWG1" t="s">
        <v>12217</v>
      </c>
      <c r="IWH1" t="s">
        <v>12218</v>
      </c>
      <c r="IWI1" t="s">
        <v>12219</v>
      </c>
      <c r="IWJ1" t="s">
        <v>12220</v>
      </c>
      <c r="IWK1" t="s">
        <v>12221</v>
      </c>
      <c r="IWL1" t="s">
        <v>12222</v>
      </c>
      <c r="IWM1" t="s">
        <v>12223</v>
      </c>
      <c r="IWN1" t="s">
        <v>12224</v>
      </c>
      <c r="IWO1" t="s">
        <v>12225</v>
      </c>
      <c r="IWP1" t="s">
        <v>12226</v>
      </c>
      <c r="IWQ1" t="s">
        <v>12227</v>
      </c>
      <c r="IWR1" t="s">
        <v>12228</v>
      </c>
      <c r="IWS1" t="s">
        <v>12229</v>
      </c>
      <c r="IWT1" t="s">
        <v>12230</v>
      </c>
      <c r="IWU1" t="s">
        <v>12231</v>
      </c>
      <c r="IWV1" t="s">
        <v>12232</v>
      </c>
      <c r="IWW1" t="s">
        <v>12233</v>
      </c>
      <c r="IWX1" t="s">
        <v>12234</v>
      </c>
      <c r="IWY1" t="s">
        <v>12235</v>
      </c>
      <c r="IWZ1" t="s">
        <v>12236</v>
      </c>
      <c r="IXA1" t="s">
        <v>12237</v>
      </c>
      <c r="IXB1" t="s">
        <v>12238</v>
      </c>
      <c r="IXC1" t="s">
        <v>12239</v>
      </c>
      <c r="IXD1" t="s">
        <v>12240</v>
      </c>
      <c r="IXE1" t="s">
        <v>12241</v>
      </c>
      <c r="IXF1" t="s">
        <v>12242</v>
      </c>
      <c r="IXG1" t="s">
        <v>12243</v>
      </c>
      <c r="IXH1" t="s">
        <v>12244</v>
      </c>
      <c r="IXI1" t="s">
        <v>12245</v>
      </c>
      <c r="IXJ1" t="s">
        <v>12246</v>
      </c>
      <c r="IXK1" t="s">
        <v>12247</v>
      </c>
      <c r="IXL1" t="s">
        <v>12248</v>
      </c>
      <c r="IXM1" t="s">
        <v>12249</v>
      </c>
      <c r="IXN1" t="s">
        <v>12250</v>
      </c>
      <c r="IXO1" t="s">
        <v>12251</v>
      </c>
      <c r="IXP1" t="s">
        <v>12252</v>
      </c>
      <c r="IXQ1" t="s">
        <v>12253</v>
      </c>
      <c r="IXR1" t="s">
        <v>12254</v>
      </c>
      <c r="IXS1" t="s">
        <v>12255</v>
      </c>
      <c r="IXT1" t="s">
        <v>12256</v>
      </c>
      <c r="IXU1" t="s">
        <v>12257</v>
      </c>
      <c r="IXV1" t="s">
        <v>12258</v>
      </c>
      <c r="IXW1" t="s">
        <v>12259</v>
      </c>
      <c r="IXX1" t="s">
        <v>12260</v>
      </c>
      <c r="IXY1" t="s">
        <v>12261</v>
      </c>
      <c r="IXZ1" t="s">
        <v>12262</v>
      </c>
      <c r="IYA1" t="s">
        <v>12263</v>
      </c>
      <c r="IYB1" t="s">
        <v>12264</v>
      </c>
      <c r="IYC1" t="s">
        <v>12265</v>
      </c>
      <c r="IYD1" t="s">
        <v>12266</v>
      </c>
      <c r="IYE1" t="s">
        <v>12267</v>
      </c>
      <c r="IYF1" t="s">
        <v>12268</v>
      </c>
      <c r="IYG1" t="s">
        <v>12269</v>
      </c>
      <c r="IYH1" t="s">
        <v>12270</v>
      </c>
      <c r="IYI1" t="s">
        <v>12271</v>
      </c>
      <c r="IYJ1" t="s">
        <v>12272</v>
      </c>
      <c r="IYK1" t="s">
        <v>12273</v>
      </c>
      <c r="IYL1" t="s">
        <v>12274</v>
      </c>
      <c r="IYM1" t="s">
        <v>12275</v>
      </c>
      <c r="IYN1" t="s">
        <v>12276</v>
      </c>
      <c r="IYO1" t="s">
        <v>12277</v>
      </c>
      <c r="IYP1" t="s">
        <v>12278</v>
      </c>
      <c r="IYQ1" t="s">
        <v>12279</v>
      </c>
      <c r="IYR1" t="s">
        <v>12280</v>
      </c>
      <c r="IYS1" t="s">
        <v>12281</v>
      </c>
      <c r="IYT1" t="s">
        <v>12282</v>
      </c>
      <c r="IYU1" t="s">
        <v>12283</v>
      </c>
      <c r="IYV1" t="s">
        <v>12284</v>
      </c>
      <c r="IYW1" t="s">
        <v>12285</v>
      </c>
      <c r="IYX1" t="s">
        <v>12286</v>
      </c>
      <c r="IYY1" t="s">
        <v>12287</v>
      </c>
      <c r="IYZ1" t="s">
        <v>12288</v>
      </c>
      <c r="IZA1" t="s">
        <v>12289</v>
      </c>
      <c r="IZB1" t="s">
        <v>12290</v>
      </c>
      <c r="IZC1" t="s">
        <v>12291</v>
      </c>
      <c r="IZD1" t="s">
        <v>12292</v>
      </c>
      <c r="IZE1" t="s">
        <v>12293</v>
      </c>
      <c r="IZF1" t="s">
        <v>12294</v>
      </c>
      <c r="IZG1" t="s">
        <v>12295</v>
      </c>
      <c r="IZH1" t="s">
        <v>12296</v>
      </c>
      <c r="IZI1" t="s">
        <v>12297</v>
      </c>
      <c r="IZJ1" t="s">
        <v>12298</v>
      </c>
      <c r="IZK1" t="s">
        <v>12299</v>
      </c>
      <c r="IZL1" t="s">
        <v>12300</v>
      </c>
      <c r="IZM1" t="s">
        <v>12301</v>
      </c>
      <c r="IZN1" t="s">
        <v>12302</v>
      </c>
      <c r="IZO1" t="s">
        <v>12303</v>
      </c>
      <c r="IZP1" t="s">
        <v>12304</v>
      </c>
      <c r="IZQ1" t="s">
        <v>12305</v>
      </c>
      <c r="IZR1" t="s">
        <v>12306</v>
      </c>
      <c r="IZS1" t="s">
        <v>12307</v>
      </c>
      <c r="IZT1" t="s">
        <v>12308</v>
      </c>
      <c r="IZU1" t="s">
        <v>12309</v>
      </c>
      <c r="IZV1" t="s">
        <v>12310</v>
      </c>
      <c r="IZW1" t="s">
        <v>12311</v>
      </c>
      <c r="IZX1" t="s">
        <v>12312</v>
      </c>
      <c r="IZY1" t="s">
        <v>12313</v>
      </c>
      <c r="IZZ1" t="s">
        <v>12314</v>
      </c>
      <c r="JAA1" t="s">
        <v>12315</v>
      </c>
      <c r="JAB1" t="s">
        <v>12316</v>
      </c>
      <c r="JAC1" t="s">
        <v>12317</v>
      </c>
      <c r="JAD1" t="s">
        <v>12318</v>
      </c>
      <c r="JAE1" t="s">
        <v>12319</v>
      </c>
      <c r="JAF1" t="s">
        <v>12320</v>
      </c>
      <c r="JAG1" t="s">
        <v>12321</v>
      </c>
      <c r="JAH1" t="s">
        <v>12322</v>
      </c>
      <c r="JAI1" t="s">
        <v>12323</v>
      </c>
      <c r="JAJ1" t="s">
        <v>12324</v>
      </c>
      <c r="JAK1" t="s">
        <v>12325</v>
      </c>
      <c r="JAL1" t="s">
        <v>12326</v>
      </c>
      <c r="JAM1" t="s">
        <v>12327</v>
      </c>
      <c r="JAN1" t="s">
        <v>12328</v>
      </c>
      <c r="JAO1" t="s">
        <v>12329</v>
      </c>
      <c r="JAP1" t="s">
        <v>12330</v>
      </c>
      <c r="JAQ1" t="s">
        <v>12331</v>
      </c>
      <c r="JAR1" t="s">
        <v>12332</v>
      </c>
      <c r="JAS1" t="s">
        <v>12333</v>
      </c>
      <c r="JAT1" t="s">
        <v>12334</v>
      </c>
      <c r="JAU1" t="s">
        <v>12335</v>
      </c>
      <c r="JAV1" t="s">
        <v>12336</v>
      </c>
      <c r="JAW1" t="s">
        <v>12337</v>
      </c>
      <c r="JAX1" t="s">
        <v>12338</v>
      </c>
      <c r="JAY1" t="s">
        <v>12339</v>
      </c>
      <c r="JAZ1" t="s">
        <v>12340</v>
      </c>
      <c r="JBA1" t="s">
        <v>12341</v>
      </c>
      <c r="JBB1" t="s">
        <v>12342</v>
      </c>
      <c r="JBC1" t="s">
        <v>12343</v>
      </c>
      <c r="JBD1" t="s">
        <v>12344</v>
      </c>
      <c r="JBE1" t="s">
        <v>12345</v>
      </c>
      <c r="JBF1" t="s">
        <v>12346</v>
      </c>
      <c r="JBG1" t="s">
        <v>12347</v>
      </c>
      <c r="JBH1" t="s">
        <v>12348</v>
      </c>
      <c r="JBI1" t="s">
        <v>12349</v>
      </c>
      <c r="JBJ1" t="s">
        <v>12350</v>
      </c>
      <c r="JBK1" t="s">
        <v>12351</v>
      </c>
      <c r="JBL1" t="s">
        <v>12352</v>
      </c>
      <c r="JBM1" t="s">
        <v>12353</v>
      </c>
      <c r="JBN1" t="s">
        <v>12354</v>
      </c>
      <c r="JBO1" t="s">
        <v>12355</v>
      </c>
      <c r="JBP1" t="s">
        <v>12356</v>
      </c>
      <c r="JBQ1" t="s">
        <v>12357</v>
      </c>
      <c r="JBR1" t="s">
        <v>12358</v>
      </c>
      <c r="JBS1" t="s">
        <v>12359</v>
      </c>
      <c r="JBT1" t="s">
        <v>12360</v>
      </c>
      <c r="JBU1" t="s">
        <v>12361</v>
      </c>
      <c r="JBV1" t="s">
        <v>12362</v>
      </c>
      <c r="JBW1" t="s">
        <v>12363</v>
      </c>
      <c r="JBX1" t="s">
        <v>12364</v>
      </c>
      <c r="JBY1" t="s">
        <v>12365</v>
      </c>
      <c r="JBZ1" t="s">
        <v>12366</v>
      </c>
      <c r="JCA1" t="s">
        <v>12367</v>
      </c>
      <c r="JCB1" t="s">
        <v>12368</v>
      </c>
      <c r="JCC1" t="s">
        <v>12369</v>
      </c>
      <c r="JCD1" t="s">
        <v>12370</v>
      </c>
      <c r="JCE1" t="s">
        <v>12371</v>
      </c>
      <c r="JCF1" t="s">
        <v>12372</v>
      </c>
      <c r="JCG1" t="s">
        <v>12373</v>
      </c>
      <c r="JCH1" t="s">
        <v>12374</v>
      </c>
      <c r="JCI1" t="s">
        <v>12375</v>
      </c>
      <c r="JCJ1" t="s">
        <v>12376</v>
      </c>
      <c r="JCK1" t="s">
        <v>12377</v>
      </c>
      <c r="JCL1" t="s">
        <v>12378</v>
      </c>
      <c r="JCM1" t="s">
        <v>12379</v>
      </c>
      <c r="JCN1" t="s">
        <v>12380</v>
      </c>
      <c r="JCO1" t="s">
        <v>12381</v>
      </c>
      <c r="JCP1" t="s">
        <v>12382</v>
      </c>
      <c r="JCQ1" t="s">
        <v>12383</v>
      </c>
      <c r="JCR1" t="s">
        <v>12384</v>
      </c>
      <c r="JCS1" t="s">
        <v>12385</v>
      </c>
      <c r="JCT1" t="s">
        <v>12386</v>
      </c>
      <c r="JCU1" t="s">
        <v>12387</v>
      </c>
      <c r="JCV1" t="s">
        <v>12388</v>
      </c>
      <c r="JCW1" t="s">
        <v>12389</v>
      </c>
      <c r="JCX1" t="s">
        <v>12390</v>
      </c>
      <c r="JCY1" t="s">
        <v>12391</v>
      </c>
      <c r="JCZ1" t="s">
        <v>12392</v>
      </c>
      <c r="JDA1" t="s">
        <v>12393</v>
      </c>
      <c r="JDB1" t="s">
        <v>12394</v>
      </c>
      <c r="JDC1" t="s">
        <v>12395</v>
      </c>
      <c r="JDD1" t="s">
        <v>12396</v>
      </c>
      <c r="JDE1" t="s">
        <v>12397</v>
      </c>
      <c r="JDF1" t="s">
        <v>12398</v>
      </c>
      <c r="JDG1" t="s">
        <v>12399</v>
      </c>
      <c r="JDH1" t="s">
        <v>12400</v>
      </c>
      <c r="JDI1" t="s">
        <v>12401</v>
      </c>
      <c r="JDJ1" t="s">
        <v>12402</v>
      </c>
      <c r="JDK1" t="s">
        <v>12403</v>
      </c>
      <c r="JDL1" t="s">
        <v>12404</v>
      </c>
      <c r="JDM1" t="s">
        <v>12405</v>
      </c>
      <c r="JDN1" t="s">
        <v>12406</v>
      </c>
      <c r="JDO1" t="s">
        <v>12407</v>
      </c>
      <c r="JDP1" t="s">
        <v>12408</v>
      </c>
      <c r="JDQ1" t="s">
        <v>12409</v>
      </c>
      <c r="JDR1" t="s">
        <v>12410</v>
      </c>
      <c r="JDS1" t="s">
        <v>12411</v>
      </c>
      <c r="JDT1" t="s">
        <v>12412</v>
      </c>
      <c r="JDU1" t="s">
        <v>12413</v>
      </c>
      <c r="JDV1" t="s">
        <v>12414</v>
      </c>
      <c r="JDW1" t="s">
        <v>12415</v>
      </c>
      <c r="JDX1" t="s">
        <v>12416</v>
      </c>
      <c r="JDY1" t="s">
        <v>12417</v>
      </c>
      <c r="JDZ1" t="s">
        <v>12418</v>
      </c>
      <c r="JEA1" t="s">
        <v>12419</v>
      </c>
      <c r="JEB1" t="s">
        <v>12420</v>
      </c>
      <c r="JEC1" t="s">
        <v>12421</v>
      </c>
      <c r="JED1" t="s">
        <v>12422</v>
      </c>
      <c r="JEE1" t="s">
        <v>12423</v>
      </c>
      <c r="JEF1" t="s">
        <v>12424</v>
      </c>
      <c r="JEG1" t="s">
        <v>12425</v>
      </c>
      <c r="JEH1" t="s">
        <v>12426</v>
      </c>
      <c r="JEI1" t="s">
        <v>12427</v>
      </c>
      <c r="JEJ1" t="s">
        <v>12428</v>
      </c>
      <c r="JEK1" t="s">
        <v>12429</v>
      </c>
      <c r="JEL1" t="s">
        <v>12430</v>
      </c>
      <c r="JEM1" t="s">
        <v>12431</v>
      </c>
      <c r="JEN1" t="s">
        <v>12432</v>
      </c>
      <c r="JEO1" t="s">
        <v>12433</v>
      </c>
      <c r="JEP1" t="s">
        <v>12434</v>
      </c>
      <c r="JEQ1" t="s">
        <v>12435</v>
      </c>
      <c r="JER1" t="s">
        <v>12436</v>
      </c>
      <c r="JES1" t="s">
        <v>12437</v>
      </c>
      <c r="JET1" t="s">
        <v>12438</v>
      </c>
      <c r="JEU1" t="s">
        <v>12439</v>
      </c>
      <c r="JEV1" t="s">
        <v>12440</v>
      </c>
      <c r="JEW1" t="s">
        <v>12441</v>
      </c>
      <c r="JEX1" t="s">
        <v>12442</v>
      </c>
      <c r="JEY1" t="s">
        <v>12443</v>
      </c>
      <c r="JEZ1" t="s">
        <v>12444</v>
      </c>
      <c r="JFA1" t="s">
        <v>12445</v>
      </c>
      <c r="JFB1" t="s">
        <v>12446</v>
      </c>
      <c r="JFC1" t="s">
        <v>12447</v>
      </c>
      <c r="JFD1" t="s">
        <v>12448</v>
      </c>
      <c r="JFE1" t="s">
        <v>12449</v>
      </c>
      <c r="JFF1" t="s">
        <v>12450</v>
      </c>
      <c r="JFG1" t="s">
        <v>12451</v>
      </c>
      <c r="JFH1" t="s">
        <v>12452</v>
      </c>
      <c r="JFI1" t="s">
        <v>12453</v>
      </c>
      <c r="JFJ1" t="s">
        <v>12454</v>
      </c>
      <c r="JFK1" t="s">
        <v>12455</v>
      </c>
      <c r="JFL1" t="s">
        <v>12456</v>
      </c>
      <c r="JFM1" t="s">
        <v>12457</v>
      </c>
      <c r="JFN1" t="s">
        <v>12458</v>
      </c>
      <c r="JFO1" t="s">
        <v>12459</v>
      </c>
      <c r="JFP1" t="s">
        <v>12460</v>
      </c>
      <c r="JFQ1" t="s">
        <v>12461</v>
      </c>
      <c r="JFR1" t="s">
        <v>12462</v>
      </c>
      <c r="JFS1" t="s">
        <v>12463</v>
      </c>
      <c r="JFT1" t="s">
        <v>12464</v>
      </c>
      <c r="JFU1" t="s">
        <v>12465</v>
      </c>
      <c r="JFV1" t="s">
        <v>12466</v>
      </c>
      <c r="JFW1" t="s">
        <v>12467</v>
      </c>
      <c r="JFX1" t="s">
        <v>12468</v>
      </c>
      <c r="JFY1" t="s">
        <v>12469</v>
      </c>
      <c r="JFZ1" t="s">
        <v>12470</v>
      </c>
      <c r="JGA1" t="s">
        <v>12471</v>
      </c>
      <c r="JGB1" t="s">
        <v>12472</v>
      </c>
      <c r="JGC1" t="s">
        <v>12473</v>
      </c>
      <c r="JGD1" t="s">
        <v>12474</v>
      </c>
      <c r="JGE1" t="s">
        <v>12475</v>
      </c>
      <c r="JGF1" t="s">
        <v>12476</v>
      </c>
      <c r="JGG1" t="s">
        <v>12477</v>
      </c>
      <c r="JGH1" t="s">
        <v>12478</v>
      </c>
      <c r="JGI1" t="s">
        <v>12479</v>
      </c>
      <c r="JGJ1" t="s">
        <v>12480</v>
      </c>
      <c r="JGK1" t="s">
        <v>12481</v>
      </c>
      <c r="JGL1" t="s">
        <v>12482</v>
      </c>
      <c r="JGM1" t="s">
        <v>12483</v>
      </c>
      <c r="JGN1" t="s">
        <v>12484</v>
      </c>
      <c r="JGO1" t="s">
        <v>12485</v>
      </c>
      <c r="JGP1" t="s">
        <v>12486</v>
      </c>
      <c r="JGQ1" t="s">
        <v>12487</v>
      </c>
      <c r="JGR1" t="s">
        <v>12488</v>
      </c>
      <c r="JGS1" t="s">
        <v>12489</v>
      </c>
      <c r="JGT1" t="s">
        <v>12490</v>
      </c>
      <c r="JGU1" t="s">
        <v>12491</v>
      </c>
      <c r="JGV1" t="s">
        <v>12492</v>
      </c>
      <c r="JGW1" t="s">
        <v>12493</v>
      </c>
      <c r="JGX1" t="s">
        <v>12494</v>
      </c>
      <c r="JGY1" t="s">
        <v>12495</v>
      </c>
      <c r="JGZ1" t="s">
        <v>12496</v>
      </c>
      <c r="JHA1" t="s">
        <v>12497</v>
      </c>
      <c r="JHB1" t="s">
        <v>12498</v>
      </c>
      <c r="JHC1" t="s">
        <v>12499</v>
      </c>
      <c r="JHD1" t="s">
        <v>12500</v>
      </c>
      <c r="JHE1" t="s">
        <v>12501</v>
      </c>
      <c r="JHF1" t="s">
        <v>12502</v>
      </c>
      <c r="JHG1" t="s">
        <v>12503</v>
      </c>
      <c r="JHH1" t="s">
        <v>12504</v>
      </c>
      <c r="JHI1" t="s">
        <v>12505</v>
      </c>
      <c r="JHJ1" t="s">
        <v>12506</v>
      </c>
      <c r="JHK1" t="s">
        <v>12507</v>
      </c>
      <c r="JHL1" t="s">
        <v>12508</v>
      </c>
      <c r="JHM1" t="s">
        <v>12509</v>
      </c>
      <c r="JHN1" t="s">
        <v>12510</v>
      </c>
      <c r="JHO1" t="s">
        <v>12511</v>
      </c>
      <c r="JHP1" t="s">
        <v>12512</v>
      </c>
      <c r="JHQ1" t="s">
        <v>12513</v>
      </c>
      <c r="JHR1" t="s">
        <v>12514</v>
      </c>
      <c r="JHS1" t="s">
        <v>12515</v>
      </c>
      <c r="JHT1" t="s">
        <v>12516</v>
      </c>
      <c r="JHU1" t="s">
        <v>12517</v>
      </c>
      <c r="JHV1" t="s">
        <v>12518</v>
      </c>
      <c r="JHW1" t="s">
        <v>12519</v>
      </c>
      <c r="JHX1" t="s">
        <v>12520</v>
      </c>
      <c r="JHY1" t="s">
        <v>12521</v>
      </c>
      <c r="JHZ1" t="s">
        <v>12522</v>
      </c>
      <c r="JIA1" t="s">
        <v>12523</v>
      </c>
      <c r="JIB1" t="s">
        <v>12524</v>
      </c>
      <c r="JIC1" t="s">
        <v>12525</v>
      </c>
      <c r="JID1" t="s">
        <v>12526</v>
      </c>
      <c r="JIE1" t="s">
        <v>12527</v>
      </c>
      <c r="JIF1" t="s">
        <v>12528</v>
      </c>
      <c r="JIG1" t="s">
        <v>12529</v>
      </c>
      <c r="JIH1" t="s">
        <v>12530</v>
      </c>
      <c r="JII1" t="s">
        <v>12531</v>
      </c>
      <c r="JIJ1" t="s">
        <v>12532</v>
      </c>
      <c r="JIK1" t="s">
        <v>12533</v>
      </c>
      <c r="JIL1" t="s">
        <v>12534</v>
      </c>
      <c r="JIM1" t="s">
        <v>12535</v>
      </c>
      <c r="JIN1" t="s">
        <v>12536</v>
      </c>
      <c r="JIO1" t="s">
        <v>12537</v>
      </c>
      <c r="JIP1" t="s">
        <v>12538</v>
      </c>
      <c r="JIQ1" t="s">
        <v>12539</v>
      </c>
      <c r="JIR1" t="s">
        <v>12540</v>
      </c>
      <c r="JIS1" t="s">
        <v>12541</v>
      </c>
      <c r="JIT1" t="s">
        <v>12542</v>
      </c>
      <c r="JIU1" t="s">
        <v>12543</v>
      </c>
      <c r="JIV1" t="s">
        <v>12544</v>
      </c>
      <c r="JIW1" t="s">
        <v>12545</v>
      </c>
      <c r="JIX1" t="s">
        <v>12546</v>
      </c>
      <c r="JIY1" t="s">
        <v>12547</v>
      </c>
      <c r="JIZ1" t="s">
        <v>12548</v>
      </c>
      <c r="JJA1" t="s">
        <v>12549</v>
      </c>
      <c r="JJB1" t="s">
        <v>12550</v>
      </c>
      <c r="JJC1" t="s">
        <v>12551</v>
      </c>
      <c r="JJD1" t="s">
        <v>12552</v>
      </c>
      <c r="JJE1" t="s">
        <v>12553</v>
      </c>
      <c r="JJF1" t="s">
        <v>12554</v>
      </c>
      <c r="JJG1" t="s">
        <v>12555</v>
      </c>
      <c r="JJH1" t="s">
        <v>12556</v>
      </c>
      <c r="JJI1" t="s">
        <v>12557</v>
      </c>
      <c r="JJJ1" t="s">
        <v>12558</v>
      </c>
      <c r="JJK1" t="s">
        <v>12559</v>
      </c>
      <c r="JJL1" t="s">
        <v>12560</v>
      </c>
      <c r="JJM1" t="s">
        <v>12561</v>
      </c>
      <c r="JJN1" t="s">
        <v>12562</v>
      </c>
      <c r="JJO1" t="s">
        <v>12563</v>
      </c>
      <c r="JJP1" t="s">
        <v>12564</v>
      </c>
      <c r="JJQ1" t="s">
        <v>12565</v>
      </c>
      <c r="JJR1" t="s">
        <v>12566</v>
      </c>
      <c r="JJS1" t="s">
        <v>12567</v>
      </c>
      <c r="JJT1" t="s">
        <v>12568</v>
      </c>
      <c r="JJU1" t="s">
        <v>12569</v>
      </c>
      <c r="JJV1" t="s">
        <v>12570</v>
      </c>
      <c r="JJW1" t="s">
        <v>12571</v>
      </c>
      <c r="JJX1" t="s">
        <v>12572</v>
      </c>
      <c r="JJY1" t="s">
        <v>12573</v>
      </c>
      <c r="JJZ1" t="s">
        <v>12574</v>
      </c>
      <c r="JKA1" t="s">
        <v>12575</v>
      </c>
      <c r="JKB1" t="s">
        <v>12576</v>
      </c>
      <c r="JKC1" t="s">
        <v>12577</v>
      </c>
      <c r="JKD1" t="s">
        <v>12578</v>
      </c>
      <c r="JKE1" t="s">
        <v>12579</v>
      </c>
      <c r="JKF1" t="s">
        <v>12580</v>
      </c>
      <c r="JKG1" t="s">
        <v>12581</v>
      </c>
      <c r="JKH1" t="s">
        <v>12582</v>
      </c>
      <c r="JKI1" t="s">
        <v>12583</v>
      </c>
      <c r="JKJ1" t="s">
        <v>12584</v>
      </c>
      <c r="JKK1" t="s">
        <v>12585</v>
      </c>
      <c r="JKL1" t="s">
        <v>12586</v>
      </c>
      <c r="JKM1" t="s">
        <v>12587</v>
      </c>
      <c r="JKN1" t="s">
        <v>12588</v>
      </c>
      <c r="JKO1" t="s">
        <v>12589</v>
      </c>
      <c r="JKP1" t="s">
        <v>12590</v>
      </c>
      <c r="JKQ1" t="s">
        <v>12591</v>
      </c>
      <c r="JKR1" t="s">
        <v>12592</v>
      </c>
      <c r="JKS1" t="s">
        <v>12593</v>
      </c>
      <c r="JKT1" t="s">
        <v>12594</v>
      </c>
      <c r="JKU1" t="s">
        <v>12595</v>
      </c>
      <c r="JKV1" t="s">
        <v>12596</v>
      </c>
      <c r="JKW1" t="s">
        <v>12597</v>
      </c>
      <c r="JKX1" t="s">
        <v>12598</v>
      </c>
      <c r="JKY1" t="s">
        <v>12599</v>
      </c>
      <c r="JKZ1" t="s">
        <v>12600</v>
      </c>
      <c r="JLA1" t="s">
        <v>12601</v>
      </c>
      <c r="JLB1" t="s">
        <v>12602</v>
      </c>
      <c r="JLC1" t="s">
        <v>12603</v>
      </c>
      <c r="JLD1" t="s">
        <v>12604</v>
      </c>
      <c r="JLE1" t="s">
        <v>12605</v>
      </c>
      <c r="JLF1" t="s">
        <v>12606</v>
      </c>
      <c r="JLG1" t="s">
        <v>12607</v>
      </c>
      <c r="JLH1" t="s">
        <v>12608</v>
      </c>
      <c r="JLI1" t="s">
        <v>12609</v>
      </c>
      <c r="JLJ1" t="s">
        <v>12610</v>
      </c>
      <c r="JLK1" t="s">
        <v>12611</v>
      </c>
      <c r="JLL1" t="s">
        <v>12612</v>
      </c>
      <c r="JLM1" t="s">
        <v>12613</v>
      </c>
      <c r="JLN1" t="s">
        <v>12614</v>
      </c>
      <c r="JLO1" t="s">
        <v>12615</v>
      </c>
      <c r="JLP1" t="s">
        <v>12616</v>
      </c>
      <c r="JLQ1" t="s">
        <v>12617</v>
      </c>
      <c r="JLR1" t="s">
        <v>12618</v>
      </c>
      <c r="JLS1" t="s">
        <v>12619</v>
      </c>
      <c r="JLT1" t="s">
        <v>12620</v>
      </c>
      <c r="JLU1" t="s">
        <v>12621</v>
      </c>
      <c r="JLV1" t="s">
        <v>12622</v>
      </c>
      <c r="JLW1" t="s">
        <v>12623</v>
      </c>
      <c r="JLX1" t="s">
        <v>12624</v>
      </c>
      <c r="JLY1" t="s">
        <v>12625</v>
      </c>
      <c r="JLZ1" t="s">
        <v>12626</v>
      </c>
      <c r="JMA1" t="s">
        <v>12627</v>
      </c>
      <c r="JMB1" t="s">
        <v>12628</v>
      </c>
      <c r="JMC1" t="s">
        <v>12629</v>
      </c>
      <c r="JMD1" t="s">
        <v>12630</v>
      </c>
      <c r="JME1" t="s">
        <v>12631</v>
      </c>
      <c r="JMF1" t="s">
        <v>12632</v>
      </c>
      <c r="JMG1" t="s">
        <v>12633</v>
      </c>
      <c r="JMH1" t="s">
        <v>12634</v>
      </c>
      <c r="JMI1" t="s">
        <v>12635</v>
      </c>
      <c r="JMJ1" t="s">
        <v>12636</v>
      </c>
      <c r="JMK1" t="s">
        <v>12637</v>
      </c>
      <c r="JML1" t="s">
        <v>12638</v>
      </c>
      <c r="JMM1" t="s">
        <v>12639</v>
      </c>
      <c r="JMN1" t="s">
        <v>12640</v>
      </c>
      <c r="JMO1" t="s">
        <v>12641</v>
      </c>
      <c r="JMP1" t="s">
        <v>12642</v>
      </c>
      <c r="JMQ1" t="s">
        <v>12643</v>
      </c>
      <c r="JMR1" t="s">
        <v>12644</v>
      </c>
      <c r="JMS1" t="s">
        <v>12645</v>
      </c>
      <c r="JMT1" t="s">
        <v>12646</v>
      </c>
      <c r="JMU1" t="s">
        <v>12647</v>
      </c>
      <c r="JMV1" t="s">
        <v>12648</v>
      </c>
      <c r="JMW1" t="s">
        <v>12649</v>
      </c>
      <c r="JMX1" t="s">
        <v>12650</v>
      </c>
      <c r="JMY1" t="s">
        <v>12651</v>
      </c>
      <c r="JMZ1" t="s">
        <v>12652</v>
      </c>
      <c r="JNA1" t="s">
        <v>12653</v>
      </c>
      <c r="JNB1" t="s">
        <v>12654</v>
      </c>
      <c r="JNC1" t="s">
        <v>12655</v>
      </c>
      <c r="JND1" t="s">
        <v>12656</v>
      </c>
      <c r="JNE1" t="s">
        <v>12657</v>
      </c>
      <c r="JNF1" t="s">
        <v>12658</v>
      </c>
      <c r="JNG1" t="s">
        <v>12659</v>
      </c>
      <c r="JNH1" t="s">
        <v>12660</v>
      </c>
      <c r="JNI1" t="s">
        <v>12661</v>
      </c>
      <c r="JNJ1" t="s">
        <v>12662</v>
      </c>
      <c r="JNK1" t="s">
        <v>12663</v>
      </c>
      <c r="JNL1" t="s">
        <v>12664</v>
      </c>
      <c r="JNM1" t="s">
        <v>12665</v>
      </c>
      <c r="JNN1" t="s">
        <v>12666</v>
      </c>
      <c r="JNO1" t="s">
        <v>12667</v>
      </c>
      <c r="JNP1" t="s">
        <v>12668</v>
      </c>
      <c r="JNQ1" t="s">
        <v>12669</v>
      </c>
      <c r="JNR1" t="s">
        <v>12670</v>
      </c>
      <c r="JNS1" t="s">
        <v>12671</v>
      </c>
      <c r="JNT1" t="s">
        <v>12672</v>
      </c>
      <c r="JNU1" t="s">
        <v>12673</v>
      </c>
      <c r="JNV1" t="s">
        <v>12674</v>
      </c>
      <c r="JNW1" t="s">
        <v>12675</v>
      </c>
      <c r="JNX1" t="s">
        <v>12676</v>
      </c>
      <c r="JNY1" t="s">
        <v>12677</v>
      </c>
      <c r="JNZ1" t="s">
        <v>12678</v>
      </c>
      <c r="JOA1" t="s">
        <v>12679</v>
      </c>
      <c r="JOB1" t="s">
        <v>12680</v>
      </c>
      <c r="JOC1" t="s">
        <v>12681</v>
      </c>
      <c r="JOD1" t="s">
        <v>12682</v>
      </c>
      <c r="JOE1" t="s">
        <v>12683</v>
      </c>
      <c r="JOF1" t="s">
        <v>12684</v>
      </c>
      <c r="JOG1" t="s">
        <v>12685</v>
      </c>
      <c r="JOH1" t="s">
        <v>12686</v>
      </c>
      <c r="JOI1" t="s">
        <v>12687</v>
      </c>
      <c r="JOJ1" t="s">
        <v>12688</v>
      </c>
      <c r="JOK1" t="s">
        <v>12689</v>
      </c>
      <c r="JOL1" t="s">
        <v>12690</v>
      </c>
      <c r="JOM1" t="s">
        <v>12691</v>
      </c>
      <c r="JON1" t="s">
        <v>12692</v>
      </c>
      <c r="JOO1" t="s">
        <v>12693</v>
      </c>
      <c r="JOP1" t="s">
        <v>12694</v>
      </c>
      <c r="JOQ1" t="s">
        <v>12695</v>
      </c>
      <c r="JOR1" t="s">
        <v>12696</v>
      </c>
      <c r="JOS1" t="s">
        <v>12697</v>
      </c>
      <c r="JOT1" t="s">
        <v>12698</v>
      </c>
      <c r="JOU1" t="s">
        <v>12699</v>
      </c>
      <c r="JOV1" t="s">
        <v>12700</v>
      </c>
      <c r="JOW1" t="s">
        <v>12701</v>
      </c>
      <c r="JOX1" t="s">
        <v>12702</v>
      </c>
      <c r="JOY1" t="s">
        <v>12703</v>
      </c>
      <c r="JOZ1" t="s">
        <v>12704</v>
      </c>
      <c r="JPA1" t="s">
        <v>12705</v>
      </c>
      <c r="JPB1" t="s">
        <v>12706</v>
      </c>
      <c r="JPC1" t="s">
        <v>12707</v>
      </c>
      <c r="JPD1" t="s">
        <v>12708</v>
      </c>
      <c r="JPE1" t="s">
        <v>12709</v>
      </c>
      <c r="JPF1" t="s">
        <v>12710</v>
      </c>
      <c r="JPG1" t="s">
        <v>12711</v>
      </c>
      <c r="JPH1" t="s">
        <v>12712</v>
      </c>
      <c r="JPI1" t="s">
        <v>12713</v>
      </c>
      <c r="JPJ1" t="s">
        <v>12714</v>
      </c>
      <c r="JPK1" t="s">
        <v>12715</v>
      </c>
      <c r="JPL1" t="s">
        <v>12716</v>
      </c>
      <c r="JPM1" t="s">
        <v>12717</v>
      </c>
      <c r="JPN1" t="s">
        <v>12718</v>
      </c>
      <c r="JPO1" t="s">
        <v>12719</v>
      </c>
      <c r="JPP1" t="s">
        <v>12720</v>
      </c>
      <c r="JPQ1" t="s">
        <v>12721</v>
      </c>
      <c r="JPR1" t="s">
        <v>12722</v>
      </c>
      <c r="JPS1" t="s">
        <v>12723</v>
      </c>
      <c r="JPT1" t="s">
        <v>12724</v>
      </c>
      <c r="JPU1" t="s">
        <v>12725</v>
      </c>
      <c r="JPV1" t="s">
        <v>12726</v>
      </c>
      <c r="JPW1" t="s">
        <v>12727</v>
      </c>
      <c r="JPX1" t="s">
        <v>12728</v>
      </c>
      <c r="JPY1" t="s">
        <v>12729</v>
      </c>
      <c r="JPZ1" t="s">
        <v>12730</v>
      </c>
      <c r="JQA1" t="s">
        <v>12731</v>
      </c>
      <c r="JQB1" t="s">
        <v>12732</v>
      </c>
      <c r="JQC1" t="s">
        <v>12733</v>
      </c>
      <c r="JQD1" t="s">
        <v>12734</v>
      </c>
      <c r="JQE1" t="s">
        <v>12735</v>
      </c>
      <c r="JQF1" t="s">
        <v>12736</v>
      </c>
      <c r="JQG1" t="s">
        <v>12737</v>
      </c>
      <c r="JQH1" t="s">
        <v>12738</v>
      </c>
      <c r="JQI1" t="s">
        <v>12739</v>
      </c>
      <c r="JQJ1" t="s">
        <v>12740</v>
      </c>
      <c r="JQK1" t="s">
        <v>12741</v>
      </c>
      <c r="JQL1" t="s">
        <v>12742</v>
      </c>
      <c r="JQM1" t="s">
        <v>12743</v>
      </c>
      <c r="JQN1" t="s">
        <v>12744</v>
      </c>
      <c r="JQO1" t="s">
        <v>12745</v>
      </c>
      <c r="JQP1" t="s">
        <v>12746</v>
      </c>
      <c r="JQQ1" t="s">
        <v>12747</v>
      </c>
      <c r="JQR1" t="s">
        <v>12748</v>
      </c>
      <c r="JQS1" t="s">
        <v>12749</v>
      </c>
      <c r="JQT1" t="s">
        <v>12750</v>
      </c>
      <c r="JQU1" t="s">
        <v>12751</v>
      </c>
      <c r="JQV1" t="s">
        <v>12752</v>
      </c>
      <c r="JQW1" t="s">
        <v>12753</v>
      </c>
      <c r="JQX1" t="s">
        <v>12754</v>
      </c>
      <c r="JQY1" t="s">
        <v>12755</v>
      </c>
      <c r="JQZ1" t="s">
        <v>12756</v>
      </c>
      <c r="JRA1" t="s">
        <v>12757</v>
      </c>
      <c r="JRB1" t="s">
        <v>12758</v>
      </c>
      <c r="JRC1" t="s">
        <v>12759</v>
      </c>
      <c r="JRD1" t="s">
        <v>12760</v>
      </c>
      <c r="JRE1" t="s">
        <v>12761</v>
      </c>
      <c r="JRF1" t="s">
        <v>12762</v>
      </c>
      <c r="JRG1" t="s">
        <v>12763</v>
      </c>
      <c r="JRH1" t="s">
        <v>12764</v>
      </c>
      <c r="JRI1" t="s">
        <v>12765</v>
      </c>
      <c r="JRJ1" t="s">
        <v>12766</v>
      </c>
      <c r="JRK1" t="s">
        <v>12767</v>
      </c>
      <c r="JRL1" t="s">
        <v>12768</v>
      </c>
      <c r="JRM1" t="s">
        <v>12769</v>
      </c>
      <c r="JRN1" t="s">
        <v>12770</v>
      </c>
      <c r="JRO1" t="s">
        <v>12771</v>
      </c>
      <c r="JRP1" t="s">
        <v>12772</v>
      </c>
      <c r="JRQ1" t="s">
        <v>12773</v>
      </c>
      <c r="JRR1" t="s">
        <v>12774</v>
      </c>
      <c r="JRS1" t="s">
        <v>12775</v>
      </c>
      <c r="JRT1" t="s">
        <v>12776</v>
      </c>
      <c r="JRU1" t="s">
        <v>12777</v>
      </c>
      <c r="JRV1" t="s">
        <v>12778</v>
      </c>
      <c r="JRW1" t="s">
        <v>12779</v>
      </c>
      <c r="JRX1" t="s">
        <v>12780</v>
      </c>
      <c r="JRY1" t="s">
        <v>12781</v>
      </c>
      <c r="JRZ1" t="s">
        <v>12782</v>
      </c>
      <c r="JSA1" t="s">
        <v>12783</v>
      </c>
      <c r="JSB1" t="s">
        <v>12784</v>
      </c>
      <c r="JSC1" t="s">
        <v>12785</v>
      </c>
      <c r="JSD1" t="s">
        <v>12786</v>
      </c>
      <c r="JSE1" t="s">
        <v>12787</v>
      </c>
      <c r="JSF1" t="s">
        <v>12788</v>
      </c>
      <c r="JSG1" t="s">
        <v>12789</v>
      </c>
      <c r="JSH1" t="s">
        <v>12790</v>
      </c>
      <c r="JSI1" t="s">
        <v>12791</v>
      </c>
      <c r="JSJ1" t="s">
        <v>12792</v>
      </c>
      <c r="JSK1" t="s">
        <v>12793</v>
      </c>
      <c r="JSL1" t="s">
        <v>12794</v>
      </c>
      <c r="JSM1" t="s">
        <v>12795</v>
      </c>
      <c r="JSN1" t="s">
        <v>12796</v>
      </c>
      <c r="JSO1" t="s">
        <v>12797</v>
      </c>
      <c r="JSP1" t="s">
        <v>12798</v>
      </c>
      <c r="JSQ1" t="s">
        <v>12799</v>
      </c>
      <c r="JSR1" t="s">
        <v>12800</v>
      </c>
      <c r="JSS1" t="s">
        <v>12801</v>
      </c>
      <c r="JST1" t="s">
        <v>12802</v>
      </c>
      <c r="JSU1" t="s">
        <v>12803</v>
      </c>
      <c r="JSV1" t="s">
        <v>12804</v>
      </c>
      <c r="JSW1" t="s">
        <v>12805</v>
      </c>
      <c r="JSX1" t="s">
        <v>12806</v>
      </c>
      <c r="JSY1" t="s">
        <v>12807</v>
      </c>
      <c r="JSZ1" t="s">
        <v>12808</v>
      </c>
      <c r="JTA1" t="s">
        <v>12809</v>
      </c>
      <c r="JTB1" t="s">
        <v>12810</v>
      </c>
      <c r="JTC1" t="s">
        <v>12811</v>
      </c>
      <c r="JTD1" t="s">
        <v>12812</v>
      </c>
      <c r="JTE1" t="s">
        <v>12813</v>
      </c>
      <c r="JTF1" t="s">
        <v>12814</v>
      </c>
      <c r="JTG1" t="s">
        <v>12815</v>
      </c>
      <c r="JTH1" t="s">
        <v>12816</v>
      </c>
      <c r="JTI1" t="s">
        <v>12817</v>
      </c>
      <c r="JTJ1" t="s">
        <v>12818</v>
      </c>
      <c r="JTK1" t="s">
        <v>12819</v>
      </c>
      <c r="JTL1" t="s">
        <v>12820</v>
      </c>
      <c r="JTM1" t="s">
        <v>12821</v>
      </c>
      <c r="JTN1" t="s">
        <v>12822</v>
      </c>
      <c r="JTO1" t="s">
        <v>12823</v>
      </c>
      <c r="JTP1" t="s">
        <v>12824</v>
      </c>
      <c r="JTQ1" t="s">
        <v>12825</v>
      </c>
      <c r="JTR1" t="s">
        <v>12826</v>
      </c>
      <c r="JTS1" t="s">
        <v>12827</v>
      </c>
      <c r="JTT1" t="s">
        <v>12828</v>
      </c>
      <c r="JTU1" t="s">
        <v>12829</v>
      </c>
      <c r="JTV1" t="s">
        <v>12830</v>
      </c>
      <c r="JTW1" t="s">
        <v>12831</v>
      </c>
      <c r="JTX1" t="s">
        <v>12832</v>
      </c>
      <c r="JTY1" t="s">
        <v>12833</v>
      </c>
      <c r="JTZ1" t="s">
        <v>12834</v>
      </c>
      <c r="JUA1" t="s">
        <v>12835</v>
      </c>
      <c r="JUB1" t="s">
        <v>12836</v>
      </c>
      <c r="JUC1" t="s">
        <v>12837</v>
      </c>
      <c r="JUD1" t="s">
        <v>12838</v>
      </c>
      <c r="JUE1" t="s">
        <v>12839</v>
      </c>
      <c r="JUF1" t="s">
        <v>12840</v>
      </c>
      <c r="JUG1" t="s">
        <v>12841</v>
      </c>
      <c r="JUH1" t="s">
        <v>12842</v>
      </c>
      <c r="JUI1" t="s">
        <v>12843</v>
      </c>
      <c r="JUJ1" t="s">
        <v>12844</v>
      </c>
      <c r="JUK1" t="s">
        <v>12845</v>
      </c>
      <c r="JUL1" t="s">
        <v>12846</v>
      </c>
      <c r="JUM1" t="s">
        <v>12847</v>
      </c>
      <c r="JUN1" t="s">
        <v>12848</v>
      </c>
      <c r="JUO1" t="s">
        <v>12849</v>
      </c>
      <c r="JUP1" t="s">
        <v>12850</v>
      </c>
      <c r="JUQ1" t="s">
        <v>12851</v>
      </c>
      <c r="JUR1" t="s">
        <v>12852</v>
      </c>
      <c r="JUS1" t="s">
        <v>12853</v>
      </c>
      <c r="JUT1" t="s">
        <v>12854</v>
      </c>
      <c r="JUU1" t="s">
        <v>12855</v>
      </c>
      <c r="JUV1" t="s">
        <v>12856</v>
      </c>
      <c r="JUW1" t="s">
        <v>12857</v>
      </c>
      <c r="JUX1" t="s">
        <v>12858</v>
      </c>
      <c r="JUY1" t="s">
        <v>12859</v>
      </c>
      <c r="JUZ1" t="s">
        <v>12860</v>
      </c>
      <c r="JVA1" t="s">
        <v>12861</v>
      </c>
      <c r="JVB1" t="s">
        <v>12862</v>
      </c>
      <c r="JVC1" t="s">
        <v>12863</v>
      </c>
      <c r="JVD1" t="s">
        <v>12864</v>
      </c>
      <c r="JVE1" t="s">
        <v>12865</v>
      </c>
      <c r="JVF1" t="s">
        <v>12866</v>
      </c>
      <c r="JVG1" t="s">
        <v>12867</v>
      </c>
      <c r="JVH1" t="s">
        <v>12868</v>
      </c>
      <c r="JVI1" t="s">
        <v>12869</v>
      </c>
      <c r="JVJ1" t="s">
        <v>12870</v>
      </c>
      <c r="JVK1" t="s">
        <v>12871</v>
      </c>
      <c r="JVL1" t="s">
        <v>12872</v>
      </c>
      <c r="JVM1" t="s">
        <v>12873</v>
      </c>
      <c r="JVN1" t="s">
        <v>12874</v>
      </c>
      <c r="JVO1" t="s">
        <v>12875</v>
      </c>
      <c r="JVP1" t="s">
        <v>12876</v>
      </c>
      <c r="JVQ1" t="s">
        <v>12877</v>
      </c>
      <c r="JVR1" t="s">
        <v>12878</v>
      </c>
      <c r="JVS1" t="s">
        <v>12879</v>
      </c>
      <c r="JVT1" t="s">
        <v>12880</v>
      </c>
      <c r="JVU1" t="s">
        <v>12881</v>
      </c>
      <c r="JVV1" t="s">
        <v>12882</v>
      </c>
      <c r="JVW1" t="s">
        <v>12883</v>
      </c>
      <c r="JVX1" t="s">
        <v>12884</v>
      </c>
      <c r="JVY1" t="s">
        <v>12885</v>
      </c>
      <c r="JVZ1" t="s">
        <v>12886</v>
      </c>
      <c r="JWA1" t="s">
        <v>12887</v>
      </c>
      <c r="JWB1" t="s">
        <v>12888</v>
      </c>
      <c r="JWC1" t="s">
        <v>12889</v>
      </c>
      <c r="JWD1" t="s">
        <v>12890</v>
      </c>
      <c r="JWE1" t="s">
        <v>12891</v>
      </c>
      <c r="JWF1" t="s">
        <v>12892</v>
      </c>
      <c r="JWG1" t="s">
        <v>12893</v>
      </c>
      <c r="JWH1" t="s">
        <v>12894</v>
      </c>
      <c r="JWI1" t="s">
        <v>12895</v>
      </c>
      <c r="JWJ1" t="s">
        <v>12896</v>
      </c>
      <c r="JWK1" t="s">
        <v>12897</v>
      </c>
      <c r="JWL1" t="s">
        <v>12898</v>
      </c>
      <c r="JWM1" t="s">
        <v>12899</v>
      </c>
      <c r="JWN1" t="s">
        <v>12900</v>
      </c>
      <c r="JWO1" t="s">
        <v>12901</v>
      </c>
      <c r="JWP1" t="s">
        <v>12902</v>
      </c>
      <c r="JWQ1" t="s">
        <v>12903</v>
      </c>
      <c r="JWR1" t="s">
        <v>12904</v>
      </c>
      <c r="JWS1" t="s">
        <v>12905</v>
      </c>
      <c r="JWT1" t="s">
        <v>12906</v>
      </c>
      <c r="JWU1" t="s">
        <v>12907</v>
      </c>
      <c r="JWV1" t="s">
        <v>12908</v>
      </c>
      <c r="JWW1" t="s">
        <v>12909</v>
      </c>
      <c r="JWX1" t="s">
        <v>12910</v>
      </c>
      <c r="JWY1" t="s">
        <v>12911</v>
      </c>
      <c r="JWZ1" t="s">
        <v>12912</v>
      </c>
      <c r="JXA1" t="s">
        <v>12913</v>
      </c>
      <c r="JXB1" t="s">
        <v>12914</v>
      </c>
      <c r="JXC1" t="s">
        <v>12915</v>
      </c>
      <c r="JXD1" t="s">
        <v>12916</v>
      </c>
      <c r="JXE1" t="s">
        <v>12917</v>
      </c>
      <c r="JXF1" t="s">
        <v>12918</v>
      </c>
      <c r="JXG1" t="s">
        <v>12919</v>
      </c>
      <c r="JXH1" t="s">
        <v>12920</v>
      </c>
      <c r="JXI1" t="s">
        <v>12921</v>
      </c>
      <c r="JXJ1" t="s">
        <v>12922</v>
      </c>
      <c r="JXK1" t="s">
        <v>12923</v>
      </c>
      <c r="JXL1" t="s">
        <v>12924</v>
      </c>
      <c r="JXM1" t="s">
        <v>12925</v>
      </c>
      <c r="JXN1" t="s">
        <v>12926</v>
      </c>
      <c r="JXO1" t="s">
        <v>12927</v>
      </c>
      <c r="JXP1" t="s">
        <v>12928</v>
      </c>
      <c r="JXQ1" t="s">
        <v>12929</v>
      </c>
      <c r="JXR1" t="s">
        <v>12930</v>
      </c>
      <c r="JXS1" t="s">
        <v>12931</v>
      </c>
      <c r="JXT1" t="s">
        <v>12932</v>
      </c>
      <c r="JXU1" t="s">
        <v>12933</v>
      </c>
      <c r="JXV1" t="s">
        <v>12934</v>
      </c>
      <c r="JXW1" t="s">
        <v>12935</v>
      </c>
      <c r="JXX1" t="s">
        <v>12936</v>
      </c>
      <c r="JXY1" t="s">
        <v>12937</v>
      </c>
      <c r="JXZ1" t="s">
        <v>12938</v>
      </c>
      <c r="JYA1" t="s">
        <v>12939</v>
      </c>
      <c r="JYB1" t="s">
        <v>12940</v>
      </c>
      <c r="JYC1" t="s">
        <v>12941</v>
      </c>
      <c r="JYD1" t="s">
        <v>12942</v>
      </c>
      <c r="JYE1" t="s">
        <v>12943</v>
      </c>
      <c r="JYF1" t="s">
        <v>12944</v>
      </c>
      <c r="JYG1" t="s">
        <v>12945</v>
      </c>
      <c r="JYH1" t="s">
        <v>12946</v>
      </c>
      <c r="JYI1" t="s">
        <v>12947</v>
      </c>
      <c r="JYJ1" t="s">
        <v>12948</v>
      </c>
      <c r="JYK1" t="s">
        <v>12949</v>
      </c>
      <c r="JYL1" t="s">
        <v>12950</v>
      </c>
      <c r="JYM1" t="s">
        <v>12951</v>
      </c>
      <c r="JYN1" t="s">
        <v>12952</v>
      </c>
      <c r="JYO1" t="s">
        <v>12953</v>
      </c>
      <c r="JYP1" t="s">
        <v>12954</v>
      </c>
      <c r="JYQ1" t="s">
        <v>12955</v>
      </c>
      <c r="JYR1" t="s">
        <v>12956</v>
      </c>
      <c r="JYS1" t="s">
        <v>12957</v>
      </c>
      <c r="JYT1" t="s">
        <v>12958</v>
      </c>
      <c r="JYU1" t="s">
        <v>12959</v>
      </c>
      <c r="JYV1" t="s">
        <v>12960</v>
      </c>
      <c r="JYW1" t="s">
        <v>12961</v>
      </c>
      <c r="JYX1" t="s">
        <v>12962</v>
      </c>
      <c r="JYY1" t="s">
        <v>12963</v>
      </c>
      <c r="JYZ1" t="s">
        <v>12964</v>
      </c>
      <c r="JZA1" t="s">
        <v>12965</v>
      </c>
      <c r="JZB1" t="s">
        <v>12966</v>
      </c>
      <c r="JZC1" t="s">
        <v>12967</v>
      </c>
      <c r="JZD1" t="s">
        <v>12968</v>
      </c>
      <c r="JZE1" t="s">
        <v>12969</v>
      </c>
      <c r="JZF1" t="s">
        <v>12970</v>
      </c>
      <c r="JZG1" t="s">
        <v>12971</v>
      </c>
      <c r="JZH1" t="s">
        <v>12972</v>
      </c>
      <c r="JZI1" t="s">
        <v>12973</v>
      </c>
      <c r="JZJ1" t="s">
        <v>12974</v>
      </c>
      <c r="JZK1" t="s">
        <v>12975</v>
      </c>
      <c r="JZL1" t="s">
        <v>12976</v>
      </c>
      <c r="JZM1" t="s">
        <v>12977</v>
      </c>
      <c r="JZN1" t="s">
        <v>12978</v>
      </c>
      <c r="JZO1" t="s">
        <v>12979</v>
      </c>
      <c r="JZP1" t="s">
        <v>12980</v>
      </c>
      <c r="JZQ1" t="s">
        <v>12981</v>
      </c>
      <c r="JZR1" t="s">
        <v>12982</v>
      </c>
      <c r="JZS1" t="s">
        <v>12983</v>
      </c>
      <c r="JZT1" t="s">
        <v>12984</v>
      </c>
      <c r="JZU1" t="s">
        <v>12985</v>
      </c>
      <c r="JZV1" t="s">
        <v>12986</v>
      </c>
      <c r="JZW1" t="s">
        <v>12987</v>
      </c>
      <c r="JZX1" t="s">
        <v>12988</v>
      </c>
      <c r="JZY1" t="s">
        <v>12989</v>
      </c>
      <c r="JZZ1" t="s">
        <v>12990</v>
      </c>
      <c r="KAA1" t="s">
        <v>12991</v>
      </c>
      <c r="KAB1" t="s">
        <v>12992</v>
      </c>
      <c r="KAC1" t="s">
        <v>12993</v>
      </c>
      <c r="KAD1" t="s">
        <v>12994</v>
      </c>
      <c r="KAE1" t="s">
        <v>12995</v>
      </c>
      <c r="KAF1" t="s">
        <v>12996</v>
      </c>
      <c r="KAG1" t="s">
        <v>12997</v>
      </c>
      <c r="KAH1" t="s">
        <v>12998</v>
      </c>
      <c r="KAI1" t="s">
        <v>12999</v>
      </c>
      <c r="KAJ1" t="s">
        <v>13000</v>
      </c>
      <c r="KAK1" t="s">
        <v>13001</v>
      </c>
      <c r="KAL1" t="s">
        <v>13002</v>
      </c>
      <c r="KAM1" t="s">
        <v>13003</v>
      </c>
      <c r="KAN1" t="s">
        <v>13004</v>
      </c>
      <c r="KAO1" t="s">
        <v>13005</v>
      </c>
      <c r="KAP1" t="s">
        <v>13006</v>
      </c>
      <c r="KAQ1" t="s">
        <v>13007</v>
      </c>
      <c r="KAR1" t="s">
        <v>13008</v>
      </c>
      <c r="KAS1" t="s">
        <v>13009</v>
      </c>
      <c r="KAT1" t="s">
        <v>13010</v>
      </c>
      <c r="KAU1" t="s">
        <v>13011</v>
      </c>
      <c r="KAV1" t="s">
        <v>13012</v>
      </c>
      <c r="KAW1" t="s">
        <v>13013</v>
      </c>
      <c r="KAX1" t="s">
        <v>13014</v>
      </c>
      <c r="KAY1" t="s">
        <v>13015</v>
      </c>
      <c r="KAZ1" t="s">
        <v>13016</v>
      </c>
      <c r="KBA1" t="s">
        <v>13017</v>
      </c>
      <c r="KBB1" t="s">
        <v>13018</v>
      </c>
      <c r="KBC1" t="s">
        <v>13019</v>
      </c>
      <c r="KBD1" t="s">
        <v>13020</v>
      </c>
      <c r="KBE1" t="s">
        <v>13021</v>
      </c>
      <c r="KBF1" t="s">
        <v>13022</v>
      </c>
      <c r="KBG1" t="s">
        <v>13023</v>
      </c>
      <c r="KBH1" t="s">
        <v>13024</v>
      </c>
      <c r="KBI1" t="s">
        <v>13025</v>
      </c>
      <c r="KBJ1" t="s">
        <v>13026</v>
      </c>
      <c r="KBK1" t="s">
        <v>13027</v>
      </c>
      <c r="KBL1" t="s">
        <v>13028</v>
      </c>
      <c r="KBM1" t="s">
        <v>13029</v>
      </c>
      <c r="KBN1" t="s">
        <v>13030</v>
      </c>
      <c r="KBO1" t="s">
        <v>13031</v>
      </c>
      <c r="KBP1" t="s">
        <v>13032</v>
      </c>
      <c r="KBQ1" t="s">
        <v>13033</v>
      </c>
      <c r="KBR1" t="s">
        <v>13034</v>
      </c>
      <c r="KBS1" t="s">
        <v>13035</v>
      </c>
      <c r="KBT1" t="s">
        <v>13036</v>
      </c>
      <c r="KBU1" t="s">
        <v>13037</v>
      </c>
      <c r="KBV1" t="s">
        <v>13038</v>
      </c>
      <c r="KBW1" t="s">
        <v>13039</v>
      </c>
      <c r="KBX1" t="s">
        <v>13040</v>
      </c>
      <c r="KBY1" t="s">
        <v>13041</v>
      </c>
      <c r="KBZ1" t="s">
        <v>13042</v>
      </c>
      <c r="KCA1" t="s">
        <v>13043</v>
      </c>
      <c r="KCB1" t="s">
        <v>13044</v>
      </c>
      <c r="KCC1" t="s">
        <v>13045</v>
      </c>
      <c r="KCD1" t="s">
        <v>13046</v>
      </c>
      <c r="KCE1" t="s">
        <v>13047</v>
      </c>
      <c r="KCF1" t="s">
        <v>13048</v>
      </c>
      <c r="KCG1" t="s">
        <v>13049</v>
      </c>
      <c r="KCH1" t="s">
        <v>13050</v>
      </c>
      <c r="KCI1" t="s">
        <v>13051</v>
      </c>
      <c r="KCJ1" t="s">
        <v>13052</v>
      </c>
      <c r="KCK1" t="s">
        <v>13053</v>
      </c>
      <c r="KCL1" t="s">
        <v>13054</v>
      </c>
      <c r="KCM1" t="s">
        <v>13055</v>
      </c>
      <c r="KCN1" t="s">
        <v>13056</v>
      </c>
      <c r="KCO1" t="s">
        <v>13057</v>
      </c>
      <c r="KCP1" t="s">
        <v>13058</v>
      </c>
      <c r="KCQ1" t="s">
        <v>13059</v>
      </c>
      <c r="KCR1" t="s">
        <v>13060</v>
      </c>
      <c r="KCS1" t="s">
        <v>13061</v>
      </c>
      <c r="KCT1" t="s">
        <v>13062</v>
      </c>
      <c r="KCU1" t="s">
        <v>13063</v>
      </c>
      <c r="KCV1" t="s">
        <v>13064</v>
      </c>
      <c r="KCW1" t="s">
        <v>13065</v>
      </c>
      <c r="KCX1" t="s">
        <v>13066</v>
      </c>
      <c r="KCY1" t="s">
        <v>13067</v>
      </c>
      <c r="KCZ1" t="s">
        <v>13068</v>
      </c>
      <c r="KDA1" t="s">
        <v>13069</v>
      </c>
      <c r="KDB1" t="s">
        <v>13070</v>
      </c>
      <c r="KDC1" t="s">
        <v>13071</v>
      </c>
      <c r="KDD1" t="s">
        <v>13072</v>
      </c>
      <c r="KDE1" t="s">
        <v>13073</v>
      </c>
      <c r="KDF1" t="s">
        <v>13074</v>
      </c>
      <c r="KDG1" t="s">
        <v>13075</v>
      </c>
      <c r="KDH1" t="s">
        <v>13076</v>
      </c>
      <c r="KDI1" t="s">
        <v>13077</v>
      </c>
      <c r="KDJ1" t="s">
        <v>13078</v>
      </c>
      <c r="KDK1" t="s">
        <v>13079</v>
      </c>
      <c r="KDL1" t="s">
        <v>13080</v>
      </c>
      <c r="KDM1" t="s">
        <v>13081</v>
      </c>
      <c r="KDN1" t="s">
        <v>13082</v>
      </c>
      <c r="KDO1" t="s">
        <v>13083</v>
      </c>
      <c r="KDP1" t="s">
        <v>13084</v>
      </c>
      <c r="KDQ1" t="s">
        <v>13085</v>
      </c>
      <c r="KDR1" t="s">
        <v>13086</v>
      </c>
      <c r="KDS1" t="s">
        <v>13087</v>
      </c>
      <c r="KDT1" t="s">
        <v>13088</v>
      </c>
      <c r="KDU1" t="s">
        <v>13089</v>
      </c>
      <c r="KDV1" t="s">
        <v>13090</v>
      </c>
      <c r="KDW1" t="s">
        <v>13091</v>
      </c>
      <c r="KDX1" t="s">
        <v>13092</v>
      </c>
      <c r="KDY1" t="s">
        <v>13093</v>
      </c>
      <c r="KDZ1" t="s">
        <v>13094</v>
      </c>
      <c r="KEA1" t="s">
        <v>13095</v>
      </c>
      <c r="KEB1" t="s">
        <v>13096</v>
      </c>
      <c r="KEC1" t="s">
        <v>13097</v>
      </c>
      <c r="KED1" t="s">
        <v>13098</v>
      </c>
      <c r="KEE1" t="s">
        <v>13099</v>
      </c>
      <c r="KEF1" t="s">
        <v>13100</v>
      </c>
      <c r="KEG1" t="s">
        <v>13101</v>
      </c>
      <c r="KEH1" t="s">
        <v>13102</v>
      </c>
      <c r="KEI1" t="s">
        <v>13103</v>
      </c>
      <c r="KEJ1" t="s">
        <v>13104</v>
      </c>
      <c r="KEK1" t="s">
        <v>13105</v>
      </c>
      <c r="KEL1" t="s">
        <v>13106</v>
      </c>
      <c r="KEM1" t="s">
        <v>13107</v>
      </c>
      <c r="KEN1" t="s">
        <v>13108</v>
      </c>
      <c r="KEO1" t="s">
        <v>13109</v>
      </c>
      <c r="KEP1" t="s">
        <v>13110</v>
      </c>
      <c r="KEQ1" t="s">
        <v>13111</v>
      </c>
      <c r="KER1" t="s">
        <v>13112</v>
      </c>
      <c r="KES1" t="s">
        <v>13113</v>
      </c>
      <c r="KET1" t="s">
        <v>13114</v>
      </c>
      <c r="KEU1" t="s">
        <v>13115</v>
      </c>
      <c r="KEV1" t="s">
        <v>13116</v>
      </c>
      <c r="KEW1" t="s">
        <v>13117</v>
      </c>
      <c r="KEX1" t="s">
        <v>13118</v>
      </c>
      <c r="KEY1" t="s">
        <v>13119</v>
      </c>
      <c r="KEZ1" t="s">
        <v>13120</v>
      </c>
      <c r="KFA1" t="s">
        <v>13121</v>
      </c>
      <c r="KFB1" t="s">
        <v>13122</v>
      </c>
      <c r="KFC1" t="s">
        <v>13123</v>
      </c>
      <c r="KFD1" t="s">
        <v>13124</v>
      </c>
      <c r="KFE1" t="s">
        <v>13125</v>
      </c>
      <c r="KFF1" t="s">
        <v>13126</v>
      </c>
      <c r="KFG1" t="s">
        <v>13127</v>
      </c>
      <c r="KFH1" t="s">
        <v>13128</v>
      </c>
      <c r="KFI1" t="s">
        <v>13129</v>
      </c>
      <c r="KFJ1" t="s">
        <v>13130</v>
      </c>
      <c r="KFK1" t="s">
        <v>13131</v>
      </c>
      <c r="KFL1" t="s">
        <v>13132</v>
      </c>
      <c r="KFM1" t="s">
        <v>13133</v>
      </c>
      <c r="KFN1" t="s">
        <v>13134</v>
      </c>
      <c r="KFO1" t="s">
        <v>13135</v>
      </c>
      <c r="KFP1" t="s">
        <v>13136</v>
      </c>
      <c r="KFQ1" t="s">
        <v>13137</v>
      </c>
      <c r="KFR1" t="s">
        <v>13138</v>
      </c>
      <c r="KFS1" t="s">
        <v>13139</v>
      </c>
      <c r="KFT1" t="s">
        <v>13140</v>
      </c>
      <c r="KFU1" t="s">
        <v>13141</v>
      </c>
      <c r="KFV1" t="s">
        <v>13142</v>
      </c>
      <c r="KFW1" t="s">
        <v>13143</v>
      </c>
      <c r="KFX1" t="s">
        <v>13144</v>
      </c>
      <c r="KFY1" t="s">
        <v>13145</v>
      </c>
      <c r="KFZ1" t="s">
        <v>13146</v>
      </c>
      <c r="KGA1" t="s">
        <v>13147</v>
      </c>
      <c r="KGB1" t="s">
        <v>13148</v>
      </c>
      <c r="KGC1" t="s">
        <v>13149</v>
      </c>
      <c r="KGD1" t="s">
        <v>13150</v>
      </c>
      <c r="KGE1" t="s">
        <v>13151</v>
      </c>
      <c r="KGF1" t="s">
        <v>13152</v>
      </c>
      <c r="KGG1" t="s">
        <v>13153</v>
      </c>
      <c r="KGH1" t="s">
        <v>13154</v>
      </c>
      <c r="KGI1" t="s">
        <v>13155</v>
      </c>
      <c r="KGJ1" t="s">
        <v>13156</v>
      </c>
      <c r="KGK1" t="s">
        <v>13157</v>
      </c>
      <c r="KGL1" t="s">
        <v>13158</v>
      </c>
      <c r="KGM1" t="s">
        <v>13159</v>
      </c>
      <c r="KGN1" t="s">
        <v>13160</v>
      </c>
      <c r="KGO1" t="s">
        <v>13161</v>
      </c>
      <c r="KGP1" t="s">
        <v>13162</v>
      </c>
      <c r="KGQ1" t="s">
        <v>13163</v>
      </c>
      <c r="KGR1" t="s">
        <v>13164</v>
      </c>
      <c r="KGS1" t="s">
        <v>13165</v>
      </c>
      <c r="KGT1" t="s">
        <v>13166</v>
      </c>
      <c r="KGU1" t="s">
        <v>13167</v>
      </c>
      <c r="KGV1" t="s">
        <v>13168</v>
      </c>
      <c r="KGW1" t="s">
        <v>13169</v>
      </c>
      <c r="KGX1" t="s">
        <v>13170</v>
      </c>
      <c r="KGY1" t="s">
        <v>13171</v>
      </c>
      <c r="KGZ1" t="s">
        <v>13172</v>
      </c>
      <c r="KHA1" t="s">
        <v>13173</v>
      </c>
      <c r="KHB1" t="s">
        <v>13174</v>
      </c>
      <c r="KHC1" t="s">
        <v>13175</v>
      </c>
      <c r="KHD1" t="s">
        <v>13176</v>
      </c>
      <c r="KHE1" t="s">
        <v>13177</v>
      </c>
      <c r="KHF1" t="s">
        <v>13178</v>
      </c>
      <c r="KHG1" t="s">
        <v>13179</v>
      </c>
      <c r="KHH1" t="s">
        <v>13180</v>
      </c>
      <c r="KHI1" t="s">
        <v>13181</v>
      </c>
      <c r="KHJ1" t="s">
        <v>13182</v>
      </c>
      <c r="KHK1" t="s">
        <v>13183</v>
      </c>
      <c r="KHL1" t="s">
        <v>13184</v>
      </c>
      <c r="KHM1" t="s">
        <v>13185</v>
      </c>
      <c r="KHN1" t="s">
        <v>13186</v>
      </c>
      <c r="KHO1" t="s">
        <v>13187</v>
      </c>
      <c r="KHP1" t="s">
        <v>13188</v>
      </c>
      <c r="KHQ1" t="s">
        <v>13189</v>
      </c>
      <c r="KHR1" t="s">
        <v>13190</v>
      </c>
      <c r="KHS1" t="s">
        <v>13191</v>
      </c>
      <c r="KHT1" t="s">
        <v>13192</v>
      </c>
      <c r="KHU1" t="s">
        <v>13193</v>
      </c>
      <c r="KHV1" t="s">
        <v>13194</v>
      </c>
      <c r="KHW1" t="s">
        <v>13195</v>
      </c>
      <c r="KHX1" t="s">
        <v>13196</v>
      </c>
      <c r="KHY1" t="s">
        <v>13197</v>
      </c>
      <c r="KHZ1" t="s">
        <v>13198</v>
      </c>
      <c r="KIA1" t="s">
        <v>13199</v>
      </c>
      <c r="KIB1" t="s">
        <v>13200</v>
      </c>
      <c r="KIC1" t="s">
        <v>13201</v>
      </c>
      <c r="KID1" t="s">
        <v>13202</v>
      </c>
      <c r="KIE1" t="s">
        <v>13203</v>
      </c>
      <c r="KIF1" t="s">
        <v>13204</v>
      </c>
      <c r="KIG1" t="s">
        <v>13205</v>
      </c>
      <c r="KIH1" t="s">
        <v>13206</v>
      </c>
      <c r="KII1" t="s">
        <v>13207</v>
      </c>
      <c r="KIJ1" t="s">
        <v>13208</v>
      </c>
      <c r="KIK1" t="s">
        <v>13209</v>
      </c>
      <c r="KIL1" t="s">
        <v>13210</v>
      </c>
      <c r="KIM1" t="s">
        <v>13211</v>
      </c>
      <c r="KIN1" t="s">
        <v>13212</v>
      </c>
      <c r="KIO1" t="s">
        <v>13213</v>
      </c>
      <c r="KIP1" t="s">
        <v>13214</v>
      </c>
      <c r="KIQ1" t="s">
        <v>13215</v>
      </c>
      <c r="KIR1" t="s">
        <v>13216</v>
      </c>
      <c r="KIS1" t="s">
        <v>13217</v>
      </c>
      <c r="KIT1" t="s">
        <v>13218</v>
      </c>
      <c r="KIU1" t="s">
        <v>13219</v>
      </c>
      <c r="KIV1" t="s">
        <v>13220</v>
      </c>
      <c r="KIW1" t="s">
        <v>13221</v>
      </c>
      <c r="KIX1" t="s">
        <v>13222</v>
      </c>
      <c r="KIY1" t="s">
        <v>13223</v>
      </c>
      <c r="KIZ1" t="s">
        <v>13224</v>
      </c>
      <c r="KJA1" t="s">
        <v>13225</v>
      </c>
      <c r="KJB1" t="s">
        <v>13226</v>
      </c>
      <c r="KJC1" t="s">
        <v>13227</v>
      </c>
      <c r="KJD1" t="s">
        <v>13228</v>
      </c>
      <c r="KJE1" t="s">
        <v>13229</v>
      </c>
      <c r="KJF1" t="s">
        <v>13230</v>
      </c>
      <c r="KJG1" t="s">
        <v>13231</v>
      </c>
      <c r="KJH1" t="s">
        <v>13232</v>
      </c>
      <c r="KJI1" t="s">
        <v>13233</v>
      </c>
      <c r="KJJ1" t="s">
        <v>13234</v>
      </c>
      <c r="KJK1" t="s">
        <v>13235</v>
      </c>
      <c r="KJL1" t="s">
        <v>13236</v>
      </c>
      <c r="KJM1" t="s">
        <v>13237</v>
      </c>
      <c r="KJN1" t="s">
        <v>13238</v>
      </c>
      <c r="KJO1" t="s">
        <v>13239</v>
      </c>
      <c r="KJP1" t="s">
        <v>13240</v>
      </c>
      <c r="KJQ1" t="s">
        <v>13241</v>
      </c>
      <c r="KJR1" t="s">
        <v>13242</v>
      </c>
      <c r="KJS1" t="s">
        <v>13243</v>
      </c>
      <c r="KJT1" t="s">
        <v>13244</v>
      </c>
      <c r="KJU1" t="s">
        <v>13245</v>
      </c>
      <c r="KJV1" t="s">
        <v>13246</v>
      </c>
      <c r="KJW1" t="s">
        <v>13247</v>
      </c>
      <c r="KJX1" t="s">
        <v>13248</v>
      </c>
      <c r="KJY1" t="s">
        <v>13249</v>
      </c>
      <c r="KJZ1" t="s">
        <v>13250</v>
      </c>
      <c r="KKA1" t="s">
        <v>13251</v>
      </c>
      <c r="KKB1" t="s">
        <v>13252</v>
      </c>
      <c r="KKC1" t="s">
        <v>13253</v>
      </c>
      <c r="KKD1" t="s">
        <v>13254</v>
      </c>
      <c r="KKE1" t="s">
        <v>13255</v>
      </c>
      <c r="KKF1" t="s">
        <v>13256</v>
      </c>
      <c r="KKG1" t="s">
        <v>13257</v>
      </c>
      <c r="KKH1" t="s">
        <v>13258</v>
      </c>
      <c r="KKI1" t="s">
        <v>13259</v>
      </c>
      <c r="KKJ1" t="s">
        <v>13260</v>
      </c>
      <c r="KKK1" t="s">
        <v>13261</v>
      </c>
      <c r="KKL1" t="s">
        <v>13262</v>
      </c>
      <c r="KKM1" t="s">
        <v>13263</v>
      </c>
      <c r="KKN1" t="s">
        <v>13264</v>
      </c>
      <c r="KKO1" t="s">
        <v>13265</v>
      </c>
      <c r="KKP1" t="s">
        <v>13266</v>
      </c>
      <c r="KKQ1" t="s">
        <v>13267</v>
      </c>
      <c r="KKR1" t="s">
        <v>13268</v>
      </c>
      <c r="KKS1" t="s">
        <v>13269</v>
      </c>
      <c r="KKT1" t="s">
        <v>13270</v>
      </c>
      <c r="KKU1" t="s">
        <v>13271</v>
      </c>
      <c r="KKV1" t="s">
        <v>13272</v>
      </c>
      <c r="KKW1" t="s">
        <v>13273</v>
      </c>
      <c r="KKX1" t="s">
        <v>13274</v>
      </c>
      <c r="KKY1" t="s">
        <v>13275</v>
      </c>
      <c r="KKZ1" t="s">
        <v>13276</v>
      </c>
      <c r="KLA1" t="s">
        <v>13277</v>
      </c>
      <c r="KLB1" t="s">
        <v>13278</v>
      </c>
      <c r="KLC1" t="s">
        <v>13279</v>
      </c>
      <c r="KLD1" t="s">
        <v>13280</v>
      </c>
      <c r="KLE1" t="s">
        <v>13281</v>
      </c>
      <c r="KLF1" t="s">
        <v>13282</v>
      </c>
      <c r="KLG1" t="s">
        <v>13283</v>
      </c>
      <c r="KLH1" t="s">
        <v>13284</v>
      </c>
      <c r="KLI1" t="s">
        <v>13285</v>
      </c>
      <c r="KLJ1" t="s">
        <v>13286</v>
      </c>
      <c r="KLK1" t="s">
        <v>13287</v>
      </c>
      <c r="KLL1" t="s">
        <v>13288</v>
      </c>
      <c r="KLM1" t="s">
        <v>13289</v>
      </c>
      <c r="KLN1" t="s">
        <v>13290</v>
      </c>
      <c r="KLO1" t="s">
        <v>13291</v>
      </c>
      <c r="KLP1" t="s">
        <v>13292</v>
      </c>
      <c r="KLQ1" t="s">
        <v>13293</v>
      </c>
      <c r="KLR1" t="s">
        <v>13294</v>
      </c>
      <c r="KLS1" t="s">
        <v>13295</v>
      </c>
      <c r="KLT1" t="s">
        <v>13296</v>
      </c>
      <c r="KLU1" t="s">
        <v>13297</v>
      </c>
      <c r="KLV1" t="s">
        <v>13298</v>
      </c>
      <c r="KLW1" t="s">
        <v>13299</v>
      </c>
      <c r="KLX1" t="s">
        <v>13300</v>
      </c>
      <c r="KLY1" t="s">
        <v>13301</v>
      </c>
      <c r="KLZ1" t="s">
        <v>13302</v>
      </c>
      <c r="KMA1" t="s">
        <v>13303</v>
      </c>
      <c r="KMB1" t="s">
        <v>13304</v>
      </c>
      <c r="KMC1" t="s">
        <v>13305</v>
      </c>
      <c r="KMD1" t="s">
        <v>13306</v>
      </c>
      <c r="KME1" t="s">
        <v>13307</v>
      </c>
      <c r="KMF1" t="s">
        <v>13308</v>
      </c>
      <c r="KMG1" t="s">
        <v>13309</v>
      </c>
      <c r="KMH1" t="s">
        <v>13310</v>
      </c>
      <c r="KMI1" t="s">
        <v>13311</v>
      </c>
      <c r="KMJ1" t="s">
        <v>13312</v>
      </c>
      <c r="KMK1" t="s">
        <v>13313</v>
      </c>
      <c r="KML1" t="s">
        <v>13314</v>
      </c>
      <c r="KMM1" t="s">
        <v>13315</v>
      </c>
      <c r="KMN1" t="s">
        <v>13316</v>
      </c>
      <c r="KMO1" t="s">
        <v>13317</v>
      </c>
      <c r="KMP1" t="s">
        <v>13318</v>
      </c>
      <c r="KMQ1" t="s">
        <v>13319</v>
      </c>
      <c r="KMR1" t="s">
        <v>13320</v>
      </c>
      <c r="KMS1" t="s">
        <v>13321</v>
      </c>
      <c r="KMT1" t="s">
        <v>13322</v>
      </c>
      <c r="KMU1" t="s">
        <v>13323</v>
      </c>
      <c r="KMV1" t="s">
        <v>13324</v>
      </c>
      <c r="KMW1" t="s">
        <v>13325</v>
      </c>
      <c r="KMX1" t="s">
        <v>13326</v>
      </c>
      <c r="KMY1" t="s">
        <v>13327</v>
      </c>
      <c r="KMZ1" t="s">
        <v>13328</v>
      </c>
      <c r="KNA1" t="s">
        <v>13329</v>
      </c>
      <c r="KNB1" t="s">
        <v>13330</v>
      </c>
      <c r="KNC1" t="s">
        <v>13331</v>
      </c>
      <c r="KND1" t="s">
        <v>13332</v>
      </c>
      <c r="KNE1" t="s">
        <v>13333</v>
      </c>
      <c r="KNF1" t="s">
        <v>13334</v>
      </c>
      <c r="KNG1" t="s">
        <v>13335</v>
      </c>
      <c r="KNH1" t="s">
        <v>13336</v>
      </c>
      <c r="KNI1" t="s">
        <v>13337</v>
      </c>
      <c r="KNJ1" t="s">
        <v>13338</v>
      </c>
      <c r="KNK1" t="s">
        <v>13339</v>
      </c>
      <c r="KNL1" t="s">
        <v>13340</v>
      </c>
      <c r="KNM1" t="s">
        <v>13341</v>
      </c>
      <c r="KNN1" t="s">
        <v>13342</v>
      </c>
      <c r="KNO1" t="s">
        <v>13343</v>
      </c>
      <c r="KNP1" t="s">
        <v>13344</v>
      </c>
      <c r="KNQ1" t="s">
        <v>13345</v>
      </c>
      <c r="KNR1" t="s">
        <v>13346</v>
      </c>
      <c r="KNS1" t="s">
        <v>13347</v>
      </c>
      <c r="KNT1" t="s">
        <v>13348</v>
      </c>
      <c r="KNU1" t="s">
        <v>13349</v>
      </c>
      <c r="KNV1" t="s">
        <v>13350</v>
      </c>
      <c r="KNW1" t="s">
        <v>13351</v>
      </c>
      <c r="KNX1" t="s">
        <v>13352</v>
      </c>
      <c r="KNY1" t="s">
        <v>13353</v>
      </c>
      <c r="KNZ1" t="s">
        <v>13354</v>
      </c>
      <c r="KOA1" t="s">
        <v>13355</v>
      </c>
      <c r="KOB1" t="s">
        <v>13356</v>
      </c>
      <c r="KOC1" t="s">
        <v>13357</v>
      </c>
      <c r="KOD1" t="s">
        <v>13358</v>
      </c>
      <c r="KOE1" t="s">
        <v>13359</v>
      </c>
      <c r="KOF1" t="s">
        <v>13360</v>
      </c>
      <c r="KOG1" t="s">
        <v>13361</v>
      </c>
      <c r="KOH1" t="s">
        <v>13362</v>
      </c>
      <c r="KOI1" t="s">
        <v>13363</v>
      </c>
      <c r="KOJ1" t="s">
        <v>13364</v>
      </c>
      <c r="KOK1" t="s">
        <v>13365</v>
      </c>
      <c r="KOL1" t="s">
        <v>13366</v>
      </c>
      <c r="KOM1" t="s">
        <v>13367</v>
      </c>
      <c r="KON1" t="s">
        <v>13368</v>
      </c>
      <c r="KOO1" t="s">
        <v>13369</v>
      </c>
      <c r="KOP1" t="s">
        <v>13370</v>
      </c>
      <c r="KOQ1" t="s">
        <v>13371</v>
      </c>
      <c r="KOR1" t="s">
        <v>13372</v>
      </c>
      <c r="KOS1" t="s">
        <v>13373</v>
      </c>
      <c r="KOT1" t="s">
        <v>13374</v>
      </c>
      <c r="KOU1" t="s">
        <v>13375</v>
      </c>
      <c r="KOV1" t="s">
        <v>13376</v>
      </c>
      <c r="KOW1" t="s">
        <v>13377</v>
      </c>
      <c r="KOX1" t="s">
        <v>13378</v>
      </c>
      <c r="KOY1" t="s">
        <v>13379</v>
      </c>
      <c r="KOZ1" t="s">
        <v>13380</v>
      </c>
      <c r="KPA1" t="s">
        <v>13381</v>
      </c>
      <c r="KPB1" t="s">
        <v>13382</v>
      </c>
      <c r="KPC1" t="s">
        <v>13383</v>
      </c>
      <c r="KPD1" t="s">
        <v>13384</v>
      </c>
      <c r="KPE1" t="s">
        <v>13385</v>
      </c>
      <c r="KPF1" t="s">
        <v>13386</v>
      </c>
      <c r="KPG1" t="s">
        <v>13387</v>
      </c>
      <c r="KPH1" t="s">
        <v>13388</v>
      </c>
      <c r="KPI1" t="s">
        <v>13389</v>
      </c>
      <c r="KPJ1" t="s">
        <v>13390</v>
      </c>
      <c r="KPK1" t="s">
        <v>13391</v>
      </c>
      <c r="KPL1" t="s">
        <v>13392</v>
      </c>
      <c r="KPM1" t="s">
        <v>13393</v>
      </c>
      <c r="KPN1" t="s">
        <v>13394</v>
      </c>
      <c r="KPO1" t="s">
        <v>13395</v>
      </c>
      <c r="KPP1" t="s">
        <v>13396</v>
      </c>
      <c r="KPQ1" t="s">
        <v>13397</v>
      </c>
      <c r="KPR1" t="s">
        <v>13398</v>
      </c>
      <c r="KPS1" t="s">
        <v>13399</v>
      </c>
      <c r="KPT1" t="s">
        <v>13400</v>
      </c>
      <c r="KPU1" t="s">
        <v>13401</v>
      </c>
      <c r="KPV1" t="s">
        <v>13402</v>
      </c>
      <c r="KPW1" t="s">
        <v>13403</v>
      </c>
      <c r="KPX1" t="s">
        <v>13404</v>
      </c>
      <c r="KPY1" t="s">
        <v>13405</v>
      </c>
      <c r="KPZ1" t="s">
        <v>13406</v>
      </c>
      <c r="KQA1" t="s">
        <v>13407</v>
      </c>
      <c r="KQB1" t="s">
        <v>13408</v>
      </c>
      <c r="KQC1" t="s">
        <v>13409</v>
      </c>
      <c r="KQD1" t="s">
        <v>13410</v>
      </c>
      <c r="KQE1" t="s">
        <v>13411</v>
      </c>
      <c r="KQF1" t="s">
        <v>13412</v>
      </c>
      <c r="KQG1" t="s">
        <v>13413</v>
      </c>
      <c r="KQH1" t="s">
        <v>13414</v>
      </c>
      <c r="KQI1" t="s">
        <v>13415</v>
      </c>
      <c r="KQJ1" t="s">
        <v>13416</v>
      </c>
      <c r="KQK1" t="s">
        <v>13417</v>
      </c>
      <c r="KQL1" t="s">
        <v>13418</v>
      </c>
      <c r="KQM1" t="s">
        <v>13419</v>
      </c>
      <c r="KQN1" t="s">
        <v>13420</v>
      </c>
      <c r="KQO1" t="s">
        <v>13421</v>
      </c>
      <c r="KQP1" t="s">
        <v>13422</v>
      </c>
      <c r="KQQ1" t="s">
        <v>13423</v>
      </c>
      <c r="KQR1" t="s">
        <v>13424</v>
      </c>
      <c r="KQS1" t="s">
        <v>13425</v>
      </c>
      <c r="KQT1" t="s">
        <v>13426</v>
      </c>
      <c r="KQU1" t="s">
        <v>13427</v>
      </c>
      <c r="KQV1" t="s">
        <v>13428</v>
      </c>
      <c r="KQW1" t="s">
        <v>13429</v>
      </c>
      <c r="KQX1" t="s">
        <v>13430</v>
      </c>
      <c r="KQY1" t="s">
        <v>13431</v>
      </c>
      <c r="KQZ1" t="s">
        <v>13432</v>
      </c>
      <c r="KRA1" t="s">
        <v>13433</v>
      </c>
      <c r="KRB1" t="s">
        <v>13434</v>
      </c>
      <c r="KRC1" t="s">
        <v>13435</v>
      </c>
      <c r="KRD1" t="s">
        <v>13436</v>
      </c>
      <c r="KRE1" t="s">
        <v>13437</v>
      </c>
      <c r="KRF1" t="s">
        <v>13438</v>
      </c>
      <c r="KRG1" t="s">
        <v>13439</v>
      </c>
      <c r="KRH1" t="s">
        <v>13440</v>
      </c>
      <c r="KRI1" t="s">
        <v>13441</v>
      </c>
      <c r="KRJ1" t="s">
        <v>13442</v>
      </c>
      <c r="KRK1" t="s">
        <v>13443</v>
      </c>
      <c r="KRL1" t="s">
        <v>13444</v>
      </c>
      <c r="KRM1" t="s">
        <v>13445</v>
      </c>
      <c r="KRN1" t="s">
        <v>13446</v>
      </c>
      <c r="KRO1" t="s">
        <v>13447</v>
      </c>
      <c r="KRP1" t="s">
        <v>13448</v>
      </c>
      <c r="KRQ1" t="s">
        <v>13449</v>
      </c>
      <c r="KRR1" t="s">
        <v>13450</v>
      </c>
      <c r="KRS1" t="s">
        <v>13451</v>
      </c>
      <c r="KRT1" t="s">
        <v>13452</v>
      </c>
      <c r="KRU1" t="s">
        <v>13453</v>
      </c>
      <c r="KRV1" t="s">
        <v>13454</v>
      </c>
      <c r="KRW1" t="s">
        <v>13455</v>
      </c>
      <c r="KRX1" t="s">
        <v>13456</v>
      </c>
      <c r="KRY1" t="s">
        <v>13457</v>
      </c>
      <c r="KRZ1" t="s">
        <v>13458</v>
      </c>
      <c r="KSA1" t="s">
        <v>13459</v>
      </c>
      <c r="KSB1" t="s">
        <v>13460</v>
      </c>
      <c r="KSC1" t="s">
        <v>13461</v>
      </c>
      <c r="KSD1" t="s">
        <v>13462</v>
      </c>
      <c r="KSE1" t="s">
        <v>13463</v>
      </c>
      <c r="KSF1" t="s">
        <v>13464</v>
      </c>
      <c r="KSG1" t="s">
        <v>13465</v>
      </c>
      <c r="KSH1" t="s">
        <v>13466</v>
      </c>
      <c r="KSI1" t="s">
        <v>13467</v>
      </c>
      <c r="KSJ1" t="s">
        <v>13468</v>
      </c>
      <c r="KSK1" t="s">
        <v>13469</v>
      </c>
      <c r="KSL1" t="s">
        <v>13470</v>
      </c>
      <c r="KSM1" t="s">
        <v>13471</v>
      </c>
      <c r="KSN1" t="s">
        <v>13472</v>
      </c>
      <c r="KSO1" t="s">
        <v>13473</v>
      </c>
      <c r="KSP1" t="s">
        <v>13474</v>
      </c>
      <c r="KSQ1" t="s">
        <v>13475</v>
      </c>
      <c r="KSR1" t="s">
        <v>13476</v>
      </c>
      <c r="KSS1" t="s">
        <v>13477</v>
      </c>
      <c r="KST1" t="s">
        <v>13478</v>
      </c>
      <c r="KSU1" t="s">
        <v>13479</v>
      </c>
      <c r="KSV1" t="s">
        <v>13480</v>
      </c>
      <c r="KSW1" t="s">
        <v>13481</v>
      </c>
      <c r="KSX1" t="s">
        <v>13482</v>
      </c>
      <c r="KSY1" t="s">
        <v>13483</v>
      </c>
      <c r="KSZ1" t="s">
        <v>13484</v>
      </c>
      <c r="KTA1" t="s">
        <v>13485</v>
      </c>
      <c r="KTB1" t="s">
        <v>13486</v>
      </c>
      <c r="KTC1" t="s">
        <v>13487</v>
      </c>
      <c r="KTD1" t="s">
        <v>13488</v>
      </c>
      <c r="KTE1" t="s">
        <v>13489</v>
      </c>
      <c r="KTF1" t="s">
        <v>13490</v>
      </c>
      <c r="KTG1" t="s">
        <v>13491</v>
      </c>
      <c r="KTH1" t="s">
        <v>13492</v>
      </c>
      <c r="KTI1" t="s">
        <v>13493</v>
      </c>
      <c r="KTJ1" t="s">
        <v>13494</v>
      </c>
      <c r="KTK1" t="s">
        <v>13495</v>
      </c>
      <c r="KTL1" t="s">
        <v>13496</v>
      </c>
      <c r="KTM1" t="s">
        <v>13497</v>
      </c>
      <c r="KTN1" t="s">
        <v>13498</v>
      </c>
      <c r="KTO1" t="s">
        <v>13499</v>
      </c>
      <c r="KTP1" t="s">
        <v>13500</v>
      </c>
      <c r="KTQ1" t="s">
        <v>13501</v>
      </c>
      <c r="KTR1" t="s">
        <v>13502</v>
      </c>
      <c r="KTS1" t="s">
        <v>13503</v>
      </c>
      <c r="KTT1" t="s">
        <v>13504</v>
      </c>
      <c r="KTU1" t="s">
        <v>13505</v>
      </c>
      <c r="KTV1" t="s">
        <v>13506</v>
      </c>
      <c r="KTW1" t="s">
        <v>13507</v>
      </c>
      <c r="KTX1" t="s">
        <v>13508</v>
      </c>
      <c r="KTY1" t="s">
        <v>13509</v>
      </c>
      <c r="KTZ1" t="s">
        <v>13510</v>
      </c>
      <c r="KUA1" t="s">
        <v>13511</v>
      </c>
      <c r="KUB1" t="s">
        <v>13512</v>
      </c>
      <c r="KUC1" t="s">
        <v>13513</v>
      </c>
      <c r="KUD1" t="s">
        <v>13514</v>
      </c>
      <c r="KUE1" t="s">
        <v>13515</v>
      </c>
      <c r="KUF1" t="s">
        <v>13516</v>
      </c>
      <c r="KUG1" t="s">
        <v>13517</v>
      </c>
      <c r="KUH1" t="s">
        <v>13518</v>
      </c>
      <c r="KUI1" t="s">
        <v>13519</v>
      </c>
      <c r="KUJ1" t="s">
        <v>13520</v>
      </c>
      <c r="KUK1" t="s">
        <v>13521</v>
      </c>
      <c r="KUL1" t="s">
        <v>13522</v>
      </c>
      <c r="KUM1" t="s">
        <v>13523</v>
      </c>
      <c r="KUN1" t="s">
        <v>13524</v>
      </c>
      <c r="KUO1" t="s">
        <v>13525</v>
      </c>
      <c r="KUP1" t="s">
        <v>13526</v>
      </c>
      <c r="KUQ1" t="s">
        <v>13527</v>
      </c>
      <c r="KUR1" t="s">
        <v>13528</v>
      </c>
      <c r="KUS1" t="s">
        <v>13529</v>
      </c>
      <c r="KUT1" t="s">
        <v>13530</v>
      </c>
      <c r="KUU1" t="s">
        <v>13531</v>
      </c>
      <c r="KUV1" t="s">
        <v>13532</v>
      </c>
      <c r="KUW1" t="s">
        <v>13533</v>
      </c>
      <c r="KUX1" t="s">
        <v>13534</v>
      </c>
      <c r="KUY1" t="s">
        <v>13535</v>
      </c>
      <c r="KUZ1" t="s">
        <v>13536</v>
      </c>
      <c r="KVA1" t="s">
        <v>13537</v>
      </c>
      <c r="KVB1" t="s">
        <v>13538</v>
      </c>
      <c r="KVC1" t="s">
        <v>13539</v>
      </c>
      <c r="KVD1" t="s">
        <v>13540</v>
      </c>
      <c r="KVE1" t="s">
        <v>13541</v>
      </c>
      <c r="KVF1" t="s">
        <v>13542</v>
      </c>
      <c r="KVG1" t="s">
        <v>13543</v>
      </c>
      <c r="KVH1" t="s">
        <v>13544</v>
      </c>
      <c r="KVI1" t="s">
        <v>13545</v>
      </c>
      <c r="KVJ1" t="s">
        <v>13546</v>
      </c>
      <c r="KVK1" t="s">
        <v>13547</v>
      </c>
      <c r="KVL1" t="s">
        <v>13548</v>
      </c>
      <c r="KVM1" t="s">
        <v>13549</v>
      </c>
      <c r="KVN1" t="s">
        <v>13550</v>
      </c>
      <c r="KVO1" t="s">
        <v>13551</v>
      </c>
      <c r="KVP1" t="s">
        <v>13552</v>
      </c>
      <c r="KVQ1" t="s">
        <v>13553</v>
      </c>
      <c r="KVR1" t="s">
        <v>13554</v>
      </c>
      <c r="KVS1" t="s">
        <v>13555</v>
      </c>
      <c r="KVT1" t="s">
        <v>13556</v>
      </c>
      <c r="KVU1" t="s">
        <v>13557</v>
      </c>
      <c r="KVV1" t="s">
        <v>13558</v>
      </c>
      <c r="KVW1" t="s">
        <v>13559</v>
      </c>
      <c r="KVX1" t="s">
        <v>13560</v>
      </c>
      <c r="KVY1" t="s">
        <v>13561</v>
      </c>
      <c r="KVZ1" t="s">
        <v>13562</v>
      </c>
      <c r="KWA1" t="s">
        <v>13563</v>
      </c>
      <c r="KWB1" t="s">
        <v>13564</v>
      </c>
      <c r="KWC1" t="s">
        <v>13565</v>
      </c>
      <c r="KWD1" t="s">
        <v>13566</v>
      </c>
      <c r="KWE1" t="s">
        <v>13567</v>
      </c>
      <c r="KWF1" t="s">
        <v>13568</v>
      </c>
      <c r="KWG1" t="s">
        <v>13569</v>
      </c>
      <c r="KWH1" t="s">
        <v>13570</v>
      </c>
      <c r="KWI1" t="s">
        <v>13571</v>
      </c>
      <c r="KWJ1" t="s">
        <v>13572</v>
      </c>
      <c r="KWK1" t="s">
        <v>13573</v>
      </c>
      <c r="KWL1" t="s">
        <v>13574</v>
      </c>
      <c r="KWM1" t="s">
        <v>13575</v>
      </c>
      <c r="KWN1" t="s">
        <v>13576</v>
      </c>
      <c r="KWO1" t="s">
        <v>13577</v>
      </c>
      <c r="KWP1" t="s">
        <v>13578</v>
      </c>
      <c r="KWQ1" t="s">
        <v>13579</v>
      </c>
      <c r="KWR1" t="s">
        <v>13580</v>
      </c>
      <c r="KWS1" t="s">
        <v>13581</v>
      </c>
      <c r="KWT1" t="s">
        <v>13582</v>
      </c>
      <c r="KWU1" t="s">
        <v>13583</v>
      </c>
      <c r="KWV1" t="s">
        <v>13584</v>
      </c>
      <c r="KWW1" t="s">
        <v>13585</v>
      </c>
      <c r="KWX1" t="s">
        <v>13586</v>
      </c>
      <c r="KWY1" t="s">
        <v>13587</v>
      </c>
      <c r="KWZ1" t="s">
        <v>13588</v>
      </c>
      <c r="KXA1" t="s">
        <v>13589</v>
      </c>
      <c r="KXB1" t="s">
        <v>13590</v>
      </c>
      <c r="KXC1" t="s">
        <v>13591</v>
      </c>
      <c r="KXD1" t="s">
        <v>13592</v>
      </c>
      <c r="KXE1" t="s">
        <v>13593</v>
      </c>
      <c r="KXF1" t="s">
        <v>13594</v>
      </c>
      <c r="KXG1" t="s">
        <v>13595</v>
      </c>
      <c r="KXH1" t="s">
        <v>13596</v>
      </c>
      <c r="KXI1" t="s">
        <v>13597</v>
      </c>
      <c r="KXJ1" t="s">
        <v>13598</v>
      </c>
      <c r="KXK1" t="s">
        <v>13599</v>
      </c>
      <c r="KXL1" t="s">
        <v>13600</v>
      </c>
      <c r="KXM1" t="s">
        <v>13601</v>
      </c>
      <c r="KXN1" t="s">
        <v>13602</v>
      </c>
      <c r="KXO1" t="s">
        <v>13603</v>
      </c>
      <c r="KXP1" t="s">
        <v>13604</v>
      </c>
      <c r="KXQ1" t="s">
        <v>13605</v>
      </c>
      <c r="KXR1" t="s">
        <v>13606</v>
      </c>
      <c r="KXS1" t="s">
        <v>13607</v>
      </c>
      <c r="KXT1" t="s">
        <v>13608</v>
      </c>
      <c r="KXU1" t="s">
        <v>13609</v>
      </c>
      <c r="KXV1" t="s">
        <v>13610</v>
      </c>
      <c r="KXW1" t="s">
        <v>13611</v>
      </c>
      <c r="KXX1" t="s">
        <v>13612</v>
      </c>
      <c r="KXY1" t="s">
        <v>13613</v>
      </c>
      <c r="KXZ1" t="s">
        <v>13614</v>
      </c>
      <c r="KYA1" t="s">
        <v>13615</v>
      </c>
      <c r="KYB1" t="s">
        <v>13616</v>
      </c>
      <c r="KYC1" t="s">
        <v>13617</v>
      </c>
      <c r="KYD1" t="s">
        <v>13618</v>
      </c>
      <c r="KYE1" t="s">
        <v>13619</v>
      </c>
      <c r="KYF1" t="s">
        <v>13620</v>
      </c>
      <c r="KYG1" t="s">
        <v>13621</v>
      </c>
      <c r="KYH1" t="s">
        <v>13622</v>
      </c>
      <c r="KYI1" t="s">
        <v>13623</v>
      </c>
      <c r="KYJ1" t="s">
        <v>13624</v>
      </c>
      <c r="KYK1" t="s">
        <v>13625</v>
      </c>
      <c r="KYL1" t="s">
        <v>13626</v>
      </c>
      <c r="KYM1" t="s">
        <v>13627</v>
      </c>
      <c r="KYN1" t="s">
        <v>13628</v>
      </c>
      <c r="KYO1" t="s">
        <v>13629</v>
      </c>
      <c r="KYP1" t="s">
        <v>13630</v>
      </c>
      <c r="KYQ1" t="s">
        <v>13631</v>
      </c>
      <c r="KYR1" t="s">
        <v>13632</v>
      </c>
      <c r="KYS1" t="s">
        <v>13633</v>
      </c>
      <c r="KYT1" t="s">
        <v>13634</v>
      </c>
      <c r="KYU1" t="s">
        <v>13635</v>
      </c>
      <c r="KYV1" t="s">
        <v>13636</v>
      </c>
      <c r="KYW1" t="s">
        <v>13637</v>
      </c>
      <c r="KYX1" t="s">
        <v>13638</v>
      </c>
      <c r="KYY1" t="s">
        <v>13639</v>
      </c>
      <c r="KYZ1" t="s">
        <v>13640</v>
      </c>
      <c r="KZA1" t="s">
        <v>13641</v>
      </c>
      <c r="KZB1" t="s">
        <v>13642</v>
      </c>
      <c r="KZC1" t="s">
        <v>13643</v>
      </c>
      <c r="KZD1" t="s">
        <v>13644</v>
      </c>
      <c r="KZE1" t="s">
        <v>13645</v>
      </c>
      <c r="KZF1" t="s">
        <v>13646</v>
      </c>
      <c r="KZG1" t="s">
        <v>13647</v>
      </c>
      <c r="KZH1" t="s">
        <v>13648</v>
      </c>
      <c r="KZI1" t="s">
        <v>13649</v>
      </c>
      <c r="KZJ1" t="s">
        <v>13650</v>
      </c>
      <c r="KZK1" t="s">
        <v>13651</v>
      </c>
      <c r="KZL1" t="s">
        <v>13652</v>
      </c>
      <c r="KZM1" t="s">
        <v>13653</v>
      </c>
      <c r="KZN1" t="s">
        <v>13654</v>
      </c>
      <c r="KZO1" t="s">
        <v>13655</v>
      </c>
      <c r="KZP1" t="s">
        <v>13656</v>
      </c>
      <c r="KZQ1" t="s">
        <v>13657</v>
      </c>
      <c r="KZR1" t="s">
        <v>13658</v>
      </c>
      <c r="KZS1" t="s">
        <v>13659</v>
      </c>
      <c r="KZT1" t="s">
        <v>13660</v>
      </c>
      <c r="KZU1" t="s">
        <v>13661</v>
      </c>
      <c r="KZV1" t="s">
        <v>13662</v>
      </c>
      <c r="KZW1" t="s">
        <v>13663</v>
      </c>
      <c r="KZX1" t="s">
        <v>13664</v>
      </c>
      <c r="KZY1" t="s">
        <v>13665</v>
      </c>
      <c r="KZZ1" t="s">
        <v>13666</v>
      </c>
      <c r="LAA1" t="s">
        <v>13667</v>
      </c>
      <c r="LAB1" t="s">
        <v>13668</v>
      </c>
      <c r="LAC1" t="s">
        <v>13669</v>
      </c>
      <c r="LAD1" t="s">
        <v>13670</v>
      </c>
      <c r="LAE1" t="s">
        <v>13671</v>
      </c>
      <c r="LAF1" t="s">
        <v>13672</v>
      </c>
      <c r="LAG1" t="s">
        <v>13673</v>
      </c>
      <c r="LAH1" t="s">
        <v>13674</v>
      </c>
      <c r="LAI1" t="s">
        <v>13675</v>
      </c>
      <c r="LAJ1" t="s">
        <v>13676</v>
      </c>
      <c r="LAK1" t="s">
        <v>13677</v>
      </c>
      <c r="LAL1" t="s">
        <v>13678</v>
      </c>
      <c r="LAM1" t="s">
        <v>13679</v>
      </c>
      <c r="LAN1" t="s">
        <v>13680</v>
      </c>
      <c r="LAO1" t="s">
        <v>13681</v>
      </c>
      <c r="LAP1" t="s">
        <v>13682</v>
      </c>
      <c r="LAQ1" t="s">
        <v>13683</v>
      </c>
      <c r="LAR1" t="s">
        <v>13684</v>
      </c>
      <c r="LAS1" t="s">
        <v>13685</v>
      </c>
      <c r="LAT1" t="s">
        <v>13686</v>
      </c>
      <c r="LAU1" t="s">
        <v>13687</v>
      </c>
      <c r="LAV1" t="s">
        <v>13688</v>
      </c>
      <c r="LAW1" t="s">
        <v>13689</v>
      </c>
      <c r="LAX1" t="s">
        <v>13690</v>
      </c>
      <c r="LAY1" t="s">
        <v>13691</v>
      </c>
      <c r="LAZ1" t="s">
        <v>13692</v>
      </c>
      <c r="LBA1" t="s">
        <v>13693</v>
      </c>
      <c r="LBB1" t="s">
        <v>13694</v>
      </c>
      <c r="LBC1" t="s">
        <v>13695</v>
      </c>
      <c r="LBD1" t="s">
        <v>13696</v>
      </c>
      <c r="LBE1" t="s">
        <v>13697</v>
      </c>
      <c r="LBF1" t="s">
        <v>13698</v>
      </c>
      <c r="LBG1" t="s">
        <v>13699</v>
      </c>
      <c r="LBH1" t="s">
        <v>13700</v>
      </c>
      <c r="LBI1" t="s">
        <v>13701</v>
      </c>
      <c r="LBJ1" t="s">
        <v>13702</v>
      </c>
      <c r="LBK1" t="s">
        <v>13703</v>
      </c>
      <c r="LBL1" t="s">
        <v>13704</v>
      </c>
      <c r="LBM1" t="s">
        <v>13705</v>
      </c>
      <c r="LBN1" t="s">
        <v>13706</v>
      </c>
      <c r="LBO1" t="s">
        <v>13707</v>
      </c>
      <c r="LBP1" t="s">
        <v>13708</v>
      </c>
      <c r="LBQ1" t="s">
        <v>13709</v>
      </c>
      <c r="LBR1" t="s">
        <v>13710</v>
      </c>
      <c r="LBS1" t="s">
        <v>13711</v>
      </c>
      <c r="LBT1" t="s">
        <v>13712</v>
      </c>
      <c r="LBU1" t="s">
        <v>13713</v>
      </c>
      <c r="LBV1" t="s">
        <v>13714</v>
      </c>
      <c r="LBW1" t="s">
        <v>13715</v>
      </c>
      <c r="LBX1" t="s">
        <v>13716</v>
      </c>
      <c r="LBY1" t="s">
        <v>13717</v>
      </c>
      <c r="LBZ1" t="s">
        <v>13718</v>
      </c>
      <c r="LCA1" t="s">
        <v>13719</v>
      </c>
      <c r="LCB1" t="s">
        <v>13720</v>
      </c>
      <c r="LCC1" t="s">
        <v>13721</v>
      </c>
      <c r="LCD1" t="s">
        <v>13722</v>
      </c>
      <c r="LCE1" t="s">
        <v>13723</v>
      </c>
      <c r="LCF1" t="s">
        <v>13724</v>
      </c>
      <c r="LCG1" t="s">
        <v>13725</v>
      </c>
      <c r="LCH1" t="s">
        <v>13726</v>
      </c>
      <c r="LCI1" t="s">
        <v>13727</v>
      </c>
      <c r="LCJ1" t="s">
        <v>13728</v>
      </c>
      <c r="LCK1" t="s">
        <v>13729</v>
      </c>
      <c r="LCL1" t="s">
        <v>13730</v>
      </c>
      <c r="LCM1" t="s">
        <v>13731</v>
      </c>
      <c r="LCN1" t="s">
        <v>13732</v>
      </c>
      <c r="LCO1" t="s">
        <v>13733</v>
      </c>
      <c r="LCP1" t="s">
        <v>13734</v>
      </c>
      <c r="LCQ1" t="s">
        <v>13735</v>
      </c>
      <c r="LCR1" t="s">
        <v>13736</v>
      </c>
      <c r="LCS1" t="s">
        <v>13737</v>
      </c>
      <c r="LCT1" t="s">
        <v>13738</v>
      </c>
      <c r="LCU1" t="s">
        <v>13739</v>
      </c>
      <c r="LCV1" t="s">
        <v>13740</v>
      </c>
      <c r="LCW1" t="s">
        <v>13741</v>
      </c>
      <c r="LCX1" t="s">
        <v>13742</v>
      </c>
      <c r="LCY1" t="s">
        <v>13743</v>
      </c>
      <c r="LCZ1" t="s">
        <v>13744</v>
      </c>
      <c r="LDA1" t="s">
        <v>13745</v>
      </c>
      <c r="LDB1" t="s">
        <v>13746</v>
      </c>
      <c r="LDC1" t="s">
        <v>13747</v>
      </c>
      <c r="LDD1" t="s">
        <v>13748</v>
      </c>
      <c r="LDE1" t="s">
        <v>13749</v>
      </c>
      <c r="LDF1" t="s">
        <v>13750</v>
      </c>
      <c r="LDG1" t="s">
        <v>13751</v>
      </c>
      <c r="LDH1" t="s">
        <v>13752</v>
      </c>
      <c r="LDI1" t="s">
        <v>13753</v>
      </c>
      <c r="LDJ1" t="s">
        <v>13754</v>
      </c>
      <c r="LDK1" t="s">
        <v>13755</v>
      </c>
      <c r="LDL1" t="s">
        <v>13756</v>
      </c>
      <c r="LDM1" t="s">
        <v>13757</v>
      </c>
      <c r="LDN1" t="s">
        <v>13758</v>
      </c>
      <c r="LDO1" t="s">
        <v>13759</v>
      </c>
      <c r="LDP1" t="s">
        <v>13760</v>
      </c>
      <c r="LDQ1" t="s">
        <v>13761</v>
      </c>
      <c r="LDR1" t="s">
        <v>13762</v>
      </c>
      <c r="LDS1" t="s">
        <v>13763</v>
      </c>
      <c r="LDT1" t="s">
        <v>13764</v>
      </c>
      <c r="LDU1" t="s">
        <v>13765</v>
      </c>
      <c r="LDV1" t="s">
        <v>13766</v>
      </c>
      <c r="LDW1" t="s">
        <v>13767</v>
      </c>
      <c r="LDX1" t="s">
        <v>13768</v>
      </c>
      <c r="LDY1" t="s">
        <v>13769</v>
      </c>
      <c r="LDZ1" t="s">
        <v>13770</v>
      </c>
      <c r="LEA1" t="s">
        <v>13771</v>
      </c>
      <c r="LEB1" t="s">
        <v>13772</v>
      </c>
      <c r="LEC1" t="s">
        <v>13773</v>
      </c>
      <c r="LED1" t="s">
        <v>13774</v>
      </c>
      <c r="LEE1" t="s">
        <v>13775</v>
      </c>
      <c r="LEF1" t="s">
        <v>13776</v>
      </c>
      <c r="LEG1" t="s">
        <v>13777</v>
      </c>
      <c r="LEH1" t="s">
        <v>13778</v>
      </c>
      <c r="LEI1" t="s">
        <v>13779</v>
      </c>
      <c r="LEJ1" t="s">
        <v>13780</v>
      </c>
      <c r="LEK1" t="s">
        <v>13781</v>
      </c>
      <c r="LEL1" t="s">
        <v>13782</v>
      </c>
      <c r="LEM1" t="s">
        <v>13783</v>
      </c>
      <c r="LEN1" t="s">
        <v>13784</v>
      </c>
      <c r="LEO1" t="s">
        <v>13785</v>
      </c>
      <c r="LEP1" t="s">
        <v>13786</v>
      </c>
      <c r="LEQ1" t="s">
        <v>13787</v>
      </c>
      <c r="LER1" t="s">
        <v>13788</v>
      </c>
      <c r="LES1" t="s">
        <v>13789</v>
      </c>
      <c r="LET1" t="s">
        <v>13790</v>
      </c>
      <c r="LEU1" t="s">
        <v>13791</v>
      </c>
      <c r="LEV1" t="s">
        <v>13792</v>
      </c>
      <c r="LEW1" t="s">
        <v>13793</v>
      </c>
      <c r="LEX1" t="s">
        <v>13794</v>
      </c>
      <c r="LEY1" t="s">
        <v>13795</v>
      </c>
      <c r="LEZ1" t="s">
        <v>13796</v>
      </c>
      <c r="LFA1" t="s">
        <v>13797</v>
      </c>
      <c r="LFB1" t="s">
        <v>13798</v>
      </c>
      <c r="LFC1" t="s">
        <v>13799</v>
      </c>
      <c r="LFD1" t="s">
        <v>13800</v>
      </c>
      <c r="LFE1" t="s">
        <v>13801</v>
      </c>
      <c r="LFF1" t="s">
        <v>13802</v>
      </c>
      <c r="LFG1" t="s">
        <v>13803</v>
      </c>
      <c r="LFH1" t="s">
        <v>13804</v>
      </c>
      <c r="LFI1" t="s">
        <v>13805</v>
      </c>
      <c r="LFJ1" t="s">
        <v>13806</v>
      </c>
      <c r="LFK1" t="s">
        <v>13807</v>
      </c>
      <c r="LFL1" t="s">
        <v>13808</v>
      </c>
      <c r="LFM1" t="s">
        <v>13809</v>
      </c>
      <c r="LFN1" t="s">
        <v>13810</v>
      </c>
      <c r="LFO1" t="s">
        <v>13811</v>
      </c>
      <c r="LFP1" t="s">
        <v>13812</v>
      </c>
      <c r="LFQ1" t="s">
        <v>13813</v>
      </c>
      <c r="LFR1" t="s">
        <v>13814</v>
      </c>
      <c r="LFS1" t="s">
        <v>13815</v>
      </c>
      <c r="LFT1" t="s">
        <v>13816</v>
      </c>
      <c r="LFU1" t="s">
        <v>13817</v>
      </c>
      <c r="LFV1" t="s">
        <v>13818</v>
      </c>
      <c r="LFW1" t="s">
        <v>13819</v>
      </c>
      <c r="LFX1" t="s">
        <v>13820</v>
      </c>
      <c r="LFY1" t="s">
        <v>13821</v>
      </c>
      <c r="LFZ1" t="s">
        <v>13822</v>
      </c>
      <c r="LGA1" t="s">
        <v>13823</v>
      </c>
      <c r="LGB1" t="s">
        <v>13824</v>
      </c>
      <c r="LGC1" t="s">
        <v>13825</v>
      </c>
      <c r="LGD1" t="s">
        <v>13826</v>
      </c>
      <c r="LGE1" t="s">
        <v>13827</v>
      </c>
      <c r="LGF1" t="s">
        <v>13828</v>
      </c>
      <c r="LGG1" t="s">
        <v>13829</v>
      </c>
      <c r="LGH1" t="s">
        <v>13830</v>
      </c>
      <c r="LGI1" t="s">
        <v>13831</v>
      </c>
      <c r="LGJ1" t="s">
        <v>13832</v>
      </c>
      <c r="LGK1" t="s">
        <v>13833</v>
      </c>
      <c r="LGL1" t="s">
        <v>13834</v>
      </c>
      <c r="LGM1" t="s">
        <v>13835</v>
      </c>
      <c r="LGN1" t="s">
        <v>13836</v>
      </c>
      <c r="LGO1" t="s">
        <v>13837</v>
      </c>
      <c r="LGP1" t="s">
        <v>13838</v>
      </c>
      <c r="LGQ1" t="s">
        <v>13839</v>
      </c>
      <c r="LGR1" t="s">
        <v>13840</v>
      </c>
      <c r="LGS1" t="s">
        <v>13841</v>
      </c>
      <c r="LGT1" t="s">
        <v>13842</v>
      </c>
      <c r="LGU1" t="s">
        <v>13843</v>
      </c>
      <c r="LGV1" t="s">
        <v>13844</v>
      </c>
      <c r="LGW1" t="s">
        <v>13845</v>
      </c>
      <c r="LGX1" t="s">
        <v>13846</v>
      </c>
      <c r="LGY1" t="s">
        <v>13847</v>
      </c>
      <c r="LGZ1" t="s">
        <v>13848</v>
      </c>
      <c r="LHA1" t="s">
        <v>13849</v>
      </c>
      <c r="LHB1" t="s">
        <v>13850</v>
      </c>
      <c r="LHC1" t="s">
        <v>13851</v>
      </c>
      <c r="LHD1" t="s">
        <v>13852</v>
      </c>
      <c r="LHE1" t="s">
        <v>13853</v>
      </c>
      <c r="LHF1" t="s">
        <v>13854</v>
      </c>
      <c r="LHG1" t="s">
        <v>13855</v>
      </c>
      <c r="LHH1" t="s">
        <v>13856</v>
      </c>
      <c r="LHI1" t="s">
        <v>13857</v>
      </c>
      <c r="LHJ1" t="s">
        <v>13858</v>
      </c>
      <c r="LHK1" t="s">
        <v>13859</v>
      </c>
      <c r="LHL1" t="s">
        <v>13860</v>
      </c>
      <c r="LHM1" t="s">
        <v>13861</v>
      </c>
      <c r="LHN1" t="s">
        <v>13862</v>
      </c>
      <c r="LHO1" t="s">
        <v>13863</v>
      </c>
      <c r="LHP1" t="s">
        <v>13864</v>
      </c>
      <c r="LHQ1" t="s">
        <v>13865</v>
      </c>
      <c r="LHR1" t="s">
        <v>13866</v>
      </c>
      <c r="LHS1" t="s">
        <v>13867</v>
      </c>
      <c r="LHT1" t="s">
        <v>13868</v>
      </c>
      <c r="LHU1" t="s">
        <v>13869</v>
      </c>
      <c r="LHV1" t="s">
        <v>13870</v>
      </c>
      <c r="LHW1" t="s">
        <v>13871</v>
      </c>
      <c r="LHX1" t="s">
        <v>13872</v>
      </c>
      <c r="LHY1" t="s">
        <v>13873</v>
      </c>
      <c r="LHZ1" t="s">
        <v>13874</v>
      </c>
      <c r="LIA1" t="s">
        <v>13875</v>
      </c>
      <c r="LIB1" t="s">
        <v>13876</v>
      </c>
      <c r="LIC1" t="s">
        <v>13877</v>
      </c>
      <c r="LID1" t="s">
        <v>13878</v>
      </c>
      <c r="LIE1" t="s">
        <v>13879</v>
      </c>
      <c r="LIF1" t="s">
        <v>13880</v>
      </c>
      <c r="LIG1" t="s">
        <v>13881</v>
      </c>
      <c r="LIH1" t="s">
        <v>13882</v>
      </c>
      <c r="LII1" t="s">
        <v>13883</v>
      </c>
      <c r="LIJ1" t="s">
        <v>13884</v>
      </c>
      <c r="LIK1" t="s">
        <v>13885</v>
      </c>
      <c r="LIL1" t="s">
        <v>13886</v>
      </c>
      <c r="LIM1" t="s">
        <v>13887</v>
      </c>
      <c r="LIN1" t="s">
        <v>13888</v>
      </c>
      <c r="LIO1" t="s">
        <v>13889</v>
      </c>
      <c r="LIP1" t="s">
        <v>13890</v>
      </c>
      <c r="LIQ1" t="s">
        <v>13891</v>
      </c>
      <c r="LIR1" t="s">
        <v>13892</v>
      </c>
      <c r="LIS1" t="s">
        <v>13893</v>
      </c>
      <c r="LIT1" t="s">
        <v>13894</v>
      </c>
      <c r="LIU1" t="s">
        <v>13895</v>
      </c>
      <c r="LIV1" t="s">
        <v>13896</v>
      </c>
      <c r="LIW1" t="s">
        <v>13897</v>
      </c>
      <c r="LIX1" t="s">
        <v>13898</v>
      </c>
      <c r="LIY1" t="s">
        <v>13899</v>
      </c>
      <c r="LIZ1" t="s">
        <v>13900</v>
      </c>
      <c r="LJA1" t="s">
        <v>13901</v>
      </c>
      <c r="LJB1" t="s">
        <v>13902</v>
      </c>
      <c r="LJC1" t="s">
        <v>13903</v>
      </c>
      <c r="LJD1" t="s">
        <v>13904</v>
      </c>
      <c r="LJE1" t="s">
        <v>13905</v>
      </c>
      <c r="LJF1" t="s">
        <v>13906</v>
      </c>
      <c r="LJG1" t="s">
        <v>13907</v>
      </c>
      <c r="LJH1" t="s">
        <v>13908</v>
      </c>
      <c r="LJI1" t="s">
        <v>13909</v>
      </c>
      <c r="LJJ1" t="s">
        <v>13910</v>
      </c>
      <c r="LJK1" t="s">
        <v>13911</v>
      </c>
      <c r="LJL1" t="s">
        <v>13912</v>
      </c>
      <c r="LJM1" t="s">
        <v>13913</v>
      </c>
      <c r="LJN1" t="s">
        <v>13914</v>
      </c>
      <c r="LJO1" t="s">
        <v>13915</v>
      </c>
      <c r="LJP1" t="s">
        <v>13916</v>
      </c>
      <c r="LJQ1" t="s">
        <v>13917</v>
      </c>
      <c r="LJR1" t="s">
        <v>13918</v>
      </c>
      <c r="LJS1" t="s">
        <v>13919</v>
      </c>
      <c r="LJT1" t="s">
        <v>13920</v>
      </c>
      <c r="LJU1" t="s">
        <v>13921</v>
      </c>
      <c r="LJV1" t="s">
        <v>13922</v>
      </c>
      <c r="LJW1" t="s">
        <v>13923</v>
      </c>
      <c r="LJX1" t="s">
        <v>13924</v>
      </c>
      <c r="LJY1" t="s">
        <v>13925</v>
      </c>
      <c r="LJZ1" t="s">
        <v>13926</v>
      </c>
      <c r="LKA1" t="s">
        <v>13927</v>
      </c>
      <c r="LKB1" t="s">
        <v>13928</v>
      </c>
      <c r="LKC1" t="s">
        <v>13929</v>
      </c>
      <c r="LKD1" t="s">
        <v>13930</v>
      </c>
      <c r="LKE1" t="s">
        <v>13931</v>
      </c>
      <c r="LKF1" t="s">
        <v>13932</v>
      </c>
      <c r="LKG1" t="s">
        <v>13933</v>
      </c>
      <c r="LKH1" t="s">
        <v>13934</v>
      </c>
      <c r="LKI1" t="s">
        <v>13935</v>
      </c>
      <c r="LKJ1" t="s">
        <v>13936</v>
      </c>
      <c r="LKK1" t="s">
        <v>13937</v>
      </c>
      <c r="LKL1" t="s">
        <v>13938</v>
      </c>
      <c r="LKM1" t="s">
        <v>13939</v>
      </c>
      <c r="LKN1" t="s">
        <v>13940</v>
      </c>
      <c r="LKO1" t="s">
        <v>13941</v>
      </c>
      <c r="LKP1" t="s">
        <v>13942</v>
      </c>
      <c r="LKQ1" t="s">
        <v>13943</v>
      </c>
      <c r="LKR1" t="s">
        <v>13944</v>
      </c>
      <c r="LKS1" t="s">
        <v>13945</v>
      </c>
      <c r="LKT1" t="s">
        <v>13946</v>
      </c>
      <c r="LKU1" t="s">
        <v>13947</v>
      </c>
      <c r="LKV1" t="s">
        <v>13948</v>
      </c>
      <c r="LKW1" t="s">
        <v>13949</v>
      </c>
      <c r="LKX1" t="s">
        <v>13950</v>
      </c>
      <c r="LKY1" t="s">
        <v>13951</v>
      </c>
      <c r="LKZ1" t="s">
        <v>13952</v>
      </c>
      <c r="LLA1" t="s">
        <v>13953</v>
      </c>
      <c r="LLB1" t="s">
        <v>13954</v>
      </c>
      <c r="LLC1" t="s">
        <v>13955</v>
      </c>
      <c r="LLD1" t="s">
        <v>13956</v>
      </c>
      <c r="LLE1" t="s">
        <v>13957</v>
      </c>
      <c r="LLF1" t="s">
        <v>13958</v>
      </c>
      <c r="LLG1" t="s">
        <v>13959</v>
      </c>
      <c r="LLH1" t="s">
        <v>13960</v>
      </c>
      <c r="LLI1" t="s">
        <v>13961</v>
      </c>
      <c r="LLJ1" t="s">
        <v>13962</v>
      </c>
      <c r="LLK1" t="s">
        <v>13963</v>
      </c>
      <c r="LLL1" t="s">
        <v>13964</v>
      </c>
      <c r="LLM1" t="s">
        <v>13965</v>
      </c>
      <c r="LLN1" t="s">
        <v>13966</v>
      </c>
      <c r="LLO1" t="s">
        <v>13967</v>
      </c>
      <c r="LLP1" t="s">
        <v>13968</v>
      </c>
      <c r="LLQ1" t="s">
        <v>13969</v>
      </c>
      <c r="LLR1" t="s">
        <v>13970</v>
      </c>
      <c r="LLS1" t="s">
        <v>13971</v>
      </c>
      <c r="LLT1" t="s">
        <v>13972</v>
      </c>
      <c r="LLU1" t="s">
        <v>13973</v>
      </c>
      <c r="LLV1" t="s">
        <v>13974</v>
      </c>
      <c r="LLW1" t="s">
        <v>13975</v>
      </c>
      <c r="LLX1" t="s">
        <v>13976</v>
      </c>
      <c r="LLY1" t="s">
        <v>13977</v>
      </c>
      <c r="LLZ1" t="s">
        <v>13978</v>
      </c>
      <c r="LMA1" t="s">
        <v>13979</v>
      </c>
      <c r="LMB1" t="s">
        <v>13980</v>
      </c>
      <c r="LMC1" t="s">
        <v>13981</v>
      </c>
      <c r="LMD1" t="s">
        <v>13982</v>
      </c>
      <c r="LME1" t="s">
        <v>13983</v>
      </c>
      <c r="LMF1" t="s">
        <v>13984</v>
      </c>
      <c r="LMG1" t="s">
        <v>13985</v>
      </c>
      <c r="LMH1" t="s">
        <v>13986</v>
      </c>
      <c r="LMI1" t="s">
        <v>13987</v>
      </c>
      <c r="LMJ1" t="s">
        <v>13988</v>
      </c>
      <c r="LMK1" t="s">
        <v>13989</v>
      </c>
      <c r="LML1" t="s">
        <v>13990</v>
      </c>
      <c r="LMM1" t="s">
        <v>13991</v>
      </c>
      <c r="LMN1" t="s">
        <v>13992</v>
      </c>
      <c r="LMO1" t="s">
        <v>13993</v>
      </c>
      <c r="LMP1" t="s">
        <v>13994</v>
      </c>
      <c r="LMQ1" t="s">
        <v>13995</v>
      </c>
      <c r="LMR1" t="s">
        <v>13996</v>
      </c>
      <c r="LMS1" t="s">
        <v>13997</v>
      </c>
      <c r="LMT1" t="s">
        <v>13998</v>
      </c>
      <c r="LMU1" t="s">
        <v>13999</v>
      </c>
      <c r="LMV1" t="s">
        <v>14000</v>
      </c>
      <c r="LMW1" t="s">
        <v>14001</v>
      </c>
      <c r="LMX1" t="s">
        <v>14002</v>
      </c>
      <c r="LMY1" t="s">
        <v>14003</v>
      </c>
      <c r="LMZ1" t="s">
        <v>14004</v>
      </c>
      <c r="LNA1" t="s">
        <v>14005</v>
      </c>
      <c r="LNB1" t="s">
        <v>14006</v>
      </c>
      <c r="LNC1" t="s">
        <v>14007</v>
      </c>
      <c r="LND1" t="s">
        <v>14008</v>
      </c>
      <c r="LNE1" t="s">
        <v>14009</v>
      </c>
      <c r="LNF1" t="s">
        <v>14010</v>
      </c>
      <c r="LNG1" t="s">
        <v>14011</v>
      </c>
      <c r="LNH1" t="s">
        <v>14012</v>
      </c>
      <c r="LNI1" t="s">
        <v>14013</v>
      </c>
      <c r="LNJ1" t="s">
        <v>14014</v>
      </c>
      <c r="LNK1" t="s">
        <v>14015</v>
      </c>
      <c r="LNL1" t="s">
        <v>14016</v>
      </c>
      <c r="LNM1" t="s">
        <v>14017</v>
      </c>
      <c r="LNN1" t="s">
        <v>14018</v>
      </c>
      <c r="LNO1" t="s">
        <v>14019</v>
      </c>
      <c r="LNP1" t="s">
        <v>14020</v>
      </c>
      <c r="LNQ1" t="s">
        <v>14021</v>
      </c>
      <c r="LNR1" t="s">
        <v>14022</v>
      </c>
      <c r="LNS1" t="s">
        <v>14023</v>
      </c>
      <c r="LNT1" t="s">
        <v>14024</v>
      </c>
      <c r="LNU1" t="s">
        <v>14025</v>
      </c>
      <c r="LNV1" t="s">
        <v>14026</v>
      </c>
      <c r="LNW1" t="s">
        <v>14027</v>
      </c>
      <c r="LNX1" t="s">
        <v>14028</v>
      </c>
      <c r="LNY1" t="s">
        <v>14029</v>
      </c>
      <c r="LNZ1" t="s">
        <v>14030</v>
      </c>
      <c r="LOA1" t="s">
        <v>14031</v>
      </c>
      <c r="LOB1" t="s">
        <v>14032</v>
      </c>
      <c r="LOC1" t="s">
        <v>14033</v>
      </c>
      <c r="LOD1" t="s">
        <v>14034</v>
      </c>
      <c r="LOE1" t="s">
        <v>14035</v>
      </c>
      <c r="LOF1" t="s">
        <v>14036</v>
      </c>
      <c r="LOG1" t="s">
        <v>14037</v>
      </c>
      <c r="LOH1" t="s">
        <v>14038</v>
      </c>
      <c r="LOI1" t="s">
        <v>14039</v>
      </c>
      <c r="LOJ1" t="s">
        <v>14040</v>
      </c>
      <c r="LOK1" t="s">
        <v>14041</v>
      </c>
      <c r="LOL1" t="s">
        <v>14042</v>
      </c>
      <c r="LOM1" t="s">
        <v>14043</v>
      </c>
      <c r="LON1" t="s">
        <v>14044</v>
      </c>
      <c r="LOO1" t="s">
        <v>14045</v>
      </c>
      <c r="LOP1" t="s">
        <v>14046</v>
      </c>
      <c r="LOQ1" t="s">
        <v>14047</v>
      </c>
      <c r="LOR1" t="s">
        <v>14048</v>
      </c>
      <c r="LOS1" t="s">
        <v>14049</v>
      </c>
      <c r="LOT1" t="s">
        <v>14050</v>
      </c>
      <c r="LOU1" t="s">
        <v>14051</v>
      </c>
      <c r="LOV1" t="s">
        <v>14052</v>
      </c>
      <c r="LOW1" t="s">
        <v>14053</v>
      </c>
      <c r="LOX1" t="s">
        <v>14054</v>
      </c>
      <c r="LOY1" t="s">
        <v>14055</v>
      </c>
      <c r="LOZ1" t="s">
        <v>14056</v>
      </c>
      <c r="LPA1" t="s">
        <v>14057</v>
      </c>
      <c r="LPB1" t="s">
        <v>14058</v>
      </c>
      <c r="LPC1" t="s">
        <v>14059</v>
      </c>
      <c r="LPD1" t="s">
        <v>14060</v>
      </c>
      <c r="LPE1" t="s">
        <v>14061</v>
      </c>
      <c r="LPF1" t="s">
        <v>14062</v>
      </c>
      <c r="LPG1" t="s">
        <v>14063</v>
      </c>
      <c r="LPH1" t="s">
        <v>14064</v>
      </c>
      <c r="LPI1" t="s">
        <v>14065</v>
      </c>
      <c r="LPJ1" t="s">
        <v>14066</v>
      </c>
      <c r="LPK1" t="s">
        <v>14067</v>
      </c>
      <c r="LPL1" t="s">
        <v>14068</v>
      </c>
      <c r="LPM1" t="s">
        <v>14069</v>
      </c>
      <c r="LPN1" t="s">
        <v>14070</v>
      </c>
      <c r="LPO1" t="s">
        <v>14071</v>
      </c>
      <c r="LPP1" t="s">
        <v>14072</v>
      </c>
      <c r="LPQ1" t="s">
        <v>14073</v>
      </c>
      <c r="LPR1" t="s">
        <v>14074</v>
      </c>
      <c r="LPS1" t="s">
        <v>14075</v>
      </c>
      <c r="LPT1" t="s">
        <v>14076</v>
      </c>
      <c r="LPU1" t="s">
        <v>14077</v>
      </c>
      <c r="LPV1" t="s">
        <v>14078</v>
      </c>
      <c r="LPW1" t="s">
        <v>14079</v>
      </c>
      <c r="LPX1" t="s">
        <v>14080</v>
      </c>
      <c r="LPY1" t="s">
        <v>14081</v>
      </c>
      <c r="LPZ1" t="s">
        <v>14082</v>
      </c>
      <c r="LQA1" t="s">
        <v>14083</v>
      </c>
      <c r="LQB1" t="s">
        <v>14084</v>
      </c>
      <c r="LQC1" t="s">
        <v>14085</v>
      </c>
      <c r="LQD1" t="s">
        <v>14086</v>
      </c>
      <c r="LQE1" t="s">
        <v>14087</v>
      </c>
      <c r="LQF1" t="s">
        <v>14088</v>
      </c>
      <c r="LQG1" t="s">
        <v>14089</v>
      </c>
      <c r="LQH1" t="s">
        <v>14090</v>
      </c>
      <c r="LQI1" t="s">
        <v>14091</v>
      </c>
      <c r="LQJ1" t="s">
        <v>14092</v>
      </c>
      <c r="LQK1" t="s">
        <v>14093</v>
      </c>
      <c r="LQL1" t="s">
        <v>14094</v>
      </c>
      <c r="LQM1" t="s">
        <v>14095</v>
      </c>
      <c r="LQN1" t="s">
        <v>14096</v>
      </c>
      <c r="LQO1" t="s">
        <v>14097</v>
      </c>
      <c r="LQP1" t="s">
        <v>14098</v>
      </c>
      <c r="LQQ1" t="s">
        <v>14099</v>
      </c>
      <c r="LQR1" t="s">
        <v>14100</v>
      </c>
      <c r="LQS1" t="s">
        <v>14101</v>
      </c>
      <c r="LQT1" t="s">
        <v>14102</v>
      </c>
      <c r="LQU1" t="s">
        <v>14103</v>
      </c>
      <c r="LQV1" t="s">
        <v>14104</v>
      </c>
      <c r="LQW1" t="s">
        <v>14105</v>
      </c>
      <c r="LQX1" t="s">
        <v>14106</v>
      </c>
      <c r="LQY1" t="s">
        <v>14107</v>
      </c>
      <c r="LQZ1" t="s">
        <v>14108</v>
      </c>
      <c r="LRA1" t="s">
        <v>14109</v>
      </c>
      <c r="LRB1" t="s">
        <v>14110</v>
      </c>
      <c r="LRC1" t="s">
        <v>14111</v>
      </c>
      <c r="LRD1" t="s">
        <v>14112</v>
      </c>
      <c r="LRE1" t="s">
        <v>14113</v>
      </c>
      <c r="LRF1" t="s">
        <v>14114</v>
      </c>
      <c r="LRG1" t="s">
        <v>14115</v>
      </c>
      <c r="LRH1" t="s">
        <v>14116</v>
      </c>
      <c r="LRI1" t="s">
        <v>14117</v>
      </c>
      <c r="LRJ1" t="s">
        <v>14118</v>
      </c>
      <c r="LRK1" t="s">
        <v>14119</v>
      </c>
      <c r="LRL1" t="s">
        <v>14120</v>
      </c>
      <c r="LRM1" t="s">
        <v>14121</v>
      </c>
      <c r="LRN1" t="s">
        <v>14122</v>
      </c>
      <c r="LRO1" t="s">
        <v>14123</v>
      </c>
      <c r="LRP1" t="s">
        <v>14124</v>
      </c>
      <c r="LRQ1" t="s">
        <v>14125</v>
      </c>
      <c r="LRR1" t="s">
        <v>14126</v>
      </c>
      <c r="LRS1" t="s">
        <v>14127</v>
      </c>
      <c r="LRT1" t="s">
        <v>14128</v>
      </c>
      <c r="LRU1" t="s">
        <v>14129</v>
      </c>
      <c r="LRV1" t="s">
        <v>14130</v>
      </c>
      <c r="LRW1" t="s">
        <v>14131</v>
      </c>
      <c r="LRX1" t="s">
        <v>14132</v>
      </c>
      <c r="LRY1" t="s">
        <v>14133</v>
      </c>
      <c r="LRZ1" t="s">
        <v>14134</v>
      </c>
      <c r="LSA1" t="s">
        <v>14135</v>
      </c>
      <c r="LSB1" t="s">
        <v>14136</v>
      </c>
      <c r="LSC1" t="s">
        <v>14137</v>
      </c>
      <c r="LSD1" t="s">
        <v>14138</v>
      </c>
      <c r="LSE1" t="s">
        <v>14139</v>
      </c>
      <c r="LSF1" t="s">
        <v>14140</v>
      </c>
      <c r="LSG1" t="s">
        <v>14141</v>
      </c>
      <c r="LSH1" t="s">
        <v>14142</v>
      </c>
      <c r="LSI1" t="s">
        <v>14143</v>
      </c>
      <c r="LSJ1" t="s">
        <v>14144</v>
      </c>
      <c r="LSK1" t="s">
        <v>14145</v>
      </c>
      <c r="LSL1" t="s">
        <v>14146</v>
      </c>
      <c r="LSM1" t="s">
        <v>14147</v>
      </c>
      <c r="LSN1" t="s">
        <v>14148</v>
      </c>
      <c r="LSO1" t="s">
        <v>14149</v>
      </c>
      <c r="LSP1" t="s">
        <v>14150</v>
      </c>
      <c r="LSQ1" t="s">
        <v>14151</v>
      </c>
      <c r="LSR1" t="s">
        <v>14152</v>
      </c>
      <c r="LSS1" t="s">
        <v>14153</v>
      </c>
      <c r="LST1" t="s">
        <v>14154</v>
      </c>
      <c r="LSU1" t="s">
        <v>14155</v>
      </c>
      <c r="LSV1" t="s">
        <v>14156</v>
      </c>
      <c r="LSW1" t="s">
        <v>14157</v>
      </c>
      <c r="LSX1" t="s">
        <v>14158</v>
      </c>
      <c r="LSY1" t="s">
        <v>14159</v>
      </c>
      <c r="LSZ1" t="s">
        <v>14160</v>
      </c>
      <c r="LTA1" t="s">
        <v>14161</v>
      </c>
      <c r="LTB1" t="s">
        <v>14162</v>
      </c>
      <c r="LTC1" t="s">
        <v>14163</v>
      </c>
      <c r="LTD1" t="s">
        <v>14164</v>
      </c>
      <c r="LTE1" t="s">
        <v>14165</v>
      </c>
      <c r="LTF1" t="s">
        <v>14166</v>
      </c>
      <c r="LTG1" t="s">
        <v>14167</v>
      </c>
      <c r="LTH1" t="s">
        <v>14168</v>
      </c>
      <c r="LTI1" t="s">
        <v>14169</v>
      </c>
      <c r="LTJ1" t="s">
        <v>14170</v>
      </c>
      <c r="LTK1" t="s">
        <v>14171</v>
      </c>
      <c r="LTL1" t="s">
        <v>14172</v>
      </c>
      <c r="LTM1" t="s">
        <v>14173</v>
      </c>
      <c r="LTN1" t="s">
        <v>14174</v>
      </c>
      <c r="LTO1" t="s">
        <v>14175</v>
      </c>
      <c r="LTP1" t="s">
        <v>14176</v>
      </c>
      <c r="LTQ1" t="s">
        <v>14177</v>
      </c>
      <c r="LTR1" t="s">
        <v>14178</v>
      </c>
      <c r="LTS1" t="s">
        <v>14179</v>
      </c>
      <c r="LTT1" t="s">
        <v>14180</v>
      </c>
      <c r="LTU1" t="s">
        <v>14181</v>
      </c>
      <c r="LTV1" t="s">
        <v>14182</v>
      </c>
      <c r="LTW1" t="s">
        <v>14183</v>
      </c>
      <c r="LTX1" t="s">
        <v>14184</v>
      </c>
      <c r="LTY1" t="s">
        <v>14185</v>
      </c>
      <c r="LTZ1" t="s">
        <v>14186</v>
      </c>
      <c r="LUA1" t="s">
        <v>14187</v>
      </c>
      <c r="LUB1" t="s">
        <v>14188</v>
      </c>
      <c r="LUC1" t="s">
        <v>14189</v>
      </c>
      <c r="LUD1" t="s">
        <v>14190</v>
      </c>
      <c r="LUE1" t="s">
        <v>14191</v>
      </c>
      <c r="LUF1" t="s">
        <v>14192</v>
      </c>
      <c r="LUG1" t="s">
        <v>14193</v>
      </c>
      <c r="LUH1" t="s">
        <v>14194</v>
      </c>
      <c r="LUI1" t="s">
        <v>14195</v>
      </c>
      <c r="LUJ1" t="s">
        <v>14196</v>
      </c>
      <c r="LUK1" t="s">
        <v>14197</v>
      </c>
      <c r="LUL1" t="s">
        <v>14198</v>
      </c>
      <c r="LUM1" t="s">
        <v>14199</v>
      </c>
      <c r="LUN1" t="s">
        <v>14200</v>
      </c>
      <c r="LUO1" t="s">
        <v>14201</v>
      </c>
      <c r="LUP1" t="s">
        <v>14202</v>
      </c>
      <c r="LUQ1" t="s">
        <v>14203</v>
      </c>
      <c r="LUR1" t="s">
        <v>14204</v>
      </c>
      <c r="LUS1" t="s">
        <v>14205</v>
      </c>
      <c r="LUT1" t="s">
        <v>14206</v>
      </c>
      <c r="LUU1" t="s">
        <v>14207</v>
      </c>
      <c r="LUV1" t="s">
        <v>14208</v>
      </c>
      <c r="LUW1" t="s">
        <v>14209</v>
      </c>
      <c r="LUX1" t="s">
        <v>14210</v>
      </c>
      <c r="LUY1" t="s">
        <v>14211</v>
      </c>
      <c r="LUZ1" t="s">
        <v>14212</v>
      </c>
      <c r="LVA1" t="s">
        <v>14213</v>
      </c>
      <c r="LVB1" t="s">
        <v>14214</v>
      </c>
      <c r="LVC1" t="s">
        <v>14215</v>
      </c>
      <c r="LVD1" t="s">
        <v>14216</v>
      </c>
      <c r="LVE1" t="s">
        <v>14217</v>
      </c>
      <c r="LVF1" t="s">
        <v>14218</v>
      </c>
      <c r="LVG1" t="s">
        <v>14219</v>
      </c>
      <c r="LVH1" t="s">
        <v>14220</v>
      </c>
      <c r="LVI1" t="s">
        <v>14221</v>
      </c>
      <c r="LVJ1" t="s">
        <v>14222</v>
      </c>
      <c r="LVK1" t="s">
        <v>14223</v>
      </c>
      <c r="LVL1" t="s">
        <v>14224</v>
      </c>
      <c r="LVM1" t="s">
        <v>14225</v>
      </c>
      <c r="LVN1" t="s">
        <v>14226</v>
      </c>
      <c r="LVO1" t="s">
        <v>14227</v>
      </c>
      <c r="LVP1" t="s">
        <v>14228</v>
      </c>
      <c r="LVQ1" t="s">
        <v>14229</v>
      </c>
      <c r="LVR1" t="s">
        <v>14230</v>
      </c>
      <c r="LVS1" t="s">
        <v>14231</v>
      </c>
      <c r="LVT1" t="s">
        <v>14232</v>
      </c>
      <c r="LVU1" t="s">
        <v>14233</v>
      </c>
      <c r="LVV1" t="s">
        <v>14234</v>
      </c>
      <c r="LVW1" t="s">
        <v>14235</v>
      </c>
      <c r="LVX1" t="s">
        <v>14236</v>
      </c>
      <c r="LVY1" t="s">
        <v>14237</v>
      </c>
      <c r="LVZ1" t="s">
        <v>14238</v>
      </c>
      <c r="LWA1" t="s">
        <v>14239</v>
      </c>
      <c r="LWB1" t="s">
        <v>14240</v>
      </c>
      <c r="LWC1" t="s">
        <v>14241</v>
      </c>
      <c r="LWD1" t="s">
        <v>14242</v>
      </c>
      <c r="LWE1" t="s">
        <v>14243</v>
      </c>
      <c r="LWF1" t="s">
        <v>14244</v>
      </c>
      <c r="LWG1" t="s">
        <v>14245</v>
      </c>
      <c r="LWH1" t="s">
        <v>14246</v>
      </c>
      <c r="LWI1" t="s">
        <v>14247</v>
      </c>
      <c r="LWJ1" t="s">
        <v>14248</v>
      </c>
      <c r="LWK1" t="s">
        <v>14249</v>
      </c>
      <c r="LWL1" t="s">
        <v>14250</v>
      </c>
      <c r="LWM1" t="s">
        <v>14251</v>
      </c>
      <c r="LWN1" t="s">
        <v>14252</v>
      </c>
      <c r="LWO1" t="s">
        <v>14253</v>
      </c>
      <c r="LWP1" t="s">
        <v>14254</v>
      </c>
      <c r="LWQ1" t="s">
        <v>14255</v>
      </c>
      <c r="LWR1" t="s">
        <v>14256</v>
      </c>
      <c r="LWS1" t="s">
        <v>14257</v>
      </c>
      <c r="LWT1" t="s">
        <v>14258</v>
      </c>
      <c r="LWU1" t="s">
        <v>14259</v>
      </c>
      <c r="LWV1" t="s">
        <v>14260</v>
      </c>
      <c r="LWW1" t="s">
        <v>14261</v>
      </c>
      <c r="LWX1" t="s">
        <v>14262</v>
      </c>
      <c r="LWY1" t="s">
        <v>14263</v>
      </c>
      <c r="LWZ1" t="s">
        <v>14264</v>
      </c>
      <c r="LXA1" t="s">
        <v>14265</v>
      </c>
      <c r="LXB1" t="s">
        <v>14266</v>
      </c>
      <c r="LXC1" t="s">
        <v>14267</v>
      </c>
      <c r="LXD1" t="s">
        <v>14268</v>
      </c>
      <c r="LXE1" t="s">
        <v>14269</v>
      </c>
      <c r="LXF1" t="s">
        <v>14270</v>
      </c>
      <c r="LXG1" t="s">
        <v>14271</v>
      </c>
      <c r="LXH1" t="s">
        <v>14272</v>
      </c>
      <c r="LXI1" t="s">
        <v>14273</v>
      </c>
      <c r="LXJ1" t="s">
        <v>14274</v>
      </c>
      <c r="LXK1" t="s">
        <v>14275</v>
      </c>
      <c r="LXL1" t="s">
        <v>14276</v>
      </c>
      <c r="LXM1" t="s">
        <v>14277</v>
      </c>
      <c r="LXN1" t="s">
        <v>14278</v>
      </c>
      <c r="LXO1" t="s">
        <v>14279</v>
      </c>
      <c r="LXP1" t="s">
        <v>14280</v>
      </c>
      <c r="LXQ1" t="s">
        <v>14281</v>
      </c>
      <c r="LXR1" t="s">
        <v>14282</v>
      </c>
      <c r="LXS1" t="s">
        <v>14283</v>
      </c>
      <c r="LXT1" t="s">
        <v>14284</v>
      </c>
      <c r="LXU1" t="s">
        <v>14285</v>
      </c>
      <c r="LXV1" t="s">
        <v>14286</v>
      </c>
      <c r="LXW1" t="s">
        <v>14287</v>
      </c>
      <c r="LXX1" t="s">
        <v>14288</v>
      </c>
      <c r="LXY1" t="s">
        <v>14289</v>
      </c>
      <c r="LXZ1" t="s">
        <v>14290</v>
      </c>
      <c r="LYA1" t="s">
        <v>14291</v>
      </c>
      <c r="LYB1" t="s">
        <v>14292</v>
      </c>
      <c r="LYC1" t="s">
        <v>14293</v>
      </c>
      <c r="LYD1" t="s">
        <v>14294</v>
      </c>
      <c r="LYE1" t="s">
        <v>14295</v>
      </c>
      <c r="LYF1" t="s">
        <v>14296</v>
      </c>
      <c r="LYG1" t="s">
        <v>14297</v>
      </c>
      <c r="LYH1" t="s">
        <v>14298</v>
      </c>
      <c r="LYI1" t="s">
        <v>14299</v>
      </c>
      <c r="LYJ1" t="s">
        <v>14300</v>
      </c>
      <c r="LYK1" t="s">
        <v>14301</v>
      </c>
      <c r="LYL1" t="s">
        <v>14302</v>
      </c>
      <c r="LYM1" t="s">
        <v>14303</v>
      </c>
      <c r="LYN1" t="s">
        <v>14304</v>
      </c>
      <c r="LYO1" t="s">
        <v>14305</v>
      </c>
      <c r="LYP1" t="s">
        <v>14306</v>
      </c>
      <c r="LYQ1" t="s">
        <v>14307</v>
      </c>
      <c r="LYR1" t="s">
        <v>14308</v>
      </c>
      <c r="LYS1" t="s">
        <v>14309</v>
      </c>
      <c r="LYT1" t="s">
        <v>14310</v>
      </c>
      <c r="LYU1" t="s">
        <v>14311</v>
      </c>
      <c r="LYV1" t="s">
        <v>14312</v>
      </c>
      <c r="LYW1" t="s">
        <v>14313</v>
      </c>
      <c r="LYX1" t="s">
        <v>14314</v>
      </c>
      <c r="LYY1" t="s">
        <v>14315</v>
      </c>
      <c r="LYZ1" t="s">
        <v>14316</v>
      </c>
      <c r="LZA1" t="s">
        <v>14317</v>
      </c>
      <c r="LZB1" t="s">
        <v>14318</v>
      </c>
      <c r="LZC1" t="s">
        <v>14319</v>
      </c>
      <c r="LZD1" t="s">
        <v>14320</v>
      </c>
      <c r="LZE1" t="s">
        <v>14321</v>
      </c>
      <c r="LZF1" t="s">
        <v>14322</v>
      </c>
      <c r="LZG1" t="s">
        <v>14323</v>
      </c>
      <c r="LZH1" t="s">
        <v>14324</v>
      </c>
      <c r="LZI1" t="s">
        <v>14325</v>
      </c>
      <c r="LZJ1" t="s">
        <v>14326</v>
      </c>
      <c r="LZK1" t="s">
        <v>14327</v>
      </c>
      <c r="LZL1" t="s">
        <v>14328</v>
      </c>
      <c r="LZM1" t="s">
        <v>14329</v>
      </c>
      <c r="LZN1" t="s">
        <v>14330</v>
      </c>
      <c r="LZO1" t="s">
        <v>14331</v>
      </c>
      <c r="LZP1" t="s">
        <v>14332</v>
      </c>
      <c r="LZQ1" t="s">
        <v>14333</v>
      </c>
      <c r="LZR1" t="s">
        <v>14334</v>
      </c>
      <c r="LZS1" t="s">
        <v>14335</v>
      </c>
      <c r="LZT1" t="s">
        <v>14336</v>
      </c>
      <c r="LZU1" t="s">
        <v>14337</v>
      </c>
      <c r="LZV1" t="s">
        <v>14338</v>
      </c>
      <c r="LZW1" t="s">
        <v>14339</v>
      </c>
      <c r="LZX1" t="s">
        <v>14340</v>
      </c>
      <c r="LZY1" t="s">
        <v>14341</v>
      </c>
      <c r="LZZ1" t="s">
        <v>14342</v>
      </c>
      <c r="MAA1" t="s">
        <v>14343</v>
      </c>
      <c r="MAB1" t="s">
        <v>14344</v>
      </c>
      <c r="MAC1" t="s">
        <v>14345</v>
      </c>
      <c r="MAD1" t="s">
        <v>14346</v>
      </c>
      <c r="MAE1" t="s">
        <v>14347</v>
      </c>
      <c r="MAF1" t="s">
        <v>14348</v>
      </c>
      <c r="MAG1" t="s">
        <v>14349</v>
      </c>
      <c r="MAH1" t="s">
        <v>14350</v>
      </c>
      <c r="MAI1" t="s">
        <v>14351</v>
      </c>
      <c r="MAJ1" t="s">
        <v>14352</v>
      </c>
      <c r="MAK1" t="s">
        <v>14353</v>
      </c>
      <c r="MAL1" t="s">
        <v>14354</v>
      </c>
      <c r="MAM1" t="s">
        <v>14355</v>
      </c>
      <c r="MAN1" t="s">
        <v>14356</v>
      </c>
      <c r="MAO1" t="s">
        <v>14357</v>
      </c>
      <c r="MAP1" t="s">
        <v>14358</v>
      </c>
      <c r="MAQ1" t="s">
        <v>14359</v>
      </c>
      <c r="MAR1" t="s">
        <v>14360</v>
      </c>
      <c r="MAS1" t="s">
        <v>14361</v>
      </c>
      <c r="MAT1" t="s">
        <v>14362</v>
      </c>
      <c r="MAU1" t="s">
        <v>14363</v>
      </c>
      <c r="MAV1" t="s">
        <v>14364</v>
      </c>
      <c r="MAW1" t="s">
        <v>14365</v>
      </c>
      <c r="MAX1" t="s">
        <v>14366</v>
      </c>
      <c r="MAY1" t="s">
        <v>14367</v>
      </c>
      <c r="MAZ1" t="s">
        <v>14368</v>
      </c>
      <c r="MBA1" t="s">
        <v>14369</v>
      </c>
      <c r="MBB1" t="s">
        <v>14370</v>
      </c>
      <c r="MBC1" t="s">
        <v>14371</v>
      </c>
      <c r="MBD1" t="s">
        <v>14372</v>
      </c>
      <c r="MBE1" t="s">
        <v>14373</v>
      </c>
      <c r="MBF1" t="s">
        <v>14374</v>
      </c>
      <c r="MBG1" t="s">
        <v>14375</v>
      </c>
      <c r="MBH1" t="s">
        <v>14376</v>
      </c>
      <c r="MBI1" t="s">
        <v>14377</v>
      </c>
      <c r="MBJ1" t="s">
        <v>14378</v>
      </c>
      <c r="MBK1" t="s">
        <v>14379</v>
      </c>
      <c r="MBL1" t="s">
        <v>14380</v>
      </c>
      <c r="MBM1" t="s">
        <v>14381</v>
      </c>
      <c r="MBN1" t="s">
        <v>14382</v>
      </c>
      <c r="MBO1" t="s">
        <v>14383</v>
      </c>
      <c r="MBP1" t="s">
        <v>14384</v>
      </c>
      <c r="MBQ1" t="s">
        <v>14385</v>
      </c>
      <c r="MBR1" t="s">
        <v>14386</v>
      </c>
      <c r="MBS1" t="s">
        <v>14387</v>
      </c>
      <c r="MBT1" t="s">
        <v>14388</v>
      </c>
      <c r="MBU1" t="s">
        <v>14389</v>
      </c>
      <c r="MBV1" t="s">
        <v>14390</v>
      </c>
      <c r="MBW1" t="s">
        <v>14391</v>
      </c>
      <c r="MBX1" t="s">
        <v>14392</v>
      </c>
      <c r="MBY1" t="s">
        <v>14393</v>
      </c>
      <c r="MBZ1" t="s">
        <v>14394</v>
      </c>
      <c r="MCA1" t="s">
        <v>14395</v>
      </c>
      <c r="MCB1" t="s">
        <v>14396</v>
      </c>
      <c r="MCC1" t="s">
        <v>14397</v>
      </c>
      <c r="MCD1" t="s">
        <v>14398</v>
      </c>
      <c r="MCE1" t="s">
        <v>14399</v>
      </c>
      <c r="MCF1" t="s">
        <v>14400</v>
      </c>
      <c r="MCG1" t="s">
        <v>14401</v>
      </c>
      <c r="MCH1" t="s">
        <v>14402</v>
      </c>
      <c r="MCI1" t="s">
        <v>14403</v>
      </c>
      <c r="MCJ1" t="s">
        <v>14404</v>
      </c>
      <c r="MCK1" t="s">
        <v>14405</v>
      </c>
      <c r="MCL1" t="s">
        <v>14406</v>
      </c>
      <c r="MCM1" t="s">
        <v>14407</v>
      </c>
      <c r="MCN1" t="s">
        <v>14408</v>
      </c>
      <c r="MCO1" t="s">
        <v>14409</v>
      </c>
      <c r="MCP1" t="s">
        <v>14410</v>
      </c>
      <c r="MCQ1" t="s">
        <v>14411</v>
      </c>
      <c r="MCR1" t="s">
        <v>14412</v>
      </c>
      <c r="MCS1" t="s">
        <v>14413</v>
      </c>
      <c r="MCT1" t="s">
        <v>14414</v>
      </c>
      <c r="MCU1" t="s">
        <v>14415</v>
      </c>
      <c r="MCV1" t="s">
        <v>14416</v>
      </c>
      <c r="MCW1" t="s">
        <v>14417</v>
      </c>
      <c r="MCX1" t="s">
        <v>14418</v>
      </c>
      <c r="MCY1" t="s">
        <v>14419</v>
      </c>
      <c r="MCZ1" t="s">
        <v>14420</v>
      </c>
      <c r="MDA1" t="s">
        <v>14421</v>
      </c>
      <c r="MDB1" t="s">
        <v>14422</v>
      </c>
      <c r="MDC1" t="s">
        <v>14423</v>
      </c>
      <c r="MDD1" t="s">
        <v>14424</v>
      </c>
      <c r="MDE1" t="s">
        <v>14425</v>
      </c>
      <c r="MDF1" t="s">
        <v>14426</v>
      </c>
      <c r="MDG1" t="s">
        <v>14427</v>
      </c>
      <c r="MDH1" t="s">
        <v>14428</v>
      </c>
      <c r="MDI1" t="s">
        <v>14429</v>
      </c>
      <c r="MDJ1" t="s">
        <v>14430</v>
      </c>
      <c r="MDK1" t="s">
        <v>14431</v>
      </c>
      <c r="MDL1" t="s">
        <v>14432</v>
      </c>
      <c r="MDM1" t="s">
        <v>14433</v>
      </c>
      <c r="MDN1" t="s">
        <v>14434</v>
      </c>
      <c r="MDO1" t="s">
        <v>14435</v>
      </c>
      <c r="MDP1" t="s">
        <v>14436</v>
      </c>
      <c r="MDQ1" t="s">
        <v>14437</v>
      </c>
      <c r="MDR1" t="s">
        <v>14438</v>
      </c>
      <c r="MDS1" t="s">
        <v>14439</v>
      </c>
      <c r="MDT1" t="s">
        <v>14440</v>
      </c>
      <c r="MDU1" t="s">
        <v>14441</v>
      </c>
      <c r="MDV1" t="s">
        <v>14442</v>
      </c>
      <c r="MDW1" t="s">
        <v>14443</v>
      </c>
      <c r="MDX1" t="s">
        <v>14444</v>
      </c>
      <c r="MDY1" t="s">
        <v>14445</v>
      </c>
      <c r="MDZ1" t="s">
        <v>14446</v>
      </c>
      <c r="MEA1" t="s">
        <v>14447</v>
      </c>
      <c r="MEB1" t="s">
        <v>14448</v>
      </c>
      <c r="MEC1" t="s">
        <v>14449</v>
      </c>
      <c r="MED1" t="s">
        <v>14450</v>
      </c>
      <c r="MEE1" t="s">
        <v>14451</v>
      </c>
      <c r="MEF1" t="s">
        <v>14452</v>
      </c>
      <c r="MEG1" t="s">
        <v>14453</v>
      </c>
      <c r="MEH1" t="s">
        <v>14454</v>
      </c>
      <c r="MEI1" t="s">
        <v>14455</v>
      </c>
      <c r="MEJ1" t="s">
        <v>14456</v>
      </c>
      <c r="MEK1" t="s">
        <v>14457</v>
      </c>
      <c r="MEL1" t="s">
        <v>14458</v>
      </c>
      <c r="MEM1" t="s">
        <v>14459</v>
      </c>
      <c r="MEN1" t="s">
        <v>14460</v>
      </c>
      <c r="MEO1" t="s">
        <v>14461</v>
      </c>
      <c r="MEP1" t="s">
        <v>14462</v>
      </c>
      <c r="MEQ1" t="s">
        <v>14463</v>
      </c>
      <c r="MER1" t="s">
        <v>14464</v>
      </c>
      <c r="MES1" t="s">
        <v>14465</v>
      </c>
      <c r="MET1" t="s">
        <v>14466</v>
      </c>
      <c r="MEU1" t="s">
        <v>14467</v>
      </c>
      <c r="MEV1" t="s">
        <v>14468</v>
      </c>
      <c r="MEW1" t="s">
        <v>14469</v>
      </c>
      <c r="MEX1" t="s">
        <v>14470</v>
      </c>
      <c r="MEY1" t="s">
        <v>14471</v>
      </c>
      <c r="MEZ1" t="s">
        <v>14472</v>
      </c>
      <c r="MFA1" t="s">
        <v>14473</v>
      </c>
      <c r="MFB1" t="s">
        <v>14474</v>
      </c>
      <c r="MFC1" t="s">
        <v>14475</v>
      </c>
      <c r="MFD1" t="s">
        <v>14476</v>
      </c>
      <c r="MFE1" t="s">
        <v>14477</v>
      </c>
      <c r="MFF1" t="s">
        <v>14478</v>
      </c>
      <c r="MFG1" t="s">
        <v>14479</v>
      </c>
      <c r="MFH1" t="s">
        <v>14480</v>
      </c>
      <c r="MFI1" t="s">
        <v>14481</v>
      </c>
      <c r="MFJ1" t="s">
        <v>14482</v>
      </c>
      <c r="MFK1" t="s">
        <v>14483</v>
      </c>
      <c r="MFL1" t="s">
        <v>14484</v>
      </c>
      <c r="MFM1" t="s">
        <v>14485</v>
      </c>
      <c r="MFN1" t="s">
        <v>14486</v>
      </c>
      <c r="MFO1" t="s">
        <v>14487</v>
      </c>
      <c r="MFP1" t="s">
        <v>14488</v>
      </c>
      <c r="MFQ1" t="s">
        <v>14489</v>
      </c>
      <c r="MFR1" t="s">
        <v>14490</v>
      </c>
      <c r="MFS1" t="s">
        <v>14491</v>
      </c>
      <c r="MFT1" t="s">
        <v>14492</v>
      </c>
      <c r="MFU1" t="s">
        <v>14493</v>
      </c>
      <c r="MFV1" t="s">
        <v>14494</v>
      </c>
      <c r="MFW1" t="s">
        <v>14495</v>
      </c>
      <c r="MFX1" t="s">
        <v>14496</v>
      </c>
      <c r="MFY1" t="s">
        <v>14497</v>
      </c>
      <c r="MFZ1" t="s">
        <v>14498</v>
      </c>
      <c r="MGA1" t="s">
        <v>14499</v>
      </c>
      <c r="MGB1" t="s">
        <v>14500</v>
      </c>
      <c r="MGC1" t="s">
        <v>14501</v>
      </c>
      <c r="MGD1" t="s">
        <v>14502</v>
      </c>
      <c r="MGE1" t="s">
        <v>14503</v>
      </c>
      <c r="MGF1" t="s">
        <v>14504</v>
      </c>
      <c r="MGG1" t="s">
        <v>14505</v>
      </c>
      <c r="MGH1" t="s">
        <v>14506</v>
      </c>
      <c r="MGI1" t="s">
        <v>14507</v>
      </c>
      <c r="MGJ1" t="s">
        <v>14508</v>
      </c>
      <c r="MGK1" t="s">
        <v>14509</v>
      </c>
      <c r="MGL1" t="s">
        <v>14510</v>
      </c>
      <c r="MGM1" t="s">
        <v>14511</v>
      </c>
      <c r="MGN1" t="s">
        <v>14512</v>
      </c>
      <c r="MGO1" t="s">
        <v>14513</v>
      </c>
      <c r="MGP1" t="s">
        <v>14514</v>
      </c>
      <c r="MGQ1" t="s">
        <v>14515</v>
      </c>
      <c r="MGR1" t="s">
        <v>14516</v>
      </c>
      <c r="MGS1" t="s">
        <v>14517</v>
      </c>
      <c r="MGT1" t="s">
        <v>14518</v>
      </c>
      <c r="MGU1" t="s">
        <v>14519</v>
      </c>
      <c r="MGV1" t="s">
        <v>14520</v>
      </c>
      <c r="MGW1" t="s">
        <v>14521</v>
      </c>
      <c r="MGX1" t="s">
        <v>14522</v>
      </c>
      <c r="MGY1" t="s">
        <v>14523</v>
      </c>
      <c r="MGZ1" t="s">
        <v>14524</v>
      </c>
      <c r="MHA1" t="s">
        <v>14525</v>
      </c>
      <c r="MHB1" t="s">
        <v>14526</v>
      </c>
      <c r="MHC1" t="s">
        <v>14527</v>
      </c>
      <c r="MHD1" t="s">
        <v>14528</v>
      </c>
      <c r="MHE1" t="s">
        <v>14529</v>
      </c>
      <c r="MHF1" t="s">
        <v>14530</v>
      </c>
      <c r="MHG1" t="s">
        <v>14531</v>
      </c>
      <c r="MHH1" t="s">
        <v>14532</v>
      </c>
      <c r="MHI1" t="s">
        <v>14533</v>
      </c>
      <c r="MHJ1" t="s">
        <v>14534</v>
      </c>
      <c r="MHK1" t="s">
        <v>14535</v>
      </c>
      <c r="MHL1" t="s">
        <v>14536</v>
      </c>
      <c r="MHM1" t="s">
        <v>14537</v>
      </c>
      <c r="MHN1" t="s">
        <v>14538</v>
      </c>
      <c r="MHO1" t="s">
        <v>14539</v>
      </c>
      <c r="MHP1" t="s">
        <v>14540</v>
      </c>
      <c r="MHQ1" t="s">
        <v>14541</v>
      </c>
      <c r="MHR1" t="s">
        <v>14542</v>
      </c>
      <c r="MHS1" t="s">
        <v>14543</v>
      </c>
      <c r="MHT1" t="s">
        <v>14544</v>
      </c>
      <c r="MHU1" t="s">
        <v>14545</v>
      </c>
      <c r="MHV1" t="s">
        <v>14546</v>
      </c>
      <c r="MHW1" t="s">
        <v>14547</v>
      </c>
      <c r="MHX1" t="s">
        <v>14548</v>
      </c>
      <c r="MHY1" t="s">
        <v>14549</v>
      </c>
      <c r="MHZ1" t="s">
        <v>14550</v>
      </c>
      <c r="MIA1" t="s">
        <v>14551</v>
      </c>
      <c r="MIB1" t="s">
        <v>14552</v>
      </c>
      <c r="MIC1" t="s">
        <v>14553</v>
      </c>
      <c r="MID1" t="s">
        <v>14554</v>
      </c>
      <c r="MIE1" t="s">
        <v>14555</v>
      </c>
      <c r="MIF1" t="s">
        <v>14556</v>
      </c>
      <c r="MIG1" t="s">
        <v>14557</v>
      </c>
      <c r="MIH1" t="s">
        <v>14558</v>
      </c>
      <c r="MII1" t="s">
        <v>14559</v>
      </c>
      <c r="MIJ1" t="s">
        <v>14560</v>
      </c>
      <c r="MIK1" t="s">
        <v>14561</v>
      </c>
      <c r="MIL1" t="s">
        <v>14562</v>
      </c>
      <c r="MIM1" t="s">
        <v>14563</v>
      </c>
      <c r="MIN1" t="s">
        <v>14564</v>
      </c>
      <c r="MIO1" t="s">
        <v>14565</v>
      </c>
      <c r="MIP1" t="s">
        <v>14566</v>
      </c>
      <c r="MIQ1" t="s">
        <v>14567</v>
      </c>
      <c r="MIR1" t="s">
        <v>14568</v>
      </c>
      <c r="MIS1" t="s">
        <v>14569</v>
      </c>
      <c r="MIT1" t="s">
        <v>14570</v>
      </c>
      <c r="MIU1" t="s">
        <v>14571</v>
      </c>
      <c r="MIV1" t="s">
        <v>14572</v>
      </c>
      <c r="MIW1" t="s">
        <v>14573</v>
      </c>
      <c r="MIX1" t="s">
        <v>14574</v>
      </c>
      <c r="MIY1" t="s">
        <v>14575</v>
      </c>
      <c r="MIZ1" t="s">
        <v>14576</v>
      </c>
      <c r="MJA1" t="s">
        <v>14577</v>
      </c>
      <c r="MJB1" t="s">
        <v>14578</v>
      </c>
      <c r="MJC1" t="s">
        <v>14579</v>
      </c>
      <c r="MJD1" t="s">
        <v>14580</v>
      </c>
      <c r="MJE1" t="s">
        <v>14581</v>
      </c>
      <c r="MJF1" t="s">
        <v>14582</v>
      </c>
      <c r="MJG1" t="s">
        <v>14583</v>
      </c>
      <c r="MJH1" t="s">
        <v>14584</v>
      </c>
      <c r="MJI1" t="s">
        <v>14585</v>
      </c>
      <c r="MJJ1" t="s">
        <v>14586</v>
      </c>
      <c r="MJK1" t="s">
        <v>14587</v>
      </c>
      <c r="MJL1" t="s">
        <v>14588</v>
      </c>
      <c r="MJM1" t="s">
        <v>14589</v>
      </c>
      <c r="MJN1" t="s">
        <v>14590</v>
      </c>
      <c r="MJO1" t="s">
        <v>14591</v>
      </c>
      <c r="MJP1" t="s">
        <v>14592</v>
      </c>
      <c r="MJQ1" t="s">
        <v>14593</v>
      </c>
      <c r="MJR1" t="s">
        <v>14594</v>
      </c>
      <c r="MJS1" t="s">
        <v>14595</v>
      </c>
      <c r="MJT1" t="s">
        <v>14596</v>
      </c>
      <c r="MJU1" t="s">
        <v>14597</v>
      </c>
      <c r="MJV1" t="s">
        <v>14598</v>
      </c>
      <c r="MJW1" t="s">
        <v>14599</v>
      </c>
      <c r="MJX1" t="s">
        <v>14600</v>
      </c>
      <c r="MJY1" t="s">
        <v>14601</v>
      </c>
      <c r="MJZ1" t="s">
        <v>14602</v>
      </c>
      <c r="MKA1" t="s">
        <v>14603</v>
      </c>
      <c r="MKB1" t="s">
        <v>14604</v>
      </c>
      <c r="MKC1" t="s">
        <v>14605</v>
      </c>
      <c r="MKD1" t="s">
        <v>14606</v>
      </c>
      <c r="MKE1" t="s">
        <v>14607</v>
      </c>
      <c r="MKF1" t="s">
        <v>14608</v>
      </c>
      <c r="MKG1" t="s">
        <v>14609</v>
      </c>
      <c r="MKH1" t="s">
        <v>14610</v>
      </c>
      <c r="MKI1" t="s">
        <v>14611</v>
      </c>
      <c r="MKJ1" t="s">
        <v>14612</v>
      </c>
      <c r="MKK1" t="s">
        <v>14613</v>
      </c>
      <c r="MKL1" t="s">
        <v>14614</v>
      </c>
      <c r="MKM1" t="s">
        <v>14615</v>
      </c>
      <c r="MKN1" t="s">
        <v>14616</v>
      </c>
      <c r="MKO1" t="s">
        <v>14617</v>
      </c>
      <c r="MKP1" t="s">
        <v>14618</v>
      </c>
      <c r="MKQ1" t="s">
        <v>14619</v>
      </c>
      <c r="MKR1" t="s">
        <v>14620</v>
      </c>
      <c r="MKS1" t="s">
        <v>14621</v>
      </c>
      <c r="MKT1" t="s">
        <v>14622</v>
      </c>
      <c r="MKU1" t="s">
        <v>14623</v>
      </c>
      <c r="MKV1" t="s">
        <v>14624</v>
      </c>
      <c r="MKW1" t="s">
        <v>14625</v>
      </c>
      <c r="MKX1" t="s">
        <v>14626</v>
      </c>
      <c r="MKY1" t="s">
        <v>14627</v>
      </c>
      <c r="MKZ1" t="s">
        <v>14628</v>
      </c>
      <c r="MLA1" t="s">
        <v>14629</v>
      </c>
      <c r="MLB1" t="s">
        <v>14630</v>
      </c>
      <c r="MLC1" t="s">
        <v>14631</v>
      </c>
      <c r="MLD1" t="s">
        <v>14632</v>
      </c>
      <c r="MLE1" t="s">
        <v>14633</v>
      </c>
      <c r="MLF1" t="s">
        <v>14634</v>
      </c>
      <c r="MLG1" t="s">
        <v>14635</v>
      </c>
      <c r="MLH1" t="s">
        <v>14636</v>
      </c>
      <c r="MLI1" t="s">
        <v>14637</v>
      </c>
      <c r="MLJ1" t="s">
        <v>14638</v>
      </c>
      <c r="MLK1" t="s">
        <v>14639</v>
      </c>
      <c r="MLL1" t="s">
        <v>14640</v>
      </c>
      <c r="MLM1" t="s">
        <v>14641</v>
      </c>
      <c r="MLN1" t="s">
        <v>14642</v>
      </c>
      <c r="MLO1" t="s">
        <v>14643</v>
      </c>
      <c r="MLP1" t="s">
        <v>14644</v>
      </c>
      <c r="MLQ1" t="s">
        <v>14645</v>
      </c>
      <c r="MLR1" t="s">
        <v>14646</v>
      </c>
      <c r="MLS1" t="s">
        <v>14647</v>
      </c>
      <c r="MLT1" t="s">
        <v>14648</v>
      </c>
      <c r="MLU1" t="s">
        <v>14649</v>
      </c>
      <c r="MLV1" t="s">
        <v>14650</v>
      </c>
      <c r="MLW1" t="s">
        <v>14651</v>
      </c>
      <c r="MLX1" t="s">
        <v>14652</v>
      </c>
      <c r="MLY1" t="s">
        <v>14653</v>
      </c>
      <c r="MLZ1" t="s">
        <v>14654</v>
      </c>
      <c r="MMA1" t="s">
        <v>14655</v>
      </c>
      <c r="MMB1" t="s">
        <v>14656</v>
      </c>
      <c r="MMC1" t="s">
        <v>14657</v>
      </c>
      <c r="MMD1" t="s">
        <v>14658</v>
      </c>
      <c r="MME1" t="s">
        <v>14659</v>
      </c>
      <c r="MMF1" t="s">
        <v>14660</v>
      </c>
      <c r="MMG1" t="s">
        <v>14661</v>
      </c>
      <c r="MMH1" t="s">
        <v>14662</v>
      </c>
      <c r="MMI1" t="s">
        <v>14663</v>
      </c>
      <c r="MMJ1" t="s">
        <v>14664</v>
      </c>
      <c r="MMK1" t="s">
        <v>14665</v>
      </c>
      <c r="MML1" t="s">
        <v>14666</v>
      </c>
      <c r="MMM1" t="s">
        <v>14667</v>
      </c>
      <c r="MMN1" t="s">
        <v>14668</v>
      </c>
      <c r="MMO1" t="s">
        <v>14669</v>
      </c>
      <c r="MMP1" t="s">
        <v>14670</v>
      </c>
      <c r="MMQ1" t="s">
        <v>14671</v>
      </c>
      <c r="MMR1" t="s">
        <v>14672</v>
      </c>
      <c r="MMS1" t="s">
        <v>14673</v>
      </c>
      <c r="MMT1" t="s">
        <v>14674</v>
      </c>
      <c r="MMU1" t="s">
        <v>14675</v>
      </c>
      <c r="MMV1" t="s">
        <v>14676</v>
      </c>
      <c r="MMW1" t="s">
        <v>14677</v>
      </c>
      <c r="MMX1" t="s">
        <v>14678</v>
      </c>
      <c r="MMY1" t="s">
        <v>14679</v>
      </c>
      <c r="MMZ1" t="s">
        <v>14680</v>
      </c>
      <c r="MNA1" t="s">
        <v>14681</v>
      </c>
      <c r="MNB1" t="s">
        <v>14682</v>
      </c>
      <c r="MNC1" t="s">
        <v>14683</v>
      </c>
      <c r="MND1" t="s">
        <v>14684</v>
      </c>
      <c r="MNE1" t="s">
        <v>14685</v>
      </c>
      <c r="MNF1" t="s">
        <v>14686</v>
      </c>
      <c r="MNG1" t="s">
        <v>14687</v>
      </c>
      <c r="MNH1" t="s">
        <v>14688</v>
      </c>
      <c r="MNI1" t="s">
        <v>14689</v>
      </c>
      <c r="MNJ1" t="s">
        <v>14690</v>
      </c>
      <c r="MNK1" t="s">
        <v>14691</v>
      </c>
      <c r="MNL1" t="s">
        <v>14692</v>
      </c>
      <c r="MNM1" t="s">
        <v>14693</v>
      </c>
      <c r="MNN1" t="s">
        <v>14694</v>
      </c>
      <c r="MNO1" t="s">
        <v>14695</v>
      </c>
      <c r="MNP1" t="s">
        <v>14696</v>
      </c>
      <c r="MNQ1" t="s">
        <v>14697</v>
      </c>
      <c r="MNR1" t="s">
        <v>14698</v>
      </c>
      <c r="MNS1" t="s">
        <v>14699</v>
      </c>
      <c r="MNT1" t="s">
        <v>14700</v>
      </c>
      <c r="MNU1" t="s">
        <v>14701</v>
      </c>
      <c r="MNV1" t="s">
        <v>14702</v>
      </c>
      <c r="MNW1" t="s">
        <v>14703</v>
      </c>
      <c r="MNX1" t="s">
        <v>14704</v>
      </c>
      <c r="MNY1" t="s">
        <v>14705</v>
      </c>
      <c r="MNZ1" t="s">
        <v>14706</v>
      </c>
      <c r="MOA1" t="s">
        <v>14707</v>
      </c>
      <c r="MOB1" t="s">
        <v>14708</v>
      </c>
      <c r="MOC1" t="s">
        <v>14709</v>
      </c>
      <c r="MOD1" t="s">
        <v>14710</v>
      </c>
      <c r="MOE1" t="s">
        <v>14711</v>
      </c>
      <c r="MOF1" t="s">
        <v>14712</v>
      </c>
      <c r="MOG1" t="s">
        <v>14713</v>
      </c>
      <c r="MOH1" t="s">
        <v>14714</v>
      </c>
      <c r="MOI1" t="s">
        <v>14715</v>
      </c>
      <c r="MOJ1" t="s">
        <v>14716</v>
      </c>
      <c r="MOK1" t="s">
        <v>14717</v>
      </c>
      <c r="MOL1" t="s">
        <v>14718</v>
      </c>
      <c r="MOM1" t="s">
        <v>14719</v>
      </c>
      <c r="MON1" t="s">
        <v>14720</v>
      </c>
      <c r="MOO1" t="s">
        <v>14721</v>
      </c>
      <c r="MOP1" t="s">
        <v>14722</v>
      </c>
      <c r="MOQ1" t="s">
        <v>14723</v>
      </c>
      <c r="MOR1" t="s">
        <v>14724</v>
      </c>
      <c r="MOS1" t="s">
        <v>14725</v>
      </c>
      <c r="MOT1" t="s">
        <v>14726</v>
      </c>
      <c r="MOU1" t="s">
        <v>14727</v>
      </c>
      <c r="MOV1" t="s">
        <v>14728</v>
      </c>
      <c r="MOW1" t="s">
        <v>14729</v>
      </c>
      <c r="MOX1" t="s">
        <v>14730</v>
      </c>
      <c r="MOY1" t="s">
        <v>14731</v>
      </c>
      <c r="MOZ1" t="s">
        <v>14732</v>
      </c>
      <c r="MPA1" t="s">
        <v>14733</v>
      </c>
      <c r="MPB1" t="s">
        <v>14734</v>
      </c>
      <c r="MPC1" t="s">
        <v>14735</v>
      </c>
      <c r="MPD1" t="s">
        <v>14736</v>
      </c>
      <c r="MPE1" t="s">
        <v>14737</v>
      </c>
      <c r="MPF1" t="s">
        <v>14738</v>
      </c>
      <c r="MPG1" t="s">
        <v>14739</v>
      </c>
      <c r="MPH1" t="s">
        <v>14740</v>
      </c>
      <c r="MPI1" t="s">
        <v>14741</v>
      </c>
      <c r="MPJ1" t="s">
        <v>14742</v>
      </c>
      <c r="MPK1" t="s">
        <v>14743</v>
      </c>
      <c r="MPL1" t="s">
        <v>14744</v>
      </c>
      <c r="MPM1" t="s">
        <v>14745</v>
      </c>
      <c r="MPN1" t="s">
        <v>14746</v>
      </c>
      <c r="MPO1" t="s">
        <v>14747</v>
      </c>
      <c r="MPP1" t="s">
        <v>14748</v>
      </c>
      <c r="MPQ1" t="s">
        <v>14749</v>
      </c>
      <c r="MPR1" t="s">
        <v>14750</v>
      </c>
      <c r="MPS1" t="s">
        <v>14751</v>
      </c>
      <c r="MPT1" t="s">
        <v>14752</v>
      </c>
      <c r="MPU1" t="s">
        <v>14753</v>
      </c>
      <c r="MPV1" t="s">
        <v>14754</v>
      </c>
      <c r="MPW1" t="s">
        <v>14755</v>
      </c>
      <c r="MPX1" t="s">
        <v>14756</v>
      </c>
      <c r="MPY1" t="s">
        <v>14757</v>
      </c>
      <c r="MPZ1" t="s">
        <v>14758</v>
      </c>
      <c r="MQA1" t="s">
        <v>14759</v>
      </c>
      <c r="MQB1" t="s">
        <v>14760</v>
      </c>
      <c r="MQC1" t="s">
        <v>14761</v>
      </c>
      <c r="MQD1" t="s">
        <v>14762</v>
      </c>
      <c r="MQE1" t="s">
        <v>14763</v>
      </c>
      <c r="MQF1" t="s">
        <v>14764</v>
      </c>
      <c r="MQG1" t="s">
        <v>14765</v>
      </c>
      <c r="MQH1" t="s">
        <v>14766</v>
      </c>
      <c r="MQI1" t="s">
        <v>14767</v>
      </c>
      <c r="MQJ1" t="s">
        <v>14768</v>
      </c>
      <c r="MQK1" t="s">
        <v>14769</v>
      </c>
      <c r="MQL1" t="s">
        <v>14770</v>
      </c>
      <c r="MQM1" t="s">
        <v>14771</v>
      </c>
      <c r="MQN1" t="s">
        <v>14772</v>
      </c>
      <c r="MQO1" t="s">
        <v>14773</v>
      </c>
      <c r="MQP1" t="s">
        <v>14774</v>
      </c>
      <c r="MQQ1" t="s">
        <v>14775</v>
      </c>
      <c r="MQR1" t="s">
        <v>14776</v>
      </c>
      <c r="MQS1" t="s">
        <v>14777</v>
      </c>
      <c r="MQT1" t="s">
        <v>14778</v>
      </c>
      <c r="MQU1" t="s">
        <v>14779</v>
      </c>
      <c r="MQV1" t="s">
        <v>14780</v>
      </c>
      <c r="MQW1" t="s">
        <v>14781</v>
      </c>
      <c r="MQX1" t="s">
        <v>14782</v>
      </c>
      <c r="MQY1" t="s">
        <v>14783</v>
      </c>
      <c r="MQZ1" t="s">
        <v>14784</v>
      </c>
      <c r="MRA1" t="s">
        <v>14785</v>
      </c>
      <c r="MRB1" t="s">
        <v>14786</v>
      </c>
      <c r="MRC1" t="s">
        <v>14787</v>
      </c>
      <c r="MRD1" t="s">
        <v>14788</v>
      </c>
      <c r="MRE1" t="s">
        <v>14789</v>
      </c>
      <c r="MRF1" t="s">
        <v>14790</v>
      </c>
      <c r="MRG1" t="s">
        <v>14791</v>
      </c>
      <c r="MRH1" t="s">
        <v>14792</v>
      </c>
      <c r="MRI1" t="s">
        <v>14793</v>
      </c>
      <c r="MRJ1" t="s">
        <v>14794</v>
      </c>
      <c r="MRK1" t="s">
        <v>14795</v>
      </c>
      <c r="MRL1" t="s">
        <v>14796</v>
      </c>
      <c r="MRM1" t="s">
        <v>14797</v>
      </c>
      <c r="MRN1" t="s">
        <v>14798</v>
      </c>
      <c r="MRO1" t="s">
        <v>14799</v>
      </c>
      <c r="MRP1" t="s">
        <v>14800</v>
      </c>
      <c r="MRQ1" t="s">
        <v>14801</v>
      </c>
      <c r="MRR1" t="s">
        <v>14802</v>
      </c>
      <c r="MRS1" t="s">
        <v>14803</v>
      </c>
      <c r="MRT1" t="s">
        <v>14804</v>
      </c>
      <c r="MRU1" t="s">
        <v>14805</v>
      </c>
      <c r="MRV1" t="s">
        <v>14806</v>
      </c>
      <c r="MRW1" t="s">
        <v>14807</v>
      </c>
      <c r="MRX1" t="s">
        <v>14808</v>
      </c>
      <c r="MRY1" t="s">
        <v>14809</v>
      </c>
      <c r="MRZ1" t="s">
        <v>14810</v>
      </c>
      <c r="MSA1" t="s">
        <v>14811</v>
      </c>
      <c r="MSB1" t="s">
        <v>14812</v>
      </c>
      <c r="MSC1" t="s">
        <v>14813</v>
      </c>
      <c r="MSD1" t="s">
        <v>14814</v>
      </c>
      <c r="MSE1" t="s">
        <v>14815</v>
      </c>
      <c r="MSF1" t="s">
        <v>14816</v>
      </c>
      <c r="MSG1" t="s">
        <v>14817</v>
      </c>
      <c r="MSH1" t="s">
        <v>14818</v>
      </c>
      <c r="MSI1" t="s">
        <v>14819</v>
      </c>
      <c r="MSJ1" t="s">
        <v>14820</v>
      </c>
      <c r="MSK1" t="s">
        <v>14821</v>
      </c>
      <c r="MSL1" t="s">
        <v>14822</v>
      </c>
      <c r="MSM1" t="s">
        <v>14823</v>
      </c>
      <c r="MSN1" t="s">
        <v>14824</v>
      </c>
      <c r="MSO1" t="s">
        <v>14825</v>
      </c>
      <c r="MSP1" t="s">
        <v>14826</v>
      </c>
      <c r="MSQ1" t="s">
        <v>14827</v>
      </c>
      <c r="MSR1" t="s">
        <v>14828</v>
      </c>
      <c r="MSS1" t="s">
        <v>14829</v>
      </c>
      <c r="MST1" t="s">
        <v>14830</v>
      </c>
      <c r="MSU1" t="s">
        <v>14831</v>
      </c>
      <c r="MSV1" t="s">
        <v>14832</v>
      </c>
      <c r="MSW1" t="s">
        <v>14833</v>
      </c>
      <c r="MSX1" t="s">
        <v>14834</v>
      </c>
      <c r="MSY1" t="s">
        <v>14835</v>
      </c>
      <c r="MSZ1" t="s">
        <v>14836</v>
      </c>
      <c r="MTA1" t="s">
        <v>14837</v>
      </c>
      <c r="MTB1" t="s">
        <v>14838</v>
      </c>
      <c r="MTC1" t="s">
        <v>14839</v>
      </c>
      <c r="MTD1" t="s">
        <v>14840</v>
      </c>
      <c r="MTE1" t="s">
        <v>14841</v>
      </c>
      <c r="MTF1" t="s">
        <v>14842</v>
      </c>
      <c r="MTG1" t="s">
        <v>14843</v>
      </c>
      <c r="MTH1" t="s">
        <v>14844</v>
      </c>
      <c r="MTI1" t="s">
        <v>14845</v>
      </c>
      <c r="MTJ1" t="s">
        <v>14846</v>
      </c>
      <c r="MTK1" t="s">
        <v>14847</v>
      </c>
      <c r="MTL1" t="s">
        <v>14848</v>
      </c>
      <c r="MTM1" t="s">
        <v>14849</v>
      </c>
      <c r="MTN1" t="s">
        <v>14850</v>
      </c>
      <c r="MTO1" t="s">
        <v>14851</v>
      </c>
      <c r="MTP1" t="s">
        <v>14852</v>
      </c>
      <c r="MTQ1" t="s">
        <v>14853</v>
      </c>
      <c r="MTR1" t="s">
        <v>14854</v>
      </c>
      <c r="MTS1" t="s">
        <v>14855</v>
      </c>
      <c r="MTT1" t="s">
        <v>14856</v>
      </c>
      <c r="MTU1" t="s">
        <v>14857</v>
      </c>
      <c r="MTV1" t="s">
        <v>14858</v>
      </c>
      <c r="MTW1" t="s">
        <v>14859</v>
      </c>
      <c r="MTX1" t="s">
        <v>14860</v>
      </c>
      <c r="MTY1" t="s">
        <v>14861</v>
      </c>
      <c r="MTZ1" t="s">
        <v>14862</v>
      </c>
      <c r="MUA1" t="s">
        <v>14863</v>
      </c>
      <c r="MUB1" t="s">
        <v>14864</v>
      </c>
      <c r="MUC1" t="s">
        <v>14865</v>
      </c>
      <c r="MUD1" t="s">
        <v>14866</v>
      </c>
      <c r="MUE1" t="s">
        <v>14867</v>
      </c>
      <c r="MUF1" t="s">
        <v>14868</v>
      </c>
      <c r="MUG1" t="s">
        <v>14869</v>
      </c>
      <c r="MUH1" t="s">
        <v>14870</v>
      </c>
      <c r="MUI1" t="s">
        <v>14871</v>
      </c>
      <c r="MUJ1" t="s">
        <v>14872</v>
      </c>
      <c r="MUK1" t="s">
        <v>14873</v>
      </c>
      <c r="MUL1" t="s">
        <v>14874</v>
      </c>
      <c r="MUM1" t="s">
        <v>14875</v>
      </c>
      <c r="MUN1" t="s">
        <v>14876</v>
      </c>
      <c r="MUO1" t="s">
        <v>14877</v>
      </c>
      <c r="MUP1" t="s">
        <v>14878</v>
      </c>
      <c r="MUQ1" t="s">
        <v>14879</v>
      </c>
      <c r="MUR1" t="s">
        <v>14880</v>
      </c>
      <c r="MUS1" t="s">
        <v>14881</v>
      </c>
      <c r="MUT1" t="s">
        <v>14882</v>
      </c>
      <c r="MUU1" t="s">
        <v>14883</v>
      </c>
      <c r="MUV1" t="s">
        <v>14884</v>
      </c>
      <c r="MUW1" t="s">
        <v>14885</v>
      </c>
      <c r="MUX1" t="s">
        <v>14886</v>
      </c>
      <c r="MUY1" t="s">
        <v>14887</v>
      </c>
      <c r="MUZ1" t="s">
        <v>14888</v>
      </c>
      <c r="MVA1" t="s">
        <v>14889</v>
      </c>
      <c r="MVB1" t="s">
        <v>14890</v>
      </c>
      <c r="MVC1" t="s">
        <v>14891</v>
      </c>
      <c r="MVD1" t="s">
        <v>14892</v>
      </c>
      <c r="MVE1" t="s">
        <v>14893</v>
      </c>
      <c r="MVF1" t="s">
        <v>14894</v>
      </c>
      <c r="MVG1" t="s">
        <v>14895</v>
      </c>
      <c r="MVH1" t="s">
        <v>14896</v>
      </c>
      <c r="MVI1" t="s">
        <v>14897</v>
      </c>
      <c r="MVJ1" t="s">
        <v>14898</v>
      </c>
      <c r="MVK1" t="s">
        <v>14899</v>
      </c>
      <c r="MVL1" t="s">
        <v>14900</v>
      </c>
      <c r="MVM1" t="s">
        <v>14901</v>
      </c>
      <c r="MVN1" t="s">
        <v>14902</v>
      </c>
      <c r="MVO1" t="s">
        <v>14903</v>
      </c>
      <c r="MVP1" t="s">
        <v>14904</v>
      </c>
      <c r="MVQ1" t="s">
        <v>14905</v>
      </c>
      <c r="MVR1" t="s">
        <v>14906</v>
      </c>
      <c r="MVS1" t="s">
        <v>14907</v>
      </c>
      <c r="MVT1" t="s">
        <v>14908</v>
      </c>
      <c r="MVU1" t="s">
        <v>14909</v>
      </c>
      <c r="MVV1" t="s">
        <v>14910</v>
      </c>
      <c r="MVW1" t="s">
        <v>14911</v>
      </c>
      <c r="MVX1" t="s">
        <v>14912</v>
      </c>
      <c r="MVY1" t="s">
        <v>14913</v>
      </c>
      <c r="MVZ1" t="s">
        <v>14914</v>
      </c>
      <c r="MWA1" t="s">
        <v>14915</v>
      </c>
      <c r="MWB1" t="s">
        <v>14916</v>
      </c>
      <c r="MWC1" t="s">
        <v>14917</v>
      </c>
      <c r="MWD1" t="s">
        <v>14918</v>
      </c>
      <c r="MWE1" t="s">
        <v>14919</v>
      </c>
      <c r="MWF1" t="s">
        <v>14920</v>
      </c>
      <c r="MWG1" t="s">
        <v>14921</v>
      </c>
      <c r="MWH1" t="s">
        <v>14922</v>
      </c>
      <c r="MWI1" t="s">
        <v>14923</v>
      </c>
      <c r="MWJ1" t="s">
        <v>14924</v>
      </c>
      <c r="MWK1" t="s">
        <v>14925</v>
      </c>
      <c r="MWL1" t="s">
        <v>14926</v>
      </c>
      <c r="MWM1" t="s">
        <v>14927</v>
      </c>
      <c r="MWN1" t="s">
        <v>14928</v>
      </c>
      <c r="MWO1" t="s">
        <v>14929</v>
      </c>
      <c r="MWP1" t="s">
        <v>14930</v>
      </c>
      <c r="MWQ1" t="s">
        <v>14931</v>
      </c>
      <c r="MWR1" t="s">
        <v>14932</v>
      </c>
      <c r="MWS1" t="s">
        <v>14933</v>
      </c>
      <c r="MWT1" t="s">
        <v>14934</v>
      </c>
      <c r="MWU1" t="s">
        <v>14935</v>
      </c>
      <c r="MWV1" t="s">
        <v>14936</v>
      </c>
      <c r="MWW1" t="s">
        <v>14937</v>
      </c>
      <c r="MWX1" t="s">
        <v>14938</v>
      </c>
      <c r="MWY1" t="s">
        <v>14939</v>
      </c>
      <c r="MWZ1" t="s">
        <v>14940</v>
      </c>
      <c r="MXA1" t="s">
        <v>14941</v>
      </c>
      <c r="MXB1" t="s">
        <v>14942</v>
      </c>
      <c r="MXC1" t="s">
        <v>14943</v>
      </c>
      <c r="MXD1" t="s">
        <v>14944</v>
      </c>
      <c r="MXE1" t="s">
        <v>14945</v>
      </c>
      <c r="MXF1" t="s">
        <v>14946</v>
      </c>
      <c r="MXG1" t="s">
        <v>14947</v>
      </c>
      <c r="MXH1" t="s">
        <v>14948</v>
      </c>
      <c r="MXI1" t="s">
        <v>14949</v>
      </c>
      <c r="MXJ1" t="s">
        <v>14950</v>
      </c>
      <c r="MXK1" t="s">
        <v>14951</v>
      </c>
      <c r="MXL1" t="s">
        <v>14952</v>
      </c>
      <c r="MXM1" t="s">
        <v>14953</v>
      </c>
      <c r="MXN1" t="s">
        <v>14954</v>
      </c>
      <c r="MXO1" t="s">
        <v>14955</v>
      </c>
      <c r="MXP1" t="s">
        <v>14956</v>
      </c>
      <c r="MXQ1" t="s">
        <v>14957</v>
      </c>
      <c r="MXR1" t="s">
        <v>14958</v>
      </c>
      <c r="MXS1" t="s">
        <v>14959</v>
      </c>
      <c r="MXT1" t="s">
        <v>14960</v>
      </c>
      <c r="MXU1" t="s">
        <v>14961</v>
      </c>
      <c r="MXV1" t="s">
        <v>14962</v>
      </c>
      <c r="MXW1" t="s">
        <v>14963</v>
      </c>
      <c r="MXX1" t="s">
        <v>14964</v>
      </c>
      <c r="MXY1" t="s">
        <v>14965</v>
      </c>
      <c r="MXZ1" t="s">
        <v>14966</v>
      </c>
      <c r="MYA1" t="s">
        <v>14967</v>
      </c>
      <c r="MYB1" t="s">
        <v>14968</v>
      </c>
      <c r="MYC1" t="s">
        <v>14969</v>
      </c>
      <c r="MYD1" t="s">
        <v>14970</v>
      </c>
      <c r="MYE1" t="s">
        <v>14971</v>
      </c>
      <c r="MYF1" t="s">
        <v>14972</v>
      </c>
      <c r="MYG1" t="s">
        <v>14973</v>
      </c>
      <c r="MYH1" t="s">
        <v>14974</v>
      </c>
      <c r="MYI1" t="s">
        <v>14975</v>
      </c>
      <c r="MYJ1" t="s">
        <v>14976</v>
      </c>
      <c r="MYK1" t="s">
        <v>14977</v>
      </c>
      <c r="MYL1" t="s">
        <v>14978</v>
      </c>
      <c r="MYM1" t="s">
        <v>14979</v>
      </c>
      <c r="MYN1" t="s">
        <v>14980</v>
      </c>
      <c r="MYO1" t="s">
        <v>14981</v>
      </c>
      <c r="MYP1" t="s">
        <v>14982</v>
      </c>
      <c r="MYQ1" t="s">
        <v>14983</v>
      </c>
      <c r="MYR1" t="s">
        <v>14984</v>
      </c>
      <c r="MYS1" t="s">
        <v>14985</v>
      </c>
      <c r="MYT1" t="s">
        <v>14986</v>
      </c>
      <c r="MYU1" t="s">
        <v>14987</v>
      </c>
      <c r="MYV1" t="s">
        <v>14988</v>
      </c>
      <c r="MYW1" t="s">
        <v>14989</v>
      </c>
      <c r="MYX1" t="s">
        <v>14990</v>
      </c>
      <c r="MYY1" t="s">
        <v>14991</v>
      </c>
      <c r="MYZ1" t="s">
        <v>14992</v>
      </c>
      <c r="MZA1" t="s">
        <v>14993</v>
      </c>
      <c r="MZB1" t="s">
        <v>14994</v>
      </c>
      <c r="MZC1" t="s">
        <v>14995</v>
      </c>
      <c r="MZD1" t="s">
        <v>14996</v>
      </c>
      <c r="MZE1" t="s">
        <v>14997</v>
      </c>
      <c r="MZF1" t="s">
        <v>14998</v>
      </c>
      <c r="MZG1" t="s">
        <v>14999</v>
      </c>
      <c r="MZH1" t="s">
        <v>15000</v>
      </c>
      <c r="MZI1" t="s">
        <v>15001</v>
      </c>
      <c r="MZJ1" t="s">
        <v>15002</v>
      </c>
      <c r="MZK1" t="s">
        <v>15003</v>
      </c>
      <c r="MZL1" t="s">
        <v>15004</v>
      </c>
      <c r="MZM1" t="s">
        <v>15005</v>
      </c>
      <c r="MZN1" t="s">
        <v>15006</v>
      </c>
      <c r="MZO1" t="s">
        <v>15007</v>
      </c>
      <c r="MZP1" t="s">
        <v>15008</v>
      </c>
      <c r="MZQ1" t="s">
        <v>15009</v>
      </c>
      <c r="MZR1" t="s">
        <v>15010</v>
      </c>
      <c r="MZS1" t="s">
        <v>15011</v>
      </c>
      <c r="MZT1" t="s">
        <v>15012</v>
      </c>
      <c r="MZU1" t="s">
        <v>15013</v>
      </c>
      <c r="MZV1" t="s">
        <v>15014</v>
      </c>
      <c r="MZW1" t="s">
        <v>15015</v>
      </c>
      <c r="MZX1" t="s">
        <v>15016</v>
      </c>
      <c r="MZY1" t="s">
        <v>15017</v>
      </c>
      <c r="MZZ1" t="s">
        <v>15018</v>
      </c>
      <c r="NAA1" t="s">
        <v>15019</v>
      </c>
      <c r="NAB1" t="s">
        <v>15020</v>
      </c>
      <c r="NAC1" t="s">
        <v>15021</v>
      </c>
      <c r="NAD1" t="s">
        <v>15022</v>
      </c>
      <c r="NAE1" t="s">
        <v>15023</v>
      </c>
      <c r="NAF1" t="s">
        <v>15024</v>
      </c>
      <c r="NAG1" t="s">
        <v>15025</v>
      </c>
      <c r="NAH1" t="s">
        <v>15026</v>
      </c>
      <c r="NAI1" t="s">
        <v>15027</v>
      </c>
      <c r="NAJ1" t="s">
        <v>15028</v>
      </c>
      <c r="NAK1" t="s">
        <v>15029</v>
      </c>
      <c r="NAL1" t="s">
        <v>15030</v>
      </c>
      <c r="NAM1" t="s">
        <v>15031</v>
      </c>
      <c r="NAN1" t="s">
        <v>15032</v>
      </c>
      <c r="NAO1" t="s">
        <v>15033</v>
      </c>
      <c r="NAP1" t="s">
        <v>15034</v>
      </c>
      <c r="NAQ1" t="s">
        <v>15035</v>
      </c>
      <c r="NAR1" t="s">
        <v>15036</v>
      </c>
      <c r="NAS1" t="s">
        <v>15037</v>
      </c>
      <c r="NAT1" t="s">
        <v>15038</v>
      </c>
      <c r="NAU1" t="s">
        <v>15039</v>
      </c>
      <c r="NAV1" t="s">
        <v>15040</v>
      </c>
      <c r="NAW1" t="s">
        <v>15041</v>
      </c>
      <c r="NAX1" t="s">
        <v>15042</v>
      </c>
      <c r="NAY1" t="s">
        <v>15043</v>
      </c>
      <c r="NAZ1" t="s">
        <v>15044</v>
      </c>
      <c r="NBA1" t="s">
        <v>15045</v>
      </c>
      <c r="NBB1" t="s">
        <v>15046</v>
      </c>
      <c r="NBC1" t="s">
        <v>15047</v>
      </c>
      <c r="NBD1" t="s">
        <v>15048</v>
      </c>
      <c r="NBE1" t="s">
        <v>15049</v>
      </c>
      <c r="NBF1" t="s">
        <v>15050</v>
      </c>
      <c r="NBG1" t="s">
        <v>15051</v>
      </c>
      <c r="NBH1" t="s">
        <v>15052</v>
      </c>
      <c r="NBI1" t="s">
        <v>15053</v>
      </c>
      <c r="NBJ1" t="s">
        <v>15054</v>
      </c>
      <c r="NBK1" t="s">
        <v>15055</v>
      </c>
      <c r="NBL1" t="s">
        <v>15056</v>
      </c>
      <c r="NBM1" t="s">
        <v>15057</v>
      </c>
      <c r="NBN1" t="s">
        <v>15058</v>
      </c>
      <c r="NBO1" t="s">
        <v>15059</v>
      </c>
      <c r="NBP1" t="s">
        <v>15060</v>
      </c>
      <c r="NBQ1" t="s">
        <v>15061</v>
      </c>
      <c r="NBR1" t="s">
        <v>15062</v>
      </c>
      <c r="NBS1" t="s">
        <v>15063</v>
      </c>
      <c r="NBT1" t="s">
        <v>15064</v>
      </c>
      <c r="NBU1" t="s">
        <v>15065</v>
      </c>
      <c r="NBV1" t="s">
        <v>15066</v>
      </c>
      <c r="NBW1" t="s">
        <v>15067</v>
      </c>
      <c r="NBX1" t="s">
        <v>15068</v>
      </c>
      <c r="NBY1" t="s">
        <v>15069</v>
      </c>
      <c r="NBZ1" t="s">
        <v>15070</v>
      </c>
      <c r="NCA1" t="s">
        <v>15071</v>
      </c>
      <c r="NCB1" t="s">
        <v>15072</v>
      </c>
      <c r="NCC1" t="s">
        <v>15073</v>
      </c>
      <c r="NCD1" t="s">
        <v>15074</v>
      </c>
      <c r="NCE1" t="s">
        <v>15075</v>
      </c>
      <c r="NCF1" t="s">
        <v>15076</v>
      </c>
      <c r="NCG1" t="s">
        <v>15077</v>
      </c>
      <c r="NCH1" t="s">
        <v>15078</v>
      </c>
      <c r="NCI1" t="s">
        <v>15079</v>
      </c>
      <c r="NCJ1" t="s">
        <v>15080</v>
      </c>
      <c r="NCK1" t="s">
        <v>15081</v>
      </c>
      <c r="NCL1" t="s">
        <v>15082</v>
      </c>
      <c r="NCM1" t="s">
        <v>15083</v>
      </c>
      <c r="NCN1" t="s">
        <v>15084</v>
      </c>
      <c r="NCO1" t="s">
        <v>15085</v>
      </c>
      <c r="NCP1" t="s">
        <v>15086</v>
      </c>
      <c r="NCQ1" t="s">
        <v>15087</v>
      </c>
      <c r="NCR1" t="s">
        <v>15088</v>
      </c>
      <c r="NCS1" t="s">
        <v>15089</v>
      </c>
      <c r="NCT1" t="s">
        <v>15090</v>
      </c>
      <c r="NCU1" t="s">
        <v>15091</v>
      </c>
      <c r="NCV1" t="s">
        <v>15092</v>
      </c>
      <c r="NCW1" t="s">
        <v>15093</v>
      </c>
      <c r="NCX1" t="s">
        <v>15094</v>
      </c>
      <c r="NCY1" t="s">
        <v>15095</v>
      </c>
      <c r="NCZ1" t="s">
        <v>15096</v>
      </c>
      <c r="NDA1" t="s">
        <v>15097</v>
      </c>
      <c r="NDB1" t="s">
        <v>15098</v>
      </c>
      <c r="NDC1" t="s">
        <v>15099</v>
      </c>
      <c r="NDD1" t="s">
        <v>15100</v>
      </c>
      <c r="NDE1" t="s">
        <v>15101</v>
      </c>
      <c r="NDF1" t="s">
        <v>15102</v>
      </c>
      <c r="NDG1" t="s">
        <v>15103</v>
      </c>
      <c r="NDH1" t="s">
        <v>15104</v>
      </c>
      <c r="NDI1" t="s">
        <v>15105</v>
      </c>
      <c r="NDJ1" t="s">
        <v>15106</v>
      </c>
      <c r="NDK1" t="s">
        <v>15107</v>
      </c>
      <c r="NDL1" t="s">
        <v>15108</v>
      </c>
      <c r="NDM1" t="s">
        <v>15109</v>
      </c>
      <c r="NDN1" t="s">
        <v>15110</v>
      </c>
      <c r="NDO1" t="s">
        <v>15111</v>
      </c>
      <c r="NDP1" t="s">
        <v>15112</v>
      </c>
      <c r="NDQ1" t="s">
        <v>15113</v>
      </c>
      <c r="NDR1" t="s">
        <v>15114</v>
      </c>
      <c r="NDS1" t="s">
        <v>15115</v>
      </c>
      <c r="NDT1" t="s">
        <v>15116</v>
      </c>
      <c r="NDU1" t="s">
        <v>15117</v>
      </c>
      <c r="NDV1" t="s">
        <v>15118</v>
      </c>
      <c r="NDW1" t="s">
        <v>15119</v>
      </c>
      <c r="NDX1" t="s">
        <v>15120</v>
      </c>
      <c r="NDY1" t="s">
        <v>15121</v>
      </c>
      <c r="NDZ1" t="s">
        <v>15122</v>
      </c>
      <c r="NEA1" t="s">
        <v>15123</v>
      </c>
      <c r="NEB1" t="s">
        <v>15124</v>
      </c>
      <c r="NEC1" t="s">
        <v>15125</v>
      </c>
      <c r="NED1" t="s">
        <v>15126</v>
      </c>
      <c r="NEE1" t="s">
        <v>15127</v>
      </c>
      <c r="NEF1" t="s">
        <v>15128</v>
      </c>
      <c r="NEG1" t="s">
        <v>15129</v>
      </c>
      <c r="NEH1" t="s">
        <v>15130</v>
      </c>
      <c r="NEI1" t="s">
        <v>15131</v>
      </c>
      <c r="NEJ1" t="s">
        <v>15132</v>
      </c>
      <c r="NEK1" t="s">
        <v>15133</v>
      </c>
      <c r="NEL1" t="s">
        <v>15134</v>
      </c>
      <c r="NEM1" t="s">
        <v>15135</v>
      </c>
      <c r="NEN1" t="s">
        <v>15136</v>
      </c>
      <c r="NEO1" t="s">
        <v>15137</v>
      </c>
      <c r="NEP1" t="s">
        <v>15138</v>
      </c>
      <c r="NEQ1" t="s">
        <v>15139</v>
      </c>
      <c r="NER1" t="s">
        <v>15140</v>
      </c>
      <c r="NES1" t="s">
        <v>15141</v>
      </c>
      <c r="NET1" t="s">
        <v>15142</v>
      </c>
      <c r="NEU1" t="s">
        <v>15143</v>
      </c>
      <c r="NEV1" t="s">
        <v>15144</v>
      </c>
      <c r="NEW1" t="s">
        <v>15145</v>
      </c>
      <c r="NEX1" t="s">
        <v>15146</v>
      </c>
      <c r="NEY1" t="s">
        <v>15147</v>
      </c>
      <c r="NEZ1" t="s">
        <v>15148</v>
      </c>
      <c r="NFA1" t="s">
        <v>15149</v>
      </c>
      <c r="NFB1" t="s">
        <v>15150</v>
      </c>
      <c r="NFC1" t="s">
        <v>15151</v>
      </c>
      <c r="NFD1" t="s">
        <v>15152</v>
      </c>
      <c r="NFE1" t="s">
        <v>15153</v>
      </c>
      <c r="NFF1" t="s">
        <v>15154</v>
      </c>
      <c r="NFG1" t="s">
        <v>15155</v>
      </c>
      <c r="NFH1" t="s">
        <v>15156</v>
      </c>
      <c r="NFI1" t="s">
        <v>15157</v>
      </c>
      <c r="NFJ1" t="s">
        <v>15158</v>
      </c>
      <c r="NFK1" t="s">
        <v>15159</v>
      </c>
      <c r="NFL1" t="s">
        <v>15160</v>
      </c>
      <c r="NFM1" t="s">
        <v>15161</v>
      </c>
      <c r="NFN1" t="s">
        <v>15162</v>
      </c>
      <c r="NFO1" t="s">
        <v>15163</v>
      </c>
      <c r="NFP1" t="s">
        <v>15164</v>
      </c>
      <c r="NFQ1" t="s">
        <v>15165</v>
      </c>
      <c r="NFR1" t="s">
        <v>15166</v>
      </c>
      <c r="NFS1" t="s">
        <v>15167</v>
      </c>
      <c r="NFT1" t="s">
        <v>15168</v>
      </c>
      <c r="NFU1" t="s">
        <v>15169</v>
      </c>
      <c r="NFV1" t="s">
        <v>15170</v>
      </c>
      <c r="NFW1" t="s">
        <v>15171</v>
      </c>
      <c r="NFX1" t="s">
        <v>15172</v>
      </c>
      <c r="NFY1" t="s">
        <v>15173</v>
      </c>
      <c r="NFZ1" t="s">
        <v>15174</v>
      </c>
      <c r="NGA1" t="s">
        <v>15175</v>
      </c>
      <c r="NGB1" t="s">
        <v>15176</v>
      </c>
      <c r="NGC1" t="s">
        <v>15177</v>
      </c>
      <c r="NGD1" t="s">
        <v>15178</v>
      </c>
      <c r="NGE1" t="s">
        <v>15179</v>
      </c>
      <c r="NGF1" t="s">
        <v>15180</v>
      </c>
      <c r="NGG1" t="s">
        <v>15181</v>
      </c>
      <c r="NGH1" t="s">
        <v>15182</v>
      </c>
      <c r="NGI1" t="s">
        <v>15183</v>
      </c>
      <c r="NGJ1" t="s">
        <v>15184</v>
      </c>
      <c r="NGK1" t="s">
        <v>15185</v>
      </c>
      <c r="NGL1" t="s">
        <v>15186</v>
      </c>
      <c r="NGM1" t="s">
        <v>15187</v>
      </c>
      <c r="NGN1" t="s">
        <v>15188</v>
      </c>
      <c r="NGO1" t="s">
        <v>15189</v>
      </c>
      <c r="NGP1" t="s">
        <v>15190</v>
      </c>
      <c r="NGQ1" t="s">
        <v>15191</v>
      </c>
      <c r="NGR1" t="s">
        <v>15192</v>
      </c>
      <c r="NGS1" t="s">
        <v>15193</v>
      </c>
      <c r="NGT1" t="s">
        <v>15194</v>
      </c>
      <c r="NGU1" t="s">
        <v>15195</v>
      </c>
      <c r="NGV1" t="s">
        <v>15196</v>
      </c>
      <c r="NGW1" t="s">
        <v>15197</v>
      </c>
      <c r="NGX1" t="s">
        <v>15198</v>
      </c>
      <c r="NGY1" t="s">
        <v>15199</v>
      </c>
      <c r="NGZ1" t="s">
        <v>15200</v>
      </c>
      <c r="NHA1" t="s">
        <v>15201</v>
      </c>
      <c r="NHB1" t="s">
        <v>15202</v>
      </c>
      <c r="NHC1" t="s">
        <v>15203</v>
      </c>
      <c r="NHD1" t="s">
        <v>15204</v>
      </c>
      <c r="NHE1" t="s">
        <v>15205</v>
      </c>
      <c r="NHF1" t="s">
        <v>15206</v>
      </c>
      <c r="NHG1" t="s">
        <v>15207</v>
      </c>
      <c r="NHH1" t="s">
        <v>15208</v>
      </c>
      <c r="NHI1" t="s">
        <v>15209</v>
      </c>
      <c r="NHJ1" t="s">
        <v>15210</v>
      </c>
      <c r="NHK1" t="s">
        <v>15211</v>
      </c>
      <c r="NHL1" t="s">
        <v>15212</v>
      </c>
      <c r="NHM1" t="s">
        <v>15213</v>
      </c>
      <c r="NHN1" t="s">
        <v>15214</v>
      </c>
      <c r="NHO1" t="s">
        <v>15215</v>
      </c>
      <c r="NHP1" t="s">
        <v>15216</v>
      </c>
      <c r="NHQ1" t="s">
        <v>15217</v>
      </c>
      <c r="NHR1" t="s">
        <v>15218</v>
      </c>
      <c r="NHS1" t="s">
        <v>15219</v>
      </c>
      <c r="NHT1" t="s">
        <v>15220</v>
      </c>
      <c r="NHU1" t="s">
        <v>15221</v>
      </c>
      <c r="NHV1" t="s">
        <v>15222</v>
      </c>
      <c r="NHW1" t="s">
        <v>15223</v>
      </c>
      <c r="NHX1" t="s">
        <v>15224</v>
      </c>
      <c r="NHY1" t="s">
        <v>15225</v>
      </c>
      <c r="NHZ1" t="s">
        <v>15226</v>
      </c>
      <c r="NIA1" t="s">
        <v>15227</v>
      </c>
      <c r="NIB1" t="s">
        <v>15228</v>
      </c>
      <c r="NIC1" t="s">
        <v>15229</v>
      </c>
      <c r="NID1" t="s">
        <v>15230</v>
      </c>
      <c r="NIE1" t="s">
        <v>15231</v>
      </c>
      <c r="NIF1" t="s">
        <v>15232</v>
      </c>
      <c r="NIG1" t="s">
        <v>15233</v>
      </c>
      <c r="NIH1" t="s">
        <v>15234</v>
      </c>
      <c r="NII1" t="s">
        <v>15235</v>
      </c>
      <c r="NIJ1" t="s">
        <v>15236</v>
      </c>
      <c r="NIK1" t="s">
        <v>15237</v>
      </c>
      <c r="NIL1" t="s">
        <v>15238</v>
      </c>
      <c r="NIM1" t="s">
        <v>15239</v>
      </c>
      <c r="NIN1" t="s">
        <v>15240</v>
      </c>
      <c r="NIO1" t="s">
        <v>15241</v>
      </c>
      <c r="NIP1" t="s">
        <v>15242</v>
      </c>
      <c r="NIQ1" t="s">
        <v>15243</v>
      </c>
      <c r="NIR1" t="s">
        <v>15244</v>
      </c>
      <c r="NIS1" t="s">
        <v>15245</v>
      </c>
      <c r="NIT1" t="s">
        <v>15246</v>
      </c>
      <c r="NIU1" t="s">
        <v>15247</v>
      </c>
      <c r="NIV1" t="s">
        <v>15248</v>
      </c>
      <c r="NIW1" t="s">
        <v>15249</v>
      </c>
      <c r="NIX1" t="s">
        <v>15250</v>
      </c>
      <c r="NIY1" t="s">
        <v>15251</v>
      </c>
      <c r="NIZ1" t="s">
        <v>15252</v>
      </c>
      <c r="NJA1" t="s">
        <v>15253</v>
      </c>
      <c r="NJB1" t="s">
        <v>15254</v>
      </c>
      <c r="NJC1" t="s">
        <v>15255</v>
      </c>
      <c r="NJD1" t="s">
        <v>15256</v>
      </c>
      <c r="NJE1" t="s">
        <v>15257</v>
      </c>
      <c r="NJF1" t="s">
        <v>15258</v>
      </c>
      <c r="NJG1" t="s">
        <v>15259</v>
      </c>
      <c r="NJH1" t="s">
        <v>15260</v>
      </c>
      <c r="NJI1" t="s">
        <v>15261</v>
      </c>
      <c r="NJJ1" t="s">
        <v>15262</v>
      </c>
      <c r="NJK1" t="s">
        <v>15263</v>
      </c>
      <c r="NJL1" t="s">
        <v>15264</v>
      </c>
      <c r="NJM1" t="s">
        <v>15265</v>
      </c>
      <c r="NJN1" t="s">
        <v>15266</v>
      </c>
      <c r="NJO1" t="s">
        <v>15267</v>
      </c>
      <c r="NJP1" t="s">
        <v>15268</v>
      </c>
      <c r="NJQ1" t="s">
        <v>15269</v>
      </c>
      <c r="NJR1" t="s">
        <v>15270</v>
      </c>
      <c r="NJS1" t="s">
        <v>15271</v>
      </c>
      <c r="NJT1" t="s">
        <v>15272</v>
      </c>
      <c r="NJU1" t="s">
        <v>15273</v>
      </c>
      <c r="NJV1" t="s">
        <v>15274</v>
      </c>
      <c r="NJW1" t="s">
        <v>15275</v>
      </c>
      <c r="NJX1" t="s">
        <v>15276</v>
      </c>
      <c r="NJY1" t="s">
        <v>15277</v>
      </c>
      <c r="NJZ1" t="s">
        <v>15278</v>
      </c>
      <c r="NKA1" t="s">
        <v>15279</v>
      </c>
      <c r="NKB1" t="s">
        <v>15280</v>
      </c>
      <c r="NKC1" t="s">
        <v>15281</v>
      </c>
      <c r="NKD1" t="s">
        <v>15282</v>
      </c>
      <c r="NKE1" t="s">
        <v>15283</v>
      </c>
      <c r="NKF1" t="s">
        <v>15284</v>
      </c>
      <c r="NKG1" t="s">
        <v>15285</v>
      </c>
      <c r="NKH1" t="s">
        <v>15286</v>
      </c>
      <c r="NKI1" t="s">
        <v>15287</v>
      </c>
      <c r="NKJ1" t="s">
        <v>15288</v>
      </c>
      <c r="NKK1" t="s">
        <v>15289</v>
      </c>
      <c r="NKL1" t="s">
        <v>15290</v>
      </c>
      <c r="NKM1" t="s">
        <v>15291</v>
      </c>
      <c r="NKN1" t="s">
        <v>15292</v>
      </c>
      <c r="NKO1" t="s">
        <v>15293</v>
      </c>
      <c r="NKP1" t="s">
        <v>15294</v>
      </c>
      <c r="NKQ1" t="s">
        <v>15295</v>
      </c>
      <c r="NKR1" t="s">
        <v>15296</v>
      </c>
      <c r="NKS1" t="s">
        <v>15297</v>
      </c>
      <c r="NKT1" t="s">
        <v>15298</v>
      </c>
      <c r="NKU1" t="s">
        <v>15299</v>
      </c>
      <c r="NKV1" t="s">
        <v>15300</v>
      </c>
      <c r="NKW1" t="s">
        <v>15301</v>
      </c>
      <c r="NKX1" t="s">
        <v>15302</v>
      </c>
      <c r="NKY1" t="s">
        <v>15303</v>
      </c>
      <c r="NKZ1" t="s">
        <v>15304</v>
      </c>
      <c r="NLA1" t="s">
        <v>15305</v>
      </c>
      <c r="NLB1" t="s">
        <v>15306</v>
      </c>
      <c r="NLC1" t="s">
        <v>15307</v>
      </c>
      <c r="NLD1" t="s">
        <v>15308</v>
      </c>
      <c r="NLE1" t="s">
        <v>15309</v>
      </c>
      <c r="NLF1" t="s">
        <v>15310</v>
      </c>
      <c r="NLG1" t="s">
        <v>15311</v>
      </c>
      <c r="NLH1" t="s">
        <v>15312</v>
      </c>
      <c r="NLI1" t="s">
        <v>15313</v>
      </c>
      <c r="NLJ1" t="s">
        <v>15314</v>
      </c>
      <c r="NLK1" t="s">
        <v>15315</v>
      </c>
      <c r="NLL1" t="s">
        <v>15316</v>
      </c>
      <c r="NLM1" t="s">
        <v>15317</v>
      </c>
      <c r="NLN1" t="s">
        <v>15318</v>
      </c>
      <c r="NLO1" t="s">
        <v>15319</v>
      </c>
      <c r="NLP1" t="s">
        <v>15320</v>
      </c>
      <c r="NLQ1" t="s">
        <v>15321</v>
      </c>
      <c r="NLR1" t="s">
        <v>15322</v>
      </c>
      <c r="NLS1" t="s">
        <v>15323</v>
      </c>
      <c r="NLT1" t="s">
        <v>15324</v>
      </c>
      <c r="NLU1" t="s">
        <v>15325</v>
      </c>
      <c r="NLV1" t="s">
        <v>15326</v>
      </c>
      <c r="NLW1" t="s">
        <v>15327</v>
      </c>
      <c r="NLX1" t="s">
        <v>15328</v>
      </c>
      <c r="NLY1" t="s">
        <v>15329</v>
      </c>
      <c r="NLZ1" t="s">
        <v>15330</v>
      </c>
      <c r="NMA1" t="s">
        <v>15331</v>
      </c>
      <c r="NMB1" t="s">
        <v>15332</v>
      </c>
      <c r="NMC1" t="s">
        <v>15333</v>
      </c>
      <c r="NMD1" t="s">
        <v>15334</v>
      </c>
      <c r="NME1" t="s">
        <v>15335</v>
      </c>
      <c r="NMF1" t="s">
        <v>15336</v>
      </c>
      <c r="NMG1" t="s">
        <v>15337</v>
      </c>
      <c r="NMH1" t="s">
        <v>15338</v>
      </c>
      <c r="NMI1" t="s">
        <v>15339</v>
      </c>
      <c r="NMJ1" t="s">
        <v>15340</v>
      </c>
      <c r="NMK1" t="s">
        <v>15341</v>
      </c>
      <c r="NML1" t="s">
        <v>15342</v>
      </c>
      <c r="NMM1" t="s">
        <v>15343</v>
      </c>
      <c r="NMN1" t="s">
        <v>15344</v>
      </c>
      <c r="NMO1" t="s">
        <v>15345</v>
      </c>
      <c r="NMP1" t="s">
        <v>15346</v>
      </c>
      <c r="NMQ1" t="s">
        <v>15347</v>
      </c>
      <c r="NMR1" t="s">
        <v>15348</v>
      </c>
      <c r="NMS1" t="s">
        <v>15349</v>
      </c>
      <c r="NMT1" t="s">
        <v>15350</v>
      </c>
      <c r="NMU1" t="s">
        <v>15351</v>
      </c>
      <c r="NMV1" t="s">
        <v>15352</v>
      </c>
      <c r="NMW1" t="s">
        <v>15353</v>
      </c>
      <c r="NMX1" t="s">
        <v>15354</v>
      </c>
      <c r="NMY1" t="s">
        <v>15355</v>
      </c>
      <c r="NMZ1" t="s">
        <v>15356</v>
      </c>
      <c r="NNA1" t="s">
        <v>15357</v>
      </c>
      <c r="NNB1" t="s">
        <v>15358</v>
      </c>
      <c r="NNC1" t="s">
        <v>15359</v>
      </c>
      <c r="NND1" t="s">
        <v>15360</v>
      </c>
      <c r="NNE1" t="s">
        <v>15361</v>
      </c>
      <c r="NNF1" t="s">
        <v>15362</v>
      </c>
      <c r="NNG1" t="s">
        <v>15363</v>
      </c>
      <c r="NNH1" t="s">
        <v>15364</v>
      </c>
      <c r="NNI1" t="s">
        <v>15365</v>
      </c>
      <c r="NNJ1" t="s">
        <v>15366</v>
      </c>
      <c r="NNK1" t="s">
        <v>15367</v>
      </c>
      <c r="NNL1" t="s">
        <v>15368</v>
      </c>
      <c r="NNM1" t="s">
        <v>15369</v>
      </c>
      <c r="NNN1" t="s">
        <v>15370</v>
      </c>
      <c r="NNO1" t="s">
        <v>15371</v>
      </c>
      <c r="NNP1" t="s">
        <v>15372</v>
      </c>
      <c r="NNQ1" t="s">
        <v>15373</v>
      </c>
      <c r="NNR1" t="s">
        <v>15374</v>
      </c>
      <c r="NNS1" t="s">
        <v>15375</v>
      </c>
      <c r="NNT1" t="s">
        <v>15376</v>
      </c>
      <c r="NNU1" t="s">
        <v>15377</v>
      </c>
      <c r="NNV1" t="s">
        <v>15378</v>
      </c>
      <c r="NNW1" t="s">
        <v>15379</v>
      </c>
      <c r="NNX1" t="s">
        <v>15380</v>
      </c>
      <c r="NNY1" t="s">
        <v>15381</v>
      </c>
      <c r="NNZ1" t="s">
        <v>15382</v>
      </c>
      <c r="NOA1" t="s">
        <v>15383</v>
      </c>
      <c r="NOB1" t="s">
        <v>15384</v>
      </c>
      <c r="NOC1" t="s">
        <v>15385</v>
      </c>
      <c r="NOD1" t="s">
        <v>15386</v>
      </c>
      <c r="NOE1" t="s">
        <v>15387</v>
      </c>
      <c r="NOF1" t="s">
        <v>15388</v>
      </c>
      <c r="NOG1" t="s">
        <v>15389</v>
      </c>
      <c r="NOH1" t="s">
        <v>15390</v>
      </c>
      <c r="NOI1" t="s">
        <v>15391</v>
      </c>
      <c r="NOJ1" t="s">
        <v>15392</v>
      </c>
      <c r="NOK1" t="s">
        <v>15393</v>
      </c>
      <c r="NOL1" t="s">
        <v>15394</v>
      </c>
      <c r="NOM1" t="s">
        <v>15395</v>
      </c>
      <c r="NON1" t="s">
        <v>15396</v>
      </c>
      <c r="NOO1" t="s">
        <v>15397</v>
      </c>
      <c r="NOP1" t="s">
        <v>15398</v>
      </c>
      <c r="NOQ1" t="s">
        <v>15399</v>
      </c>
      <c r="NOR1" t="s">
        <v>15400</v>
      </c>
      <c r="NOS1" t="s">
        <v>15401</v>
      </c>
      <c r="NOT1" t="s">
        <v>15402</v>
      </c>
      <c r="NOU1" t="s">
        <v>15403</v>
      </c>
      <c r="NOV1" t="s">
        <v>15404</v>
      </c>
      <c r="NOW1" t="s">
        <v>15405</v>
      </c>
      <c r="NOX1" t="s">
        <v>15406</v>
      </c>
      <c r="NOY1" t="s">
        <v>15407</v>
      </c>
      <c r="NOZ1" t="s">
        <v>15408</v>
      </c>
      <c r="NPA1" t="s">
        <v>15409</v>
      </c>
      <c r="NPB1" t="s">
        <v>15410</v>
      </c>
      <c r="NPC1" t="s">
        <v>15411</v>
      </c>
      <c r="NPD1" t="s">
        <v>15412</v>
      </c>
      <c r="NPE1" t="s">
        <v>15413</v>
      </c>
      <c r="NPF1" t="s">
        <v>15414</v>
      </c>
      <c r="NPG1" t="s">
        <v>15415</v>
      </c>
      <c r="NPH1" t="s">
        <v>15416</v>
      </c>
      <c r="NPI1" t="s">
        <v>15417</v>
      </c>
      <c r="NPJ1" t="s">
        <v>15418</v>
      </c>
      <c r="NPK1" t="s">
        <v>15419</v>
      </c>
      <c r="NPL1" t="s">
        <v>15420</v>
      </c>
      <c r="NPM1" t="s">
        <v>15421</v>
      </c>
      <c r="NPN1" t="s">
        <v>15422</v>
      </c>
      <c r="NPO1" t="s">
        <v>15423</v>
      </c>
      <c r="NPP1" t="s">
        <v>15424</v>
      </c>
      <c r="NPQ1" t="s">
        <v>15425</v>
      </c>
      <c r="NPR1" t="s">
        <v>15426</v>
      </c>
      <c r="NPS1" t="s">
        <v>15427</v>
      </c>
      <c r="NPT1" t="s">
        <v>15428</v>
      </c>
      <c r="NPU1" t="s">
        <v>15429</v>
      </c>
      <c r="NPV1" t="s">
        <v>15430</v>
      </c>
      <c r="NPW1" t="s">
        <v>15431</v>
      </c>
      <c r="NPX1" t="s">
        <v>15432</v>
      </c>
      <c r="NPY1" t="s">
        <v>15433</v>
      </c>
      <c r="NPZ1" t="s">
        <v>15434</v>
      </c>
      <c r="NQA1" t="s">
        <v>15435</v>
      </c>
      <c r="NQB1" t="s">
        <v>15436</v>
      </c>
      <c r="NQC1" t="s">
        <v>15437</v>
      </c>
      <c r="NQD1" t="s">
        <v>15438</v>
      </c>
      <c r="NQE1" t="s">
        <v>15439</v>
      </c>
      <c r="NQF1" t="s">
        <v>15440</v>
      </c>
      <c r="NQG1" t="s">
        <v>15441</v>
      </c>
      <c r="NQH1" t="s">
        <v>15442</v>
      </c>
      <c r="NQI1" t="s">
        <v>15443</v>
      </c>
      <c r="NQJ1" t="s">
        <v>15444</v>
      </c>
      <c r="NQK1" t="s">
        <v>15445</v>
      </c>
      <c r="NQL1" t="s">
        <v>15446</v>
      </c>
      <c r="NQM1" t="s">
        <v>15447</v>
      </c>
      <c r="NQN1" t="s">
        <v>15448</v>
      </c>
      <c r="NQO1" t="s">
        <v>15449</v>
      </c>
      <c r="NQP1" t="s">
        <v>15450</v>
      </c>
      <c r="NQQ1" t="s">
        <v>15451</v>
      </c>
      <c r="NQR1" t="s">
        <v>15452</v>
      </c>
      <c r="NQS1" t="s">
        <v>15453</v>
      </c>
      <c r="NQT1" t="s">
        <v>15454</v>
      </c>
      <c r="NQU1" t="s">
        <v>15455</v>
      </c>
      <c r="NQV1" t="s">
        <v>15456</v>
      </c>
      <c r="NQW1" t="s">
        <v>15457</v>
      </c>
      <c r="NQX1" t="s">
        <v>15458</v>
      </c>
      <c r="NQY1" t="s">
        <v>15459</v>
      </c>
      <c r="NQZ1" t="s">
        <v>15460</v>
      </c>
      <c r="NRA1" t="s">
        <v>15461</v>
      </c>
      <c r="NRB1" t="s">
        <v>15462</v>
      </c>
      <c r="NRC1" t="s">
        <v>15463</v>
      </c>
      <c r="NRD1" t="s">
        <v>15464</v>
      </c>
      <c r="NRE1" t="s">
        <v>15465</v>
      </c>
      <c r="NRF1" t="s">
        <v>15466</v>
      </c>
      <c r="NRG1" t="s">
        <v>15467</v>
      </c>
      <c r="NRH1" t="s">
        <v>15468</v>
      </c>
      <c r="NRI1" t="s">
        <v>15469</v>
      </c>
      <c r="NRJ1" t="s">
        <v>15470</v>
      </c>
      <c r="NRK1" t="s">
        <v>15471</v>
      </c>
      <c r="NRL1" t="s">
        <v>15472</v>
      </c>
      <c r="NRM1" t="s">
        <v>15473</v>
      </c>
      <c r="NRN1" t="s">
        <v>15474</v>
      </c>
      <c r="NRO1" t="s">
        <v>15475</v>
      </c>
      <c r="NRP1" t="s">
        <v>15476</v>
      </c>
      <c r="NRQ1" t="s">
        <v>15477</v>
      </c>
      <c r="NRR1" t="s">
        <v>15478</v>
      </c>
      <c r="NRS1" t="s">
        <v>15479</v>
      </c>
      <c r="NRT1" t="s">
        <v>15480</v>
      </c>
      <c r="NRU1" t="s">
        <v>15481</v>
      </c>
      <c r="NRV1" t="s">
        <v>15482</v>
      </c>
      <c r="NRW1" t="s">
        <v>15483</v>
      </c>
      <c r="NRX1" t="s">
        <v>15484</v>
      </c>
      <c r="NRY1" t="s">
        <v>15485</v>
      </c>
      <c r="NRZ1" t="s">
        <v>15486</v>
      </c>
      <c r="NSA1" t="s">
        <v>15487</v>
      </c>
      <c r="NSB1" t="s">
        <v>15488</v>
      </c>
      <c r="NSC1" t="s">
        <v>15489</v>
      </c>
      <c r="NSD1" t="s">
        <v>15490</v>
      </c>
      <c r="NSE1" t="s">
        <v>15491</v>
      </c>
      <c r="NSF1" t="s">
        <v>15492</v>
      </c>
      <c r="NSG1" t="s">
        <v>15493</v>
      </c>
      <c r="NSH1" t="s">
        <v>15494</v>
      </c>
      <c r="NSI1" t="s">
        <v>15495</v>
      </c>
      <c r="NSJ1" t="s">
        <v>15496</v>
      </c>
      <c r="NSK1" t="s">
        <v>15497</v>
      </c>
      <c r="NSL1" t="s">
        <v>15498</v>
      </c>
      <c r="NSM1" t="s">
        <v>15499</v>
      </c>
      <c r="NSN1" t="s">
        <v>15500</v>
      </c>
      <c r="NSO1" t="s">
        <v>15501</v>
      </c>
      <c r="NSP1" t="s">
        <v>15502</v>
      </c>
      <c r="NSQ1" t="s">
        <v>15503</v>
      </c>
      <c r="NSR1" t="s">
        <v>15504</v>
      </c>
      <c r="NSS1" t="s">
        <v>15505</v>
      </c>
      <c r="NST1" t="s">
        <v>15506</v>
      </c>
      <c r="NSU1" t="s">
        <v>15507</v>
      </c>
      <c r="NSV1" t="s">
        <v>15508</v>
      </c>
      <c r="NSW1" t="s">
        <v>15509</v>
      </c>
      <c r="NSX1" t="s">
        <v>15510</v>
      </c>
      <c r="NSY1" t="s">
        <v>15511</v>
      </c>
      <c r="NSZ1" t="s">
        <v>15512</v>
      </c>
      <c r="NTA1" t="s">
        <v>15513</v>
      </c>
      <c r="NTB1" t="s">
        <v>15514</v>
      </c>
      <c r="NTC1" t="s">
        <v>15515</v>
      </c>
      <c r="NTD1" t="s">
        <v>15516</v>
      </c>
      <c r="NTE1" t="s">
        <v>15517</v>
      </c>
      <c r="NTF1" t="s">
        <v>15518</v>
      </c>
      <c r="NTG1" t="s">
        <v>15519</v>
      </c>
      <c r="NTH1" t="s">
        <v>15520</v>
      </c>
      <c r="NTI1" t="s">
        <v>15521</v>
      </c>
      <c r="NTJ1" t="s">
        <v>15522</v>
      </c>
      <c r="NTK1" t="s">
        <v>15523</v>
      </c>
      <c r="NTL1" t="s">
        <v>15524</v>
      </c>
      <c r="NTM1" t="s">
        <v>15525</v>
      </c>
      <c r="NTN1" t="s">
        <v>15526</v>
      </c>
      <c r="NTO1" t="s">
        <v>15527</v>
      </c>
      <c r="NTP1" t="s">
        <v>15528</v>
      </c>
      <c r="NTQ1" t="s">
        <v>15529</v>
      </c>
      <c r="NTR1" t="s">
        <v>15530</v>
      </c>
      <c r="NTS1" t="s">
        <v>15531</v>
      </c>
      <c r="NTT1" t="s">
        <v>15532</v>
      </c>
      <c r="NTU1" t="s">
        <v>15533</v>
      </c>
      <c r="NTV1" t="s">
        <v>15534</v>
      </c>
      <c r="NTW1" t="s">
        <v>15535</v>
      </c>
      <c r="NTX1" t="s">
        <v>15536</v>
      </c>
      <c r="NTY1" t="s">
        <v>15537</v>
      </c>
      <c r="NTZ1" t="s">
        <v>15538</v>
      </c>
      <c r="NUA1" t="s">
        <v>15539</v>
      </c>
      <c r="NUB1" t="s">
        <v>15540</v>
      </c>
      <c r="NUC1" t="s">
        <v>15541</v>
      </c>
      <c r="NUD1" t="s">
        <v>15542</v>
      </c>
      <c r="NUE1" t="s">
        <v>15543</v>
      </c>
      <c r="NUF1" t="s">
        <v>15544</v>
      </c>
      <c r="NUG1" t="s">
        <v>15545</v>
      </c>
      <c r="NUH1" t="s">
        <v>15546</v>
      </c>
      <c r="NUI1" t="s">
        <v>15547</v>
      </c>
      <c r="NUJ1" t="s">
        <v>15548</v>
      </c>
      <c r="NUK1" t="s">
        <v>15549</v>
      </c>
      <c r="NUL1" t="s">
        <v>15550</v>
      </c>
      <c r="NUM1" t="s">
        <v>15551</v>
      </c>
      <c r="NUN1" t="s">
        <v>15552</v>
      </c>
      <c r="NUO1" t="s">
        <v>15553</v>
      </c>
      <c r="NUP1" t="s">
        <v>15554</v>
      </c>
      <c r="NUQ1" t="s">
        <v>15555</v>
      </c>
      <c r="NUR1" t="s">
        <v>15556</v>
      </c>
      <c r="NUS1" t="s">
        <v>15557</v>
      </c>
      <c r="NUT1" t="s">
        <v>15558</v>
      </c>
      <c r="NUU1" t="s">
        <v>15559</v>
      </c>
      <c r="NUV1" t="s">
        <v>15560</v>
      </c>
      <c r="NUW1" t="s">
        <v>15561</v>
      </c>
      <c r="NUX1" t="s">
        <v>15562</v>
      </c>
      <c r="NUY1" t="s">
        <v>15563</v>
      </c>
      <c r="NUZ1" t="s">
        <v>15564</v>
      </c>
      <c r="NVA1" t="s">
        <v>15565</v>
      </c>
      <c r="NVB1" t="s">
        <v>15566</v>
      </c>
      <c r="NVC1" t="s">
        <v>15567</v>
      </c>
      <c r="NVD1" t="s">
        <v>15568</v>
      </c>
      <c r="NVE1" t="s">
        <v>15569</v>
      </c>
      <c r="NVF1" t="s">
        <v>15570</v>
      </c>
      <c r="NVG1" t="s">
        <v>15571</v>
      </c>
      <c r="NVH1" t="s">
        <v>15572</v>
      </c>
      <c r="NVI1" t="s">
        <v>15573</v>
      </c>
      <c r="NVJ1" t="s">
        <v>15574</v>
      </c>
      <c r="NVK1" t="s">
        <v>15575</v>
      </c>
      <c r="NVL1" t="s">
        <v>15576</v>
      </c>
      <c r="NVM1" t="s">
        <v>15577</v>
      </c>
      <c r="NVN1" t="s">
        <v>15578</v>
      </c>
      <c r="NVO1" t="s">
        <v>15579</v>
      </c>
      <c r="NVP1" t="s">
        <v>15580</v>
      </c>
      <c r="NVQ1" t="s">
        <v>15581</v>
      </c>
      <c r="NVR1" t="s">
        <v>15582</v>
      </c>
      <c r="NVS1" t="s">
        <v>15583</v>
      </c>
      <c r="NVT1" t="s">
        <v>15584</v>
      </c>
      <c r="NVU1" t="s">
        <v>15585</v>
      </c>
      <c r="NVV1" t="s">
        <v>15586</v>
      </c>
      <c r="NVW1" t="s">
        <v>15587</v>
      </c>
      <c r="NVX1" t="s">
        <v>15588</v>
      </c>
      <c r="NVY1" t="s">
        <v>15589</v>
      </c>
      <c r="NVZ1" t="s">
        <v>15590</v>
      </c>
      <c r="NWA1" t="s">
        <v>15591</v>
      </c>
      <c r="NWB1" t="s">
        <v>15592</v>
      </c>
      <c r="NWC1" t="s">
        <v>15593</v>
      </c>
      <c r="NWD1" t="s">
        <v>15594</v>
      </c>
      <c r="NWE1" t="s">
        <v>15595</v>
      </c>
      <c r="NWF1" t="s">
        <v>15596</v>
      </c>
      <c r="NWG1" t="s">
        <v>15597</v>
      </c>
      <c r="NWH1" t="s">
        <v>15598</v>
      </c>
      <c r="NWI1" t="s">
        <v>15599</v>
      </c>
      <c r="NWJ1" t="s">
        <v>15600</v>
      </c>
      <c r="NWK1" t="s">
        <v>15601</v>
      </c>
      <c r="NWL1" t="s">
        <v>15602</v>
      </c>
      <c r="NWM1" t="s">
        <v>15603</v>
      </c>
      <c r="NWN1" t="s">
        <v>15604</v>
      </c>
      <c r="NWO1" t="s">
        <v>15605</v>
      </c>
      <c r="NWP1" t="s">
        <v>15606</v>
      </c>
      <c r="NWQ1" t="s">
        <v>15607</v>
      </c>
      <c r="NWR1" t="s">
        <v>15608</v>
      </c>
      <c r="NWS1" t="s">
        <v>15609</v>
      </c>
      <c r="NWT1" t="s">
        <v>15610</v>
      </c>
      <c r="NWU1" t="s">
        <v>15611</v>
      </c>
      <c r="NWV1" t="s">
        <v>15612</v>
      </c>
      <c r="NWW1" t="s">
        <v>15613</v>
      </c>
      <c r="NWX1" t="s">
        <v>15614</v>
      </c>
      <c r="NWY1" t="s">
        <v>15615</v>
      </c>
      <c r="NWZ1" t="s">
        <v>15616</v>
      </c>
      <c r="NXA1" t="s">
        <v>15617</v>
      </c>
      <c r="NXB1" t="s">
        <v>15618</v>
      </c>
      <c r="NXC1" t="s">
        <v>15619</v>
      </c>
      <c r="NXD1" t="s">
        <v>15620</v>
      </c>
      <c r="NXE1" t="s">
        <v>15621</v>
      </c>
      <c r="NXF1" t="s">
        <v>15622</v>
      </c>
      <c r="NXG1" t="s">
        <v>15623</v>
      </c>
      <c r="NXH1" t="s">
        <v>15624</v>
      </c>
      <c r="NXI1" t="s">
        <v>15625</v>
      </c>
      <c r="NXJ1" t="s">
        <v>15626</v>
      </c>
      <c r="NXK1" t="s">
        <v>15627</v>
      </c>
      <c r="NXL1" t="s">
        <v>15628</v>
      </c>
      <c r="NXM1" t="s">
        <v>15629</v>
      </c>
      <c r="NXN1" t="s">
        <v>15630</v>
      </c>
      <c r="NXO1" t="s">
        <v>15631</v>
      </c>
      <c r="NXP1" t="s">
        <v>15632</v>
      </c>
      <c r="NXQ1" t="s">
        <v>15633</v>
      </c>
      <c r="NXR1" t="s">
        <v>15634</v>
      </c>
      <c r="NXS1" t="s">
        <v>15635</v>
      </c>
      <c r="NXT1" t="s">
        <v>15636</v>
      </c>
      <c r="NXU1" t="s">
        <v>15637</v>
      </c>
      <c r="NXV1" t="s">
        <v>15638</v>
      </c>
      <c r="NXW1" t="s">
        <v>15639</v>
      </c>
      <c r="NXX1" t="s">
        <v>15640</v>
      </c>
      <c r="NXY1" t="s">
        <v>15641</v>
      </c>
      <c r="NXZ1" t="s">
        <v>15642</v>
      </c>
      <c r="NYA1" t="s">
        <v>15643</v>
      </c>
      <c r="NYB1" t="s">
        <v>15644</v>
      </c>
      <c r="NYC1" t="s">
        <v>15645</v>
      </c>
      <c r="NYD1" t="s">
        <v>15646</v>
      </c>
      <c r="NYE1" t="s">
        <v>15647</v>
      </c>
      <c r="NYF1" t="s">
        <v>15648</v>
      </c>
      <c r="NYG1" t="s">
        <v>15649</v>
      </c>
      <c r="NYH1" t="s">
        <v>15650</v>
      </c>
      <c r="NYI1" t="s">
        <v>15651</v>
      </c>
      <c r="NYJ1" t="s">
        <v>15652</v>
      </c>
      <c r="NYK1" t="s">
        <v>15653</v>
      </c>
      <c r="NYL1" t="s">
        <v>15654</v>
      </c>
      <c r="NYM1" t="s">
        <v>15655</v>
      </c>
      <c r="NYN1" t="s">
        <v>15656</v>
      </c>
      <c r="NYO1" t="s">
        <v>15657</v>
      </c>
      <c r="NYP1" t="s">
        <v>15658</v>
      </c>
      <c r="NYQ1" t="s">
        <v>15659</v>
      </c>
      <c r="NYR1" t="s">
        <v>15660</v>
      </c>
      <c r="NYS1" t="s">
        <v>15661</v>
      </c>
      <c r="NYT1" t="s">
        <v>15662</v>
      </c>
      <c r="NYU1" t="s">
        <v>15663</v>
      </c>
      <c r="NYV1" t="s">
        <v>15664</v>
      </c>
      <c r="NYW1" t="s">
        <v>15665</v>
      </c>
      <c r="NYX1" t="s">
        <v>15666</v>
      </c>
      <c r="NYY1" t="s">
        <v>15667</v>
      </c>
      <c r="NYZ1" t="s">
        <v>15668</v>
      </c>
      <c r="NZA1" t="s">
        <v>15669</v>
      </c>
      <c r="NZB1" t="s">
        <v>15670</v>
      </c>
      <c r="NZC1" t="s">
        <v>15671</v>
      </c>
      <c r="NZD1" t="s">
        <v>15672</v>
      </c>
      <c r="NZE1" t="s">
        <v>15673</v>
      </c>
      <c r="NZF1" t="s">
        <v>15674</v>
      </c>
      <c r="NZG1" t="s">
        <v>15675</v>
      </c>
      <c r="NZH1" t="s">
        <v>15676</v>
      </c>
      <c r="NZI1" t="s">
        <v>15677</v>
      </c>
      <c r="NZJ1" t="s">
        <v>15678</v>
      </c>
      <c r="NZK1" t="s">
        <v>15679</v>
      </c>
      <c r="NZL1" t="s">
        <v>15680</v>
      </c>
      <c r="NZM1" t="s">
        <v>15681</v>
      </c>
      <c r="NZN1" t="s">
        <v>15682</v>
      </c>
      <c r="NZO1" t="s">
        <v>15683</v>
      </c>
      <c r="NZP1" t="s">
        <v>15684</v>
      </c>
      <c r="NZQ1" t="s">
        <v>15685</v>
      </c>
      <c r="NZR1" t="s">
        <v>15686</v>
      </c>
      <c r="NZS1" t="s">
        <v>15687</v>
      </c>
      <c r="NZT1" t="s">
        <v>15688</v>
      </c>
      <c r="NZU1" t="s">
        <v>15689</v>
      </c>
      <c r="NZV1" t="s">
        <v>15690</v>
      </c>
      <c r="NZW1" t="s">
        <v>15691</v>
      </c>
      <c r="NZX1" t="s">
        <v>15692</v>
      </c>
      <c r="NZY1" t="s">
        <v>15693</v>
      </c>
      <c r="NZZ1" t="s">
        <v>15694</v>
      </c>
      <c r="OAA1" t="s">
        <v>15695</v>
      </c>
      <c r="OAB1" t="s">
        <v>15696</v>
      </c>
      <c r="OAC1" t="s">
        <v>15697</v>
      </c>
      <c r="OAD1" t="s">
        <v>15698</v>
      </c>
      <c r="OAE1" t="s">
        <v>15699</v>
      </c>
      <c r="OAF1" t="s">
        <v>15700</v>
      </c>
      <c r="OAG1" t="s">
        <v>15701</v>
      </c>
      <c r="OAH1" t="s">
        <v>15702</v>
      </c>
      <c r="OAI1" t="s">
        <v>15703</v>
      </c>
      <c r="OAJ1" t="s">
        <v>15704</v>
      </c>
      <c r="OAK1" t="s">
        <v>15705</v>
      </c>
      <c r="OAL1" t="s">
        <v>15706</v>
      </c>
      <c r="OAM1" t="s">
        <v>15707</v>
      </c>
      <c r="OAN1" t="s">
        <v>15708</v>
      </c>
      <c r="OAO1" t="s">
        <v>15709</v>
      </c>
      <c r="OAP1" t="s">
        <v>15710</v>
      </c>
      <c r="OAQ1" t="s">
        <v>15711</v>
      </c>
      <c r="OAR1" t="s">
        <v>15712</v>
      </c>
      <c r="OAS1" t="s">
        <v>15713</v>
      </c>
      <c r="OAT1" t="s">
        <v>15714</v>
      </c>
      <c r="OAU1" t="s">
        <v>15715</v>
      </c>
      <c r="OAV1" t="s">
        <v>15716</v>
      </c>
      <c r="OAW1" t="s">
        <v>15717</v>
      </c>
      <c r="OAX1" t="s">
        <v>15718</v>
      </c>
      <c r="OAY1" t="s">
        <v>15719</v>
      </c>
      <c r="OAZ1" t="s">
        <v>15720</v>
      </c>
      <c r="OBA1" t="s">
        <v>15721</v>
      </c>
      <c r="OBB1" t="s">
        <v>15722</v>
      </c>
      <c r="OBC1" t="s">
        <v>15723</v>
      </c>
      <c r="OBD1" t="s">
        <v>15724</v>
      </c>
      <c r="OBE1" t="s">
        <v>15725</v>
      </c>
      <c r="OBF1" t="s">
        <v>15726</v>
      </c>
      <c r="OBG1" t="s">
        <v>15727</v>
      </c>
      <c r="OBH1" t="s">
        <v>15728</v>
      </c>
      <c r="OBI1" t="s">
        <v>15729</v>
      </c>
      <c r="OBJ1" t="s">
        <v>15730</v>
      </c>
      <c r="OBK1" t="s">
        <v>15731</v>
      </c>
      <c r="OBL1" t="s">
        <v>15732</v>
      </c>
      <c r="OBM1" t="s">
        <v>15733</v>
      </c>
      <c r="OBN1" t="s">
        <v>15734</v>
      </c>
      <c r="OBO1" t="s">
        <v>15735</v>
      </c>
      <c r="OBP1" t="s">
        <v>15736</v>
      </c>
      <c r="OBQ1" t="s">
        <v>15737</v>
      </c>
      <c r="OBR1" t="s">
        <v>15738</v>
      </c>
      <c r="OBS1" t="s">
        <v>15739</v>
      </c>
      <c r="OBT1" t="s">
        <v>15740</v>
      </c>
      <c r="OBU1" t="s">
        <v>15741</v>
      </c>
      <c r="OBV1" t="s">
        <v>15742</v>
      </c>
      <c r="OBW1" t="s">
        <v>15743</v>
      </c>
      <c r="OBX1" t="s">
        <v>15744</v>
      </c>
      <c r="OBY1" t="s">
        <v>15745</v>
      </c>
      <c r="OBZ1" t="s">
        <v>15746</v>
      </c>
      <c r="OCA1" t="s">
        <v>15747</v>
      </c>
      <c r="OCB1" t="s">
        <v>15748</v>
      </c>
      <c r="OCC1" t="s">
        <v>15749</v>
      </c>
      <c r="OCD1" t="s">
        <v>15750</v>
      </c>
      <c r="OCE1" t="s">
        <v>15751</v>
      </c>
      <c r="OCF1" t="s">
        <v>15752</v>
      </c>
      <c r="OCG1" t="s">
        <v>15753</v>
      </c>
      <c r="OCH1" t="s">
        <v>15754</v>
      </c>
      <c r="OCI1" t="s">
        <v>15755</v>
      </c>
      <c r="OCJ1" t="s">
        <v>15756</v>
      </c>
      <c r="OCK1" t="s">
        <v>15757</v>
      </c>
      <c r="OCL1" t="s">
        <v>15758</v>
      </c>
      <c r="OCM1" t="s">
        <v>15759</v>
      </c>
      <c r="OCN1" t="s">
        <v>15760</v>
      </c>
      <c r="OCO1" t="s">
        <v>15761</v>
      </c>
      <c r="OCP1" t="s">
        <v>15762</v>
      </c>
      <c r="OCQ1" t="s">
        <v>15763</v>
      </c>
      <c r="OCR1" t="s">
        <v>15764</v>
      </c>
      <c r="OCS1" t="s">
        <v>15765</v>
      </c>
      <c r="OCT1" t="s">
        <v>15766</v>
      </c>
      <c r="OCU1" t="s">
        <v>15767</v>
      </c>
      <c r="OCV1" t="s">
        <v>15768</v>
      </c>
      <c r="OCW1" t="s">
        <v>15769</v>
      </c>
      <c r="OCX1" t="s">
        <v>15770</v>
      </c>
      <c r="OCY1" t="s">
        <v>15771</v>
      </c>
      <c r="OCZ1" t="s">
        <v>15772</v>
      </c>
      <c r="ODA1" t="s">
        <v>15773</v>
      </c>
      <c r="ODB1" t="s">
        <v>15774</v>
      </c>
      <c r="ODC1" t="s">
        <v>15775</v>
      </c>
      <c r="ODD1" t="s">
        <v>15776</v>
      </c>
      <c r="ODE1" t="s">
        <v>15777</v>
      </c>
      <c r="ODF1" t="s">
        <v>15778</v>
      </c>
      <c r="ODG1" t="s">
        <v>15779</v>
      </c>
      <c r="ODH1" t="s">
        <v>15780</v>
      </c>
      <c r="ODI1" t="s">
        <v>15781</v>
      </c>
      <c r="ODJ1" t="s">
        <v>15782</v>
      </c>
      <c r="ODK1" t="s">
        <v>15783</v>
      </c>
      <c r="ODL1" t="s">
        <v>15784</v>
      </c>
      <c r="ODM1" t="s">
        <v>15785</v>
      </c>
      <c r="ODN1" t="s">
        <v>15786</v>
      </c>
      <c r="ODO1" t="s">
        <v>15787</v>
      </c>
      <c r="ODP1" t="s">
        <v>15788</v>
      </c>
      <c r="ODQ1" t="s">
        <v>15789</v>
      </c>
      <c r="ODR1" t="s">
        <v>15790</v>
      </c>
      <c r="ODS1" t="s">
        <v>15791</v>
      </c>
      <c r="ODT1" t="s">
        <v>15792</v>
      </c>
      <c r="ODU1" t="s">
        <v>15793</v>
      </c>
      <c r="ODV1" t="s">
        <v>15794</v>
      </c>
      <c r="ODW1" t="s">
        <v>15795</v>
      </c>
      <c r="ODX1" t="s">
        <v>15796</v>
      </c>
      <c r="ODY1" t="s">
        <v>15797</v>
      </c>
      <c r="ODZ1" t="s">
        <v>15798</v>
      </c>
      <c r="OEA1" t="s">
        <v>15799</v>
      </c>
      <c r="OEB1" t="s">
        <v>15800</v>
      </c>
      <c r="OEC1" t="s">
        <v>15801</v>
      </c>
      <c r="OED1" t="s">
        <v>15802</v>
      </c>
      <c r="OEE1" t="s">
        <v>15803</v>
      </c>
      <c r="OEF1" t="s">
        <v>15804</v>
      </c>
      <c r="OEG1" t="s">
        <v>15805</v>
      </c>
      <c r="OEH1" t="s">
        <v>15806</v>
      </c>
      <c r="OEI1" t="s">
        <v>15807</v>
      </c>
      <c r="OEJ1" t="s">
        <v>15808</v>
      </c>
      <c r="OEK1" t="s">
        <v>15809</v>
      </c>
      <c r="OEL1" t="s">
        <v>15810</v>
      </c>
      <c r="OEM1" t="s">
        <v>15811</v>
      </c>
      <c r="OEN1" t="s">
        <v>15812</v>
      </c>
      <c r="OEO1" t="s">
        <v>15813</v>
      </c>
      <c r="OEP1" t="s">
        <v>15814</v>
      </c>
      <c r="OEQ1" t="s">
        <v>15815</v>
      </c>
      <c r="OER1" t="s">
        <v>15816</v>
      </c>
      <c r="OES1" t="s">
        <v>15817</v>
      </c>
      <c r="OET1" t="s">
        <v>15818</v>
      </c>
      <c r="OEU1" t="s">
        <v>15819</v>
      </c>
      <c r="OEV1" t="s">
        <v>15820</v>
      </c>
      <c r="OEW1" t="s">
        <v>15821</v>
      </c>
      <c r="OEX1" t="s">
        <v>15822</v>
      </c>
      <c r="OEY1" t="s">
        <v>15823</v>
      </c>
      <c r="OEZ1" t="s">
        <v>15824</v>
      </c>
      <c r="OFA1" t="s">
        <v>15825</v>
      </c>
      <c r="OFB1" t="s">
        <v>15826</v>
      </c>
      <c r="OFC1" t="s">
        <v>15827</v>
      </c>
      <c r="OFD1" t="s">
        <v>15828</v>
      </c>
      <c r="OFE1" t="s">
        <v>15829</v>
      </c>
      <c r="OFF1" t="s">
        <v>15830</v>
      </c>
      <c r="OFG1" t="s">
        <v>15831</v>
      </c>
      <c r="OFH1" t="s">
        <v>15832</v>
      </c>
      <c r="OFI1" t="s">
        <v>15833</v>
      </c>
      <c r="OFJ1" t="s">
        <v>15834</v>
      </c>
      <c r="OFK1" t="s">
        <v>15835</v>
      </c>
      <c r="OFL1" t="s">
        <v>15836</v>
      </c>
      <c r="OFM1" t="s">
        <v>15837</v>
      </c>
      <c r="OFN1" t="s">
        <v>15838</v>
      </c>
      <c r="OFO1" t="s">
        <v>15839</v>
      </c>
      <c r="OFP1" t="s">
        <v>15840</v>
      </c>
      <c r="OFQ1" t="s">
        <v>15841</v>
      </c>
      <c r="OFR1" t="s">
        <v>15842</v>
      </c>
      <c r="OFS1" t="s">
        <v>15843</v>
      </c>
      <c r="OFT1" t="s">
        <v>15844</v>
      </c>
      <c r="OFU1" t="s">
        <v>15845</v>
      </c>
      <c r="OFV1" t="s">
        <v>15846</v>
      </c>
      <c r="OFW1" t="s">
        <v>15847</v>
      </c>
      <c r="OFX1" t="s">
        <v>15848</v>
      </c>
      <c r="OFY1" t="s">
        <v>15849</v>
      </c>
      <c r="OFZ1" t="s">
        <v>15850</v>
      </c>
      <c r="OGA1" t="s">
        <v>15851</v>
      </c>
      <c r="OGB1" t="s">
        <v>15852</v>
      </c>
      <c r="OGC1" t="s">
        <v>15853</v>
      </c>
      <c r="OGD1" t="s">
        <v>15854</v>
      </c>
      <c r="OGE1" t="s">
        <v>15855</v>
      </c>
      <c r="OGF1" t="s">
        <v>15856</v>
      </c>
      <c r="OGG1" t="s">
        <v>15857</v>
      </c>
      <c r="OGH1" t="s">
        <v>15858</v>
      </c>
      <c r="OGI1" t="s">
        <v>15859</v>
      </c>
      <c r="OGJ1" t="s">
        <v>15860</v>
      </c>
      <c r="OGK1" t="s">
        <v>15861</v>
      </c>
      <c r="OGL1" t="s">
        <v>15862</v>
      </c>
      <c r="OGM1" t="s">
        <v>15863</v>
      </c>
      <c r="OGN1" t="s">
        <v>15864</v>
      </c>
      <c r="OGO1" t="s">
        <v>15865</v>
      </c>
      <c r="OGP1" t="s">
        <v>15866</v>
      </c>
      <c r="OGQ1" t="s">
        <v>15867</v>
      </c>
      <c r="OGR1" t="s">
        <v>15868</v>
      </c>
      <c r="OGS1" t="s">
        <v>15869</v>
      </c>
      <c r="OGT1" t="s">
        <v>15870</v>
      </c>
      <c r="OGU1" t="s">
        <v>15871</v>
      </c>
      <c r="OGV1" t="s">
        <v>15872</v>
      </c>
      <c r="OGW1" t="s">
        <v>15873</v>
      </c>
      <c r="OGX1" t="s">
        <v>15874</v>
      </c>
      <c r="OGY1" t="s">
        <v>15875</v>
      </c>
      <c r="OGZ1" t="s">
        <v>15876</v>
      </c>
      <c r="OHA1" t="s">
        <v>15877</v>
      </c>
      <c r="OHB1" t="s">
        <v>15878</v>
      </c>
      <c r="OHC1" t="s">
        <v>15879</v>
      </c>
      <c r="OHD1" t="s">
        <v>15880</v>
      </c>
      <c r="OHE1" t="s">
        <v>15881</v>
      </c>
      <c r="OHF1" t="s">
        <v>15882</v>
      </c>
      <c r="OHG1" t="s">
        <v>15883</v>
      </c>
      <c r="OHH1" t="s">
        <v>15884</v>
      </c>
      <c r="OHI1" t="s">
        <v>15885</v>
      </c>
      <c r="OHJ1" t="s">
        <v>15886</v>
      </c>
      <c r="OHK1" t="s">
        <v>15887</v>
      </c>
      <c r="OHL1" t="s">
        <v>15888</v>
      </c>
      <c r="OHM1" t="s">
        <v>15889</v>
      </c>
      <c r="OHN1" t="s">
        <v>15890</v>
      </c>
      <c r="OHO1" t="s">
        <v>15891</v>
      </c>
      <c r="OHP1" t="s">
        <v>15892</v>
      </c>
      <c r="OHQ1" t="s">
        <v>15893</v>
      </c>
      <c r="OHR1" t="s">
        <v>15894</v>
      </c>
      <c r="OHS1" t="s">
        <v>15895</v>
      </c>
      <c r="OHT1" t="s">
        <v>15896</v>
      </c>
      <c r="OHU1" t="s">
        <v>15897</v>
      </c>
      <c r="OHV1" t="s">
        <v>15898</v>
      </c>
      <c r="OHW1" t="s">
        <v>15899</v>
      </c>
      <c r="OHX1" t="s">
        <v>15900</v>
      </c>
      <c r="OHY1" t="s">
        <v>15901</v>
      </c>
      <c r="OHZ1" t="s">
        <v>15902</v>
      </c>
      <c r="OIA1" t="s">
        <v>15903</v>
      </c>
      <c r="OIB1" t="s">
        <v>15904</v>
      </c>
      <c r="OIC1" t="s">
        <v>15905</v>
      </c>
      <c r="OID1" t="s">
        <v>15906</v>
      </c>
      <c r="OIE1" t="s">
        <v>15907</v>
      </c>
      <c r="OIF1" t="s">
        <v>15908</v>
      </c>
      <c r="OIG1" t="s">
        <v>15909</v>
      </c>
      <c r="OIH1" t="s">
        <v>15910</v>
      </c>
      <c r="OII1" t="s">
        <v>15911</v>
      </c>
      <c r="OIJ1" t="s">
        <v>15912</v>
      </c>
      <c r="OIK1" t="s">
        <v>15913</v>
      </c>
      <c r="OIL1" t="s">
        <v>15914</v>
      </c>
      <c r="OIM1" t="s">
        <v>15915</v>
      </c>
      <c r="OIN1" t="s">
        <v>15916</v>
      </c>
      <c r="OIO1" t="s">
        <v>15917</v>
      </c>
      <c r="OIP1" t="s">
        <v>15918</v>
      </c>
      <c r="OIQ1" t="s">
        <v>15919</v>
      </c>
      <c r="OIR1" t="s">
        <v>15920</v>
      </c>
      <c r="OIS1" t="s">
        <v>15921</v>
      </c>
      <c r="OIT1" t="s">
        <v>15922</v>
      </c>
      <c r="OIU1" t="s">
        <v>15923</v>
      </c>
      <c r="OIV1" t="s">
        <v>15924</v>
      </c>
      <c r="OIW1" t="s">
        <v>15925</v>
      </c>
      <c r="OIX1" t="s">
        <v>15926</v>
      </c>
      <c r="OIY1" t="s">
        <v>15927</v>
      </c>
      <c r="OIZ1" t="s">
        <v>15928</v>
      </c>
      <c r="OJA1" t="s">
        <v>15929</v>
      </c>
      <c r="OJB1" t="s">
        <v>15930</v>
      </c>
      <c r="OJC1" t="s">
        <v>15931</v>
      </c>
      <c r="OJD1" t="s">
        <v>15932</v>
      </c>
      <c r="OJE1" t="s">
        <v>15933</v>
      </c>
      <c r="OJF1" t="s">
        <v>15934</v>
      </c>
      <c r="OJG1" t="s">
        <v>15935</v>
      </c>
      <c r="OJH1" t="s">
        <v>15936</v>
      </c>
      <c r="OJI1" t="s">
        <v>15937</v>
      </c>
      <c r="OJJ1" t="s">
        <v>15938</v>
      </c>
      <c r="OJK1" t="s">
        <v>15939</v>
      </c>
      <c r="OJL1" t="s">
        <v>15940</v>
      </c>
      <c r="OJM1" t="s">
        <v>15941</v>
      </c>
      <c r="OJN1" t="s">
        <v>15942</v>
      </c>
      <c r="OJO1" t="s">
        <v>15943</v>
      </c>
      <c r="OJP1" t="s">
        <v>15944</v>
      </c>
      <c r="OJQ1" t="s">
        <v>15945</v>
      </c>
      <c r="OJR1" t="s">
        <v>15946</v>
      </c>
      <c r="OJS1" t="s">
        <v>15947</v>
      </c>
      <c r="OJT1" t="s">
        <v>15948</v>
      </c>
      <c r="OJU1" t="s">
        <v>15949</v>
      </c>
      <c r="OJV1" t="s">
        <v>15950</v>
      </c>
      <c r="OJW1" t="s">
        <v>15951</v>
      </c>
      <c r="OJX1" t="s">
        <v>15952</v>
      </c>
      <c r="OJY1" t="s">
        <v>15953</v>
      </c>
      <c r="OJZ1" t="s">
        <v>15954</v>
      </c>
      <c r="OKA1" t="s">
        <v>15955</v>
      </c>
      <c r="OKB1" t="s">
        <v>15956</v>
      </c>
      <c r="OKC1" t="s">
        <v>15957</v>
      </c>
      <c r="OKD1" t="s">
        <v>15958</v>
      </c>
      <c r="OKE1" t="s">
        <v>15959</v>
      </c>
      <c r="OKF1" t="s">
        <v>15960</v>
      </c>
      <c r="OKG1" t="s">
        <v>15961</v>
      </c>
      <c r="OKH1" t="s">
        <v>15962</v>
      </c>
      <c r="OKI1" t="s">
        <v>15963</v>
      </c>
      <c r="OKJ1" t="s">
        <v>15964</v>
      </c>
      <c r="OKK1" t="s">
        <v>15965</v>
      </c>
      <c r="OKL1" t="s">
        <v>15966</v>
      </c>
      <c r="OKM1" t="s">
        <v>15967</v>
      </c>
      <c r="OKN1" t="s">
        <v>15968</v>
      </c>
      <c r="OKO1" t="s">
        <v>15969</v>
      </c>
      <c r="OKP1" t="s">
        <v>15970</v>
      </c>
      <c r="OKQ1" t="s">
        <v>15971</v>
      </c>
      <c r="OKR1" t="s">
        <v>15972</v>
      </c>
      <c r="OKS1" t="s">
        <v>15973</v>
      </c>
      <c r="OKT1" t="s">
        <v>15974</v>
      </c>
      <c r="OKU1" t="s">
        <v>15975</v>
      </c>
      <c r="OKV1" t="s">
        <v>15976</v>
      </c>
      <c r="OKW1" t="s">
        <v>15977</v>
      </c>
      <c r="OKX1" t="s">
        <v>15978</v>
      </c>
      <c r="OKY1" t="s">
        <v>15979</v>
      </c>
      <c r="OKZ1" t="s">
        <v>15980</v>
      </c>
      <c r="OLA1" t="s">
        <v>15981</v>
      </c>
      <c r="OLB1" t="s">
        <v>15982</v>
      </c>
      <c r="OLC1" t="s">
        <v>15983</v>
      </c>
      <c r="OLD1" t="s">
        <v>15984</v>
      </c>
      <c r="OLE1" t="s">
        <v>15985</v>
      </c>
      <c r="OLF1" t="s">
        <v>15986</v>
      </c>
      <c r="OLG1" t="s">
        <v>15987</v>
      </c>
      <c r="OLH1" t="s">
        <v>15988</v>
      </c>
      <c r="OLI1" t="s">
        <v>15989</v>
      </c>
      <c r="OLJ1" t="s">
        <v>15990</v>
      </c>
      <c r="OLK1" t="s">
        <v>15991</v>
      </c>
      <c r="OLL1" t="s">
        <v>15992</v>
      </c>
      <c r="OLM1" t="s">
        <v>15993</v>
      </c>
      <c r="OLN1" t="s">
        <v>15994</v>
      </c>
      <c r="OLO1" t="s">
        <v>15995</v>
      </c>
      <c r="OLP1" t="s">
        <v>15996</v>
      </c>
      <c r="OLQ1" t="s">
        <v>15997</v>
      </c>
      <c r="OLR1" t="s">
        <v>15998</v>
      </c>
      <c r="OLS1" t="s">
        <v>15999</v>
      </c>
      <c r="OLT1" t="s">
        <v>16000</v>
      </c>
      <c r="OLU1" t="s">
        <v>16001</v>
      </c>
      <c r="OLV1" t="s">
        <v>16002</v>
      </c>
      <c r="OLW1" t="s">
        <v>16003</v>
      </c>
      <c r="OLX1" t="s">
        <v>16004</v>
      </c>
      <c r="OLY1" t="s">
        <v>16005</v>
      </c>
      <c r="OLZ1" t="s">
        <v>16006</v>
      </c>
      <c r="OMA1" t="s">
        <v>16007</v>
      </c>
      <c r="OMB1" t="s">
        <v>16008</v>
      </c>
      <c r="OMC1" t="s">
        <v>16009</v>
      </c>
      <c r="OMD1" t="s">
        <v>16010</v>
      </c>
      <c r="OME1" t="s">
        <v>16011</v>
      </c>
      <c r="OMF1" t="s">
        <v>16012</v>
      </c>
      <c r="OMG1" t="s">
        <v>16013</v>
      </c>
      <c r="OMH1" t="s">
        <v>16014</v>
      </c>
      <c r="OMI1" t="s">
        <v>16015</v>
      </c>
      <c r="OMJ1" t="s">
        <v>16016</v>
      </c>
      <c r="OMK1" t="s">
        <v>16017</v>
      </c>
      <c r="OML1" t="s">
        <v>16018</v>
      </c>
      <c r="OMM1" t="s">
        <v>16019</v>
      </c>
      <c r="OMN1" t="s">
        <v>16020</v>
      </c>
      <c r="OMO1" t="s">
        <v>16021</v>
      </c>
      <c r="OMP1" t="s">
        <v>16022</v>
      </c>
      <c r="OMQ1" t="s">
        <v>16023</v>
      </c>
      <c r="OMR1" t="s">
        <v>16024</v>
      </c>
      <c r="OMS1" t="s">
        <v>16025</v>
      </c>
      <c r="OMT1" t="s">
        <v>16026</v>
      </c>
      <c r="OMU1" t="s">
        <v>16027</v>
      </c>
      <c r="OMV1" t="s">
        <v>16028</v>
      </c>
      <c r="OMW1" t="s">
        <v>16029</v>
      </c>
      <c r="OMX1" t="s">
        <v>16030</v>
      </c>
      <c r="OMY1" t="s">
        <v>16031</v>
      </c>
      <c r="OMZ1" t="s">
        <v>16032</v>
      </c>
      <c r="ONA1" t="s">
        <v>16033</v>
      </c>
      <c r="ONB1" t="s">
        <v>16034</v>
      </c>
      <c r="ONC1" t="s">
        <v>16035</v>
      </c>
      <c r="OND1" t="s">
        <v>16036</v>
      </c>
      <c r="ONE1" t="s">
        <v>16037</v>
      </c>
      <c r="ONF1" t="s">
        <v>16038</v>
      </c>
      <c r="ONG1" t="s">
        <v>16039</v>
      </c>
      <c r="ONH1" t="s">
        <v>16040</v>
      </c>
      <c r="ONI1" t="s">
        <v>16041</v>
      </c>
      <c r="ONJ1" t="s">
        <v>16042</v>
      </c>
      <c r="ONK1" t="s">
        <v>16043</v>
      </c>
      <c r="ONL1" t="s">
        <v>16044</v>
      </c>
      <c r="ONM1" t="s">
        <v>16045</v>
      </c>
      <c r="ONN1" t="s">
        <v>16046</v>
      </c>
      <c r="ONO1" t="s">
        <v>16047</v>
      </c>
      <c r="ONP1" t="s">
        <v>16048</v>
      </c>
      <c r="ONQ1" t="s">
        <v>16049</v>
      </c>
      <c r="ONR1" t="s">
        <v>16050</v>
      </c>
      <c r="ONS1" t="s">
        <v>16051</v>
      </c>
      <c r="ONT1" t="s">
        <v>16052</v>
      </c>
      <c r="ONU1" t="s">
        <v>16053</v>
      </c>
      <c r="ONV1" t="s">
        <v>16054</v>
      </c>
      <c r="ONW1" t="s">
        <v>16055</v>
      </c>
      <c r="ONX1" t="s">
        <v>16056</v>
      </c>
      <c r="ONY1" t="s">
        <v>16057</v>
      </c>
      <c r="ONZ1" t="s">
        <v>16058</v>
      </c>
      <c r="OOA1" t="s">
        <v>16059</v>
      </c>
      <c r="OOB1" t="s">
        <v>16060</v>
      </c>
      <c r="OOC1" t="s">
        <v>16061</v>
      </c>
      <c r="OOD1" t="s">
        <v>16062</v>
      </c>
      <c r="OOE1" t="s">
        <v>16063</v>
      </c>
      <c r="OOF1" t="s">
        <v>16064</v>
      </c>
      <c r="OOG1" t="s">
        <v>16065</v>
      </c>
      <c r="OOH1" t="s">
        <v>16066</v>
      </c>
      <c r="OOI1" t="s">
        <v>16067</v>
      </c>
      <c r="OOJ1" t="s">
        <v>16068</v>
      </c>
      <c r="OOK1" t="s">
        <v>16069</v>
      </c>
      <c r="OOL1" t="s">
        <v>16070</v>
      </c>
      <c r="OOM1" t="s">
        <v>16071</v>
      </c>
      <c r="OON1" t="s">
        <v>16072</v>
      </c>
      <c r="OOO1" t="s">
        <v>16073</v>
      </c>
      <c r="OOP1" t="s">
        <v>16074</v>
      </c>
      <c r="OOQ1" t="s">
        <v>16075</v>
      </c>
      <c r="OOR1" t="s">
        <v>16076</v>
      </c>
      <c r="OOS1" t="s">
        <v>16077</v>
      </c>
      <c r="OOT1" t="s">
        <v>16078</v>
      </c>
      <c r="OOU1" t="s">
        <v>16079</v>
      </c>
      <c r="OOV1" t="s">
        <v>16080</v>
      </c>
      <c r="OOW1" t="s">
        <v>16081</v>
      </c>
      <c r="OOX1" t="s">
        <v>16082</v>
      </c>
      <c r="OOY1" t="s">
        <v>16083</v>
      </c>
      <c r="OOZ1" t="s">
        <v>16084</v>
      </c>
      <c r="OPA1" t="s">
        <v>16085</v>
      </c>
      <c r="OPB1" t="s">
        <v>16086</v>
      </c>
      <c r="OPC1" t="s">
        <v>16087</v>
      </c>
      <c r="OPD1" t="s">
        <v>16088</v>
      </c>
      <c r="OPE1" t="s">
        <v>16089</v>
      </c>
      <c r="OPF1" t="s">
        <v>16090</v>
      </c>
      <c r="OPG1" t="s">
        <v>16091</v>
      </c>
      <c r="OPH1" t="s">
        <v>16092</v>
      </c>
      <c r="OPI1" t="s">
        <v>16093</v>
      </c>
      <c r="OPJ1" t="s">
        <v>16094</v>
      </c>
      <c r="OPK1" t="s">
        <v>16095</v>
      </c>
      <c r="OPL1" t="s">
        <v>16096</v>
      </c>
      <c r="OPM1" t="s">
        <v>16097</v>
      </c>
      <c r="OPN1" t="s">
        <v>16098</v>
      </c>
      <c r="OPO1" t="s">
        <v>16099</v>
      </c>
      <c r="OPP1" t="s">
        <v>16100</v>
      </c>
      <c r="OPQ1" t="s">
        <v>16101</v>
      </c>
      <c r="OPR1" t="s">
        <v>16102</v>
      </c>
      <c r="OPS1" t="s">
        <v>16103</v>
      </c>
      <c r="OPT1" t="s">
        <v>16104</v>
      </c>
      <c r="OPU1" t="s">
        <v>16105</v>
      </c>
      <c r="OPV1" t="s">
        <v>16106</v>
      </c>
      <c r="OPW1" t="s">
        <v>16107</v>
      </c>
      <c r="OPX1" t="s">
        <v>16108</v>
      </c>
      <c r="OPY1" t="s">
        <v>16109</v>
      </c>
      <c r="OPZ1" t="s">
        <v>16110</v>
      </c>
      <c r="OQA1" t="s">
        <v>16111</v>
      </c>
      <c r="OQB1" t="s">
        <v>16112</v>
      </c>
      <c r="OQC1" t="s">
        <v>16113</v>
      </c>
      <c r="OQD1" t="s">
        <v>16114</v>
      </c>
      <c r="OQE1" t="s">
        <v>16115</v>
      </c>
      <c r="OQF1" t="s">
        <v>16116</v>
      </c>
      <c r="OQG1" t="s">
        <v>16117</v>
      </c>
      <c r="OQH1" t="s">
        <v>16118</v>
      </c>
      <c r="OQI1" t="s">
        <v>16119</v>
      </c>
      <c r="OQJ1" t="s">
        <v>16120</v>
      </c>
      <c r="OQK1" t="s">
        <v>16121</v>
      </c>
      <c r="OQL1" t="s">
        <v>16122</v>
      </c>
      <c r="OQM1" t="s">
        <v>16123</v>
      </c>
      <c r="OQN1" t="s">
        <v>16124</v>
      </c>
      <c r="OQO1" t="s">
        <v>16125</v>
      </c>
      <c r="OQP1" t="s">
        <v>16126</v>
      </c>
      <c r="OQQ1" t="s">
        <v>16127</v>
      </c>
      <c r="OQR1" t="s">
        <v>16128</v>
      </c>
      <c r="OQS1" t="s">
        <v>16129</v>
      </c>
      <c r="OQT1" t="s">
        <v>16130</v>
      </c>
      <c r="OQU1" t="s">
        <v>16131</v>
      </c>
      <c r="OQV1" t="s">
        <v>16132</v>
      </c>
      <c r="OQW1" t="s">
        <v>16133</v>
      </c>
      <c r="OQX1" t="s">
        <v>16134</v>
      </c>
      <c r="OQY1" t="s">
        <v>16135</v>
      </c>
      <c r="OQZ1" t="s">
        <v>16136</v>
      </c>
      <c r="ORA1" t="s">
        <v>16137</v>
      </c>
      <c r="ORB1" t="s">
        <v>16138</v>
      </c>
      <c r="ORC1" t="s">
        <v>16139</v>
      </c>
      <c r="ORD1" t="s">
        <v>16140</v>
      </c>
      <c r="ORE1" t="s">
        <v>16141</v>
      </c>
      <c r="ORF1" t="s">
        <v>16142</v>
      </c>
      <c r="ORG1" t="s">
        <v>16143</v>
      </c>
      <c r="ORH1" t="s">
        <v>16144</v>
      </c>
      <c r="ORI1" t="s">
        <v>16145</v>
      </c>
      <c r="ORJ1" t="s">
        <v>16146</v>
      </c>
      <c r="ORK1" t="s">
        <v>16147</v>
      </c>
      <c r="ORL1" t="s">
        <v>16148</v>
      </c>
      <c r="ORM1" t="s">
        <v>16149</v>
      </c>
      <c r="ORN1" t="s">
        <v>16150</v>
      </c>
      <c r="ORO1" t="s">
        <v>16151</v>
      </c>
      <c r="ORP1" t="s">
        <v>16152</v>
      </c>
      <c r="ORQ1" t="s">
        <v>16153</v>
      </c>
      <c r="ORR1" t="s">
        <v>16154</v>
      </c>
      <c r="ORS1" t="s">
        <v>16155</v>
      </c>
      <c r="ORT1" t="s">
        <v>16156</v>
      </c>
      <c r="ORU1" t="s">
        <v>16157</v>
      </c>
      <c r="ORV1" t="s">
        <v>16158</v>
      </c>
      <c r="ORW1" t="s">
        <v>16159</v>
      </c>
      <c r="ORX1" t="s">
        <v>16160</v>
      </c>
      <c r="ORY1" t="s">
        <v>16161</v>
      </c>
      <c r="ORZ1" t="s">
        <v>16162</v>
      </c>
      <c r="OSA1" t="s">
        <v>16163</v>
      </c>
      <c r="OSB1" t="s">
        <v>16164</v>
      </c>
      <c r="OSC1" t="s">
        <v>16165</v>
      </c>
      <c r="OSD1" t="s">
        <v>16166</v>
      </c>
      <c r="OSE1" t="s">
        <v>16167</v>
      </c>
      <c r="OSF1" t="s">
        <v>16168</v>
      </c>
      <c r="OSG1" t="s">
        <v>16169</v>
      </c>
      <c r="OSH1" t="s">
        <v>16170</v>
      </c>
      <c r="OSI1" t="s">
        <v>16171</v>
      </c>
      <c r="OSJ1" t="s">
        <v>16172</v>
      </c>
      <c r="OSK1" t="s">
        <v>16173</v>
      </c>
      <c r="OSL1" t="s">
        <v>16174</v>
      </c>
      <c r="OSM1" t="s">
        <v>16175</v>
      </c>
      <c r="OSN1" t="s">
        <v>16176</v>
      </c>
      <c r="OSO1" t="s">
        <v>16177</v>
      </c>
      <c r="OSP1" t="s">
        <v>16178</v>
      </c>
      <c r="OSQ1" t="s">
        <v>16179</v>
      </c>
      <c r="OSR1" t="s">
        <v>16180</v>
      </c>
      <c r="OSS1" t="s">
        <v>16181</v>
      </c>
      <c r="OST1" t="s">
        <v>16182</v>
      </c>
      <c r="OSU1" t="s">
        <v>16183</v>
      </c>
      <c r="OSV1" t="s">
        <v>16184</v>
      </c>
      <c r="OSW1" t="s">
        <v>16185</v>
      </c>
      <c r="OSX1" t="s">
        <v>16186</v>
      </c>
      <c r="OSY1" t="s">
        <v>16187</v>
      </c>
      <c r="OSZ1" t="s">
        <v>16188</v>
      </c>
      <c r="OTA1" t="s">
        <v>16189</v>
      </c>
      <c r="OTB1" t="s">
        <v>16190</v>
      </c>
      <c r="OTC1" t="s">
        <v>16191</v>
      </c>
      <c r="OTD1" t="s">
        <v>16192</v>
      </c>
      <c r="OTE1" t="s">
        <v>16193</v>
      </c>
      <c r="OTF1" t="s">
        <v>16194</v>
      </c>
      <c r="OTG1" t="s">
        <v>16195</v>
      </c>
      <c r="OTH1" t="s">
        <v>16196</v>
      </c>
      <c r="OTI1" t="s">
        <v>16197</v>
      </c>
      <c r="OTJ1" t="s">
        <v>16198</v>
      </c>
      <c r="OTK1" t="s">
        <v>16199</v>
      </c>
      <c r="OTL1" t="s">
        <v>16200</v>
      </c>
      <c r="OTM1" t="s">
        <v>16201</v>
      </c>
      <c r="OTN1" t="s">
        <v>16202</v>
      </c>
      <c r="OTO1" t="s">
        <v>16203</v>
      </c>
      <c r="OTP1" t="s">
        <v>16204</v>
      </c>
      <c r="OTQ1" t="s">
        <v>16205</v>
      </c>
      <c r="OTR1" t="s">
        <v>16206</v>
      </c>
      <c r="OTS1" t="s">
        <v>16207</v>
      </c>
      <c r="OTT1" t="s">
        <v>16208</v>
      </c>
      <c r="OTU1" t="s">
        <v>16209</v>
      </c>
      <c r="OTV1" t="s">
        <v>16210</v>
      </c>
      <c r="OTW1" t="s">
        <v>16211</v>
      </c>
      <c r="OTX1" t="s">
        <v>16212</v>
      </c>
      <c r="OTY1" t="s">
        <v>16213</v>
      </c>
      <c r="OTZ1" t="s">
        <v>16214</v>
      </c>
      <c r="OUA1" t="s">
        <v>16215</v>
      </c>
      <c r="OUB1" t="s">
        <v>16216</v>
      </c>
      <c r="OUC1" t="s">
        <v>16217</v>
      </c>
      <c r="OUD1" t="s">
        <v>16218</v>
      </c>
      <c r="OUE1" t="s">
        <v>16219</v>
      </c>
      <c r="OUF1" t="s">
        <v>16220</v>
      </c>
      <c r="OUG1" t="s">
        <v>16221</v>
      </c>
      <c r="OUH1" t="s">
        <v>16222</v>
      </c>
      <c r="OUI1" t="s">
        <v>16223</v>
      </c>
      <c r="OUJ1" t="s">
        <v>16224</v>
      </c>
      <c r="OUK1" t="s">
        <v>16225</v>
      </c>
      <c r="OUL1" t="s">
        <v>16226</v>
      </c>
      <c r="OUM1" t="s">
        <v>16227</v>
      </c>
      <c r="OUN1" t="s">
        <v>16228</v>
      </c>
      <c r="OUO1" t="s">
        <v>16229</v>
      </c>
      <c r="OUP1" t="s">
        <v>16230</v>
      </c>
      <c r="OUQ1" t="s">
        <v>16231</v>
      </c>
      <c r="OUR1" t="s">
        <v>16232</v>
      </c>
      <c r="OUS1" t="s">
        <v>16233</v>
      </c>
      <c r="OUT1" t="s">
        <v>16234</v>
      </c>
      <c r="OUU1" t="s">
        <v>16235</v>
      </c>
      <c r="OUV1" t="s">
        <v>16236</v>
      </c>
      <c r="OUW1" t="s">
        <v>16237</v>
      </c>
      <c r="OUX1" t="s">
        <v>16238</v>
      </c>
      <c r="OUY1" t="s">
        <v>16239</v>
      </c>
      <c r="OUZ1" t="s">
        <v>16240</v>
      </c>
      <c r="OVA1" t="s">
        <v>16241</v>
      </c>
      <c r="OVB1" t="s">
        <v>16242</v>
      </c>
      <c r="OVC1" t="s">
        <v>16243</v>
      </c>
      <c r="OVD1" t="s">
        <v>16244</v>
      </c>
      <c r="OVE1" t="s">
        <v>16245</v>
      </c>
      <c r="OVF1" t="s">
        <v>16246</v>
      </c>
      <c r="OVG1" t="s">
        <v>16247</v>
      </c>
      <c r="OVH1" t="s">
        <v>16248</v>
      </c>
      <c r="OVI1" t="s">
        <v>16249</v>
      </c>
      <c r="OVJ1" t="s">
        <v>16250</v>
      </c>
      <c r="OVK1" t="s">
        <v>16251</v>
      </c>
      <c r="OVL1" t="s">
        <v>16252</v>
      </c>
      <c r="OVM1" t="s">
        <v>16253</v>
      </c>
      <c r="OVN1" t="s">
        <v>16254</v>
      </c>
      <c r="OVO1" t="s">
        <v>16255</v>
      </c>
      <c r="OVP1" t="s">
        <v>16256</v>
      </c>
      <c r="OVQ1" t="s">
        <v>16257</v>
      </c>
      <c r="OVR1" t="s">
        <v>16258</v>
      </c>
      <c r="OVS1" t="s">
        <v>16259</v>
      </c>
      <c r="OVT1" t="s">
        <v>16260</v>
      </c>
      <c r="OVU1" t="s">
        <v>16261</v>
      </c>
      <c r="OVV1" t="s">
        <v>16262</v>
      </c>
      <c r="OVW1" t="s">
        <v>16263</v>
      </c>
      <c r="OVX1" t="s">
        <v>16264</v>
      </c>
      <c r="OVY1" t="s">
        <v>16265</v>
      </c>
      <c r="OVZ1" t="s">
        <v>16266</v>
      </c>
      <c r="OWA1" t="s">
        <v>16267</v>
      </c>
      <c r="OWB1" t="s">
        <v>16268</v>
      </c>
      <c r="OWC1" t="s">
        <v>16269</v>
      </c>
      <c r="OWD1" t="s">
        <v>16270</v>
      </c>
      <c r="OWE1" t="s">
        <v>16271</v>
      </c>
      <c r="OWF1" t="s">
        <v>16272</v>
      </c>
      <c r="OWG1" t="s">
        <v>16273</v>
      </c>
      <c r="OWH1" t="s">
        <v>16274</v>
      </c>
      <c r="OWI1" t="s">
        <v>16275</v>
      </c>
      <c r="OWJ1" t="s">
        <v>16276</v>
      </c>
      <c r="OWK1" t="s">
        <v>16277</v>
      </c>
      <c r="OWL1" t="s">
        <v>16278</v>
      </c>
      <c r="OWM1" t="s">
        <v>16279</v>
      </c>
      <c r="OWN1" t="s">
        <v>16280</v>
      </c>
      <c r="OWO1" t="s">
        <v>16281</v>
      </c>
      <c r="OWP1" t="s">
        <v>16282</v>
      </c>
      <c r="OWQ1" t="s">
        <v>16283</v>
      </c>
      <c r="OWR1" t="s">
        <v>16284</v>
      </c>
      <c r="OWS1" t="s">
        <v>16285</v>
      </c>
      <c r="OWT1" t="s">
        <v>16286</v>
      </c>
      <c r="OWU1" t="s">
        <v>16287</v>
      </c>
      <c r="OWV1" t="s">
        <v>16288</v>
      </c>
      <c r="OWW1" t="s">
        <v>16289</v>
      </c>
      <c r="OWX1" t="s">
        <v>16290</v>
      </c>
      <c r="OWY1" t="s">
        <v>16291</v>
      </c>
      <c r="OWZ1" t="s">
        <v>16292</v>
      </c>
      <c r="OXA1" t="s">
        <v>16293</v>
      </c>
      <c r="OXB1" t="s">
        <v>16294</v>
      </c>
      <c r="OXC1" t="s">
        <v>16295</v>
      </c>
      <c r="OXD1" t="s">
        <v>16296</v>
      </c>
      <c r="OXE1" t="s">
        <v>16297</v>
      </c>
      <c r="OXF1" t="s">
        <v>16298</v>
      </c>
      <c r="OXG1" t="s">
        <v>16299</v>
      </c>
      <c r="OXH1" t="s">
        <v>16300</v>
      </c>
      <c r="OXI1" t="s">
        <v>16301</v>
      </c>
      <c r="OXJ1" t="s">
        <v>16302</v>
      </c>
      <c r="OXK1" t="s">
        <v>16303</v>
      </c>
      <c r="OXL1" t="s">
        <v>16304</v>
      </c>
      <c r="OXM1" t="s">
        <v>16305</v>
      </c>
      <c r="OXN1" t="s">
        <v>16306</v>
      </c>
      <c r="OXO1" t="s">
        <v>16307</v>
      </c>
      <c r="OXP1" t="s">
        <v>16308</v>
      </c>
      <c r="OXQ1" t="s">
        <v>16309</v>
      </c>
      <c r="OXR1" t="s">
        <v>16310</v>
      </c>
      <c r="OXS1" t="s">
        <v>16311</v>
      </c>
      <c r="OXT1" t="s">
        <v>16312</v>
      </c>
      <c r="OXU1" t="s">
        <v>16313</v>
      </c>
      <c r="OXV1" t="s">
        <v>16314</v>
      </c>
      <c r="OXW1" t="s">
        <v>16315</v>
      </c>
      <c r="OXX1" t="s">
        <v>16316</v>
      </c>
      <c r="OXY1" t="s">
        <v>16317</v>
      </c>
      <c r="OXZ1" t="s">
        <v>16318</v>
      </c>
      <c r="OYA1" t="s">
        <v>16319</v>
      </c>
      <c r="OYB1" t="s">
        <v>16320</v>
      </c>
      <c r="OYC1" t="s">
        <v>16321</v>
      </c>
      <c r="OYD1" t="s">
        <v>16322</v>
      </c>
      <c r="OYE1" t="s">
        <v>16323</v>
      </c>
      <c r="OYF1" t="s">
        <v>16324</v>
      </c>
      <c r="OYG1" t="s">
        <v>16325</v>
      </c>
      <c r="OYH1" t="s">
        <v>16326</v>
      </c>
      <c r="OYI1" t="s">
        <v>16327</v>
      </c>
      <c r="OYJ1" t="s">
        <v>16328</v>
      </c>
      <c r="OYK1" t="s">
        <v>16329</v>
      </c>
      <c r="OYL1" t="s">
        <v>16330</v>
      </c>
      <c r="OYM1" t="s">
        <v>16331</v>
      </c>
      <c r="OYN1" t="s">
        <v>16332</v>
      </c>
      <c r="OYO1" t="s">
        <v>16333</v>
      </c>
      <c r="OYP1" t="s">
        <v>16334</v>
      </c>
      <c r="OYQ1" t="s">
        <v>16335</v>
      </c>
      <c r="OYR1" t="s">
        <v>16336</v>
      </c>
      <c r="OYS1" t="s">
        <v>16337</v>
      </c>
      <c r="OYT1" t="s">
        <v>16338</v>
      </c>
      <c r="OYU1" t="s">
        <v>16339</v>
      </c>
      <c r="OYV1" t="s">
        <v>16340</v>
      </c>
      <c r="OYW1" t="s">
        <v>16341</v>
      </c>
      <c r="OYX1" t="s">
        <v>16342</v>
      </c>
      <c r="OYY1" t="s">
        <v>16343</v>
      </c>
      <c r="OYZ1" t="s">
        <v>16344</v>
      </c>
      <c r="OZA1" t="s">
        <v>16345</v>
      </c>
      <c r="OZB1" t="s">
        <v>16346</v>
      </c>
      <c r="OZC1" t="s">
        <v>16347</v>
      </c>
      <c r="OZD1" t="s">
        <v>16348</v>
      </c>
      <c r="OZE1" t="s">
        <v>16349</v>
      </c>
      <c r="OZF1" t="s">
        <v>16350</v>
      </c>
      <c r="OZG1" t="s">
        <v>16351</v>
      </c>
      <c r="OZH1" t="s">
        <v>16352</v>
      </c>
      <c r="OZI1" t="s">
        <v>16353</v>
      </c>
      <c r="OZJ1" t="s">
        <v>16354</v>
      </c>
      <c r="OZK1" t="s">
        <v>16355</v>
      </c>
      <c r="OZL1" t="s">
        <v>16356</v>
      </c>
      <c r="OZM1" t="s">
        <v>16357</v>
      </c>
      <c r="OZN1" t="s">
        <v>16358</v>
      </c>
      <c r="OZO1" t="s">
        <v>16359</v>
      </c>
      <c r="OZP1" t="s">
        <v>16360</v>
      </c>
      <c r="OZQ1" t="s">
        <v>16361</v>
      </c>
      <c r="OZR1" t="s">
        <v>16362</v>
      </c>
      <c r="OZS1" t="s">
        <v>16363</v>
      </c>
      <c r="OZT1" t="s">
        <v>16364</v>
      </c>
      <c r="OZU1" t="s">
        <v>16365</v>
      </c>
      <c r="OZV1" t="s">
        <v>16366</v>
      </c>
      <c r="OZW1" t="s">
        <v>16367</v>
      </c>
      <c r="OZX1" t="s">
        <v>16368</v>
      </c>
      <c r="OZY1" t="s">
        <v>16369</v>
      </c>
      <c r="OZZ1" t="s">
        <v>16370</v>
      </c>
      <c r="PAA1" t="s">
        <v>16371</v>
      </c>
      <c r="PAB1" t="s">
        <v>16372</v>
      </c>
      <c r="PAC1" t="s">
        <v>16373</v>
      </c>
      <c r="PAD1" t="s">
        <v>16374</v>
      </c>
      <c r="PAE1" t="s">
        <v>16375</v>
      </c>
      <c r="PAF1" t="s">
        <v>16376</v>
      </c>
      <c r="PAG1" t="s">
        <v>16377</v>
      </c>
      <c r="PAH1" t="s">
        <v>16378</v>
      </c>
      <c r="PAI1" t="s">
        <v>16379</v>
      </c>
      <c r="PAJ1" t="s">
        <v>16380</v>
      </c>
      <c r="PAK1" t="s">
        <v>16381</v>
      </c>
      <c r="PAL1" t="s">
        <v>16382</v>
      </c>
      <c r="PAM1" t="s">
        <v>16383</v>
      </c>
      <c r="PAN1" t="s">
        <v>16384</v>
      </c>
      <c r="PAO1" t="s">
        <v>16385</v>
      </c>
      <c r="PAP1" t="s">
        <v>16386</v>
      </c>
      <c r="PAQ1" t="s">
        <v>16387</v>
      </c>
      <c r="PAR1" t="s">
        <v>16388</v>
      </c>
      <c r="PAS1" t="s">
        <v>16389</v>
      </c>
      <c r="PAT1" t="s">
        <v>16390</v>
      </c>
      <c r="PAU1" t="s">
        <v>16391</v>
      </c>
      <c r="PAV1" t="s">
        <v>16392</v>
      </c>
      <c r="PAW1" t="s">
        <v>16393</v>
      </c>
      <c r="PAX1" t="s">
        <v>16394</v>
      </c>
      <c r="PAY1" t="s">
        <v>16395</v>
      </c>
      <c r="PAZ1" t="s">
        <v>16396</v>
      </c>
      <c r="PBA1" t="s">
        <v>16397</v>
      </c>
      <c r="PBB1" t="s">
        <v>16398</v>
      </c>
      <c r="PBC1" t="s">
        <v>16399</v>
      </c>
      <c r="PBD1" t="s">
        <v>16400</v>
      </c>
      <c r="PBE1" t="s">
        <v>16401</v>
      </c>
      <c r="PBF1" t="s">
        <v>16402</v>
      </c>
      <c r="PBG1" t="s">
        <v>16403</v>
      </c>
      <c r="PBH1" t="s">
        <v>16404</v>
      </c>
      <c r="PBI1" t="s">
        <v>16405</v>
      </c>
      <c r="PBJ1" t="s">
        <v>16406</v>
      </c>
      <c r="PBK1" t="s">
        <v>16407</v>
      </c>
      <c r="PBL1" t="s">
        <v>16408</v>
      </c>
      <c r="PBM1" t="s">
        <v>16409</v>
      </c>
      <c r="PBN1" t="s">
        <v>16410</v>
      </c>
      <c r="PBO1" t="s">
        <v>16411</v>
      </c>
      <c r="PBP1" t="s">
        <v>16412</v>
      </c>
      <c r="PBQ1" t="s">
        <v>16413</v>
      </c>
      <c r="PBR1" t="s">
        <v>16414</v>
      </c>
      <c r="PBS1" t="s">
        <v>16415</v>
      </c>
      <c r="PBT1" t="s">
        <v>16416</v>
      </c>
      <c r="PBU1" t="s">
        <v>16417</v>
      </c>
      <c r="PBV1" t="s">
        <v>16418</v>
      </c>
      <c r="PBW1" t="s">
        <v>16419</v>
      </c>
      <c r="PBX1" t="s">
        <v>16420</v>
      </c>
      <c r="PBY1" t="s">
        <v>16421</v>
      </c>
      <c r="PBZ1" t="s">
        <v>16422</v>
      </c>
      <c r="PCA1" t="s">
        <v>16423</v>
      </c>
      <c r="PCB1" t="s">
        <v>16424</v>
      </c>
      <c r="PCC1" t="s">
        <v>16425</v>
      </c>
      <c r="PCD1" t="s">
        <v>16426</v>
      </c>
      <c r="PCE1" t="s">
        <v>16427</v>
      </c>
      <c r="PCF1" t="s">
        <v>16428</v>
      </c>
      <c r="PCG1" t="s">
        <v>16429</v>
      </c>
      <c r="PCH1" t="s">
        <v>16430</v>
      </c>
      <c r="PCI1" t="s">
        <v>16431</v>
      </c>
      <c r="PCJ1" t="s">
        <v>16432</v>
      </c>
      <c r="PCK1" t="s">
        <v>16433</v>
      </c>
      <c r="PCL1" t="s">
        <v>16434</v>
      </c>
      <c r="PCM1" t="s">
        <v>16435</v>
      </c>
      <c r="PCN1" t="s">
        <v>16436</v>
      </c>
      <c r="PCO1" t="s">
        <v>16437</v>
      </c>
      <c r="PCP1" t="s">
        <v>16438</v>
      </c>
      <c r="PCQ1" t="s">
        <v>16439</v>
      </c>
      <c r="PCR1" t="s">
        <v>16440</v>
      </c>
      <c r="PCS1" t="s">
        <v>16441</v>
      </c>
      <c r="PCT1" t="s">
        <v>16442</v>
      </c>
      <c r="PCU1" t="s">
        <v>16443</v>
      </c>
      <c r="PCV1" t="s">
        <v>16444</v>
      </c>
      <c r="PCW1" t="s">
        <v>16445</v>
      </c>
      <c r="PCX1" t="s">
        <v>16446</v>
      </c>
      <c r="PCY1" t="s">
        <v>16447</v>
      </c>
      <c r="PCZ1" t="s">
        <v>16448</v>
      </c>
      <c r="PDA1" t="s">
        <v>16449</v>
      </c>
      <c r="PDB1" t="s">
        <v>16450</v>
      </c>
      <c r="PDC1" t="s">
        <v>16451</v>
      </c>
      <c r="PDD1" t="s">
        <v>16452</v>
      </c>
      <c r="PDE1" t="s">
        <v>16453</v>
      </c>
      <c r="PDF1" t="s">
        <v>16454</v>
      </c>
      <c r="PDG1" t="s">
        <v>16455</v>
      </c>
      <c r="PDH1" t="s">
        <v>16456</v>
      </c>
      <c r="PDI1" t="s">
        <v>16457</v>
      </c>
      <c r="PDJ1" t="s">
        <v>16458</v>
      </c>
      <c r="PDK1" t="s">
        <v>16459</v>
      </c>
      <c r="PDL1" t="s">
        <v>16460</v>
      </c>
      <c r="PDM1" t="s">
        <v>16461</v>
      </c>
      <c r="PDN1" t="s">
        <v>16462</v>
      </c>
      <c r="PDO1" t="s">
        <v>16463</v>
      </c>
      <c r="PDP1" t="s">
        <v>16464</v>
      </c>
      <c r="PDQ1" t="s">
        <v>16465</v>
      </c>
      <c r="PDR1" t="s">
        <v>16466</v>
      </c>
      <c r="PDS1" t="s">
        <v>16467</v>
      </c>
      <c r="PDT1" t="s">
        <v>16468</v>
      </c>
      <c r="PDU1" t="s">
        <v>16469</v>
      </c>
      <c r="PDV1" t="s">
        <v>16470</v>
      </c>
      <c r="PDW1" t="s">
        <v>16471</v>
      </c>
      <c r="PDX1" t="s">
        <v>16472</v>
      </c>
      <c r="PDY1" t="s">
        <v>16473</v>
      </c>
      <c r="PDZ1" t="s">
        <v>16474</v>
      </c>
      <c r="PEA1" t="s">
        <v>16475</v>
      </c>
      <c r="PEB1" t="s">
        <v>16476</v>
      </c>
      <c r="PEC1" t="s">
        <v>16477</v>
      </c>
      <c r="PED1" t="s">
        <v>16478</v>
      </c>
      <c r="PEE1" t="s">
        <v>16479</v>
      </c>
      <c r="PEF1" t="s">
        <v>16480</v>
      </c>
      <c r="PEG1" t="s">
        <v>16481</v>
      </c>
      <c r="PEH1" t="s">
        <v>16482</v>
      </c>
      <c r="PEI1" t="s">
        <v>16483</v>
      </c>
      <c r="PEJ1" t="s">
        <v>16484</v>
      </c>
      <c r="PEK1" t="s">
        <v>16485</v>
      </c>
      <c r="PEL1" t="s">
        <v>16486</v>
      </c>
      <c r="PEM1" t="s">
        <v>16487</v>
      </c>
      <c r="PEN1" t="s">
        <v>16488</v>
      </c>
      <c r="PEO1" t="s">
        <v>16489</v>
      </c>
      <c r="PEP1" t="s">
        <v>16490</v>
      </c>
      <c r="PEQ1" t="s">
        <v>16491</v>
      </c>
      <c r="PER1" t="s">
        <v>16492</v>
      </c>
      <c r="PES1" t="s">
        <v>16493</v>
      </c>
      <c r="PET1" t="s">
        <v>16494</v>
      </c>
      <c r="PEU1" t="s">
        <v>16495</v>
      </c>
      <c r="PEV1" t="s">
        <v>16496</v>
      </c>
      <c r="PEW1" t="s">
        <v>16497</v>
      </c>
      <c r="PEX1" t="s">
        <v>16498</v>
      </c>
      <c r="PEY1" t="s">
        <v>16499</v>
      </c>
      <c r="PEZ1" t="s">
        <v>16500</v>
      </c>
      <c r="PFA1" t="s">
        <v>16501</v>
      </c>
      <c r="PFB1" t="s">
        <v>16502</v>
      </c>
      <c r="PFC1" t="s">
        <v>16503</v>
      </c>
      <c r="PFD1" t="s">
        <v>16504</v>
      </c>
      <c r="PFE1" t="s">
        <v>16505</v>
      </c>
      <c r="PFF1" t="s">
        <v>16506</v>
      </c>
      <c r="PFG1" t="s">
        <v>16507</v>
      </c>
      <c r="PFH1" t="s">
        <v>16508</v>
      </c>
      <c r="PFI1" t="s">
        <v>16509</v>
      </c>
      <c r="PFJ1" t="s">
        <v>16510</v>
      </c>
      <c r="PFK1" t="s">
        <v>16511</v>
      </c>
      <c r="PFL1" t="s">
        <v>16512</v>
      </c>
      <c r="PFM1" t="s">
        <v>16513</v>
      </c>
      <c r="PFN1" t="s">
        <v>16514</v>
      </c>
      <c r="PFO1" t="s">
        <v>16515</v>
      </c>
      <c r="PFP1" t="s">
        <v>16516</v>
      </c>
      <c r="PFQ1" t="s">
        <v>16517</v>
      </c>
      <c r="PFR1" t="s">
        <v>16518</v>
      </c>
      <c r="PFS1" t="s">
        <v>16519</v>
      </c>
      <c r="PFT1" t="s">
        <v>16520</v>
      </c>
      <c r="PFU1" t="s">
        <v>16521</v>
      </c>
      <c r="PFV1" t="s">
        <v>16522</v>
      </c>
      <c r="PFW1" t="s">
        <v>16523</v>
      </c>
      <c r="PFX1" t="s">
        <v>16524</v>
      </c>
      <c r="PFY1" t="s">
        <v>16525</v>
      </c>
      <c r="PFZ1" t="s">
        <v>16526</v>
      </c>
      <c r="PGA1" t="s">
        <v>16527</v>
      </c>
      <c r="PGB1" t="s">
        <v>16528</v>
      </c>
      <c r="PGC1" t="s">
        <v>16529</v>
      </c>
      <c r="PGD1" t="s">
        <v>16530</v>
      </c>
      <c r="PGE1" t="s">
        <v>16531</v>
      </c>
      <c r="PGF1" t="s">
        <v>16532</v>
      </c>
      <c r="PGG1" t="s">
        <v>16533</v>
      </c>
      <c r="PGH1" t="s">
        <v>16534</v>
      </c>
      <c r="PGI1" t="s">
        <v>16535</v>
      </c>
      <c r="PGJ1" t="s">
        <v>16536</v>
      </c>
      <c r="PGK1" t="s">
        <v>16537</v>
      </c>
      <c r="PGL1" t="s">
        <v>16538</v>
      </c>
      <c r="PGM1" t="s">
        <v>16539</v>
      </c>
      <c r="PGN1" t="s">
        <v>16540</v>
      </c>
      <c r="PGO1" t="s">
        <v>16541</v>
      </c>
      <c r="PGP1" t="s">
        <v>16542</v>
      </c>
      <c r="PGQ1" t="s">
        <v>16543</v>
      </c>
      <c r="PGR1" t="s">
        <v>16544</v>
      </c>
      <c r="PGS1" t="s">
        <v>16545</v>
      </c>
      <c r="PGT1" t="s">
        <v>16546</v>
      </c>
      <c r="PGU1" t="s">
        <v>16547</v>
      </c>
      <c r="PGV1" t="s">
        <v>16548</v>
      </c>
      <c r="PGW1" t="s">
        <v>16549</v>
      </c>
      <c r="PGX1" t="s">
        <v>16550</v>
      </c>
      <c r="PGY1" t="s">
        <v>16551</v>
      </c>
      <c r="PGZ1" t="s">
        <v>16552</v>
      </c>
      <c r="PHA1" t="s">
        <v>16553</v>
      </c>
      <c r="PHB1" t="s">
        <v>16554</v>
      </c>
      <c r="PHC1" t="s">
        <v>16555</v>
      </c>
      <c r="PHD1" t="s">
        <v>16556</v>
      </c>
      <c r="PHE1" t="s">
        <v>16557</v>
      </c>
      <c r="PHF1" t="s">
        <v>16558</v>
      </c>
      <c r="PHG1" t="s">
        <v>16559</v>
      </c>
      <c r="PHH1" t="s">
        <v>16560</v>
      </c>
      <c r="PHI1" t="s">
        <v>16561</v>
      </c>
      <c r="PHJ1" t="s">
        <v>16562</v>
      </c>
      <c r="PHK1" t="s">
        <v>16563</v>
      </c>
      <c r="PHL1" t="s">
        <v>16564</v>
      </c>
      <c r="PHM1" t="s">
        <v>16565</v>
      </c>
      <c r="PHN1" t="s">
        <v>16566</v>
      </c>
      <c r="PHO1" t="s">
        <v>16567</v>
      </c>
      <c r="PHP1" t="s">
        <v>16568</v>
      </c>
      <c r="PHQ1" t="s">
        <v>16569</v>
      </c>
      <c r="PHR1" t="s">
        <v>16570</v>
      </c>
      <c r="PHS1" t="s">
        <v>16571</v>
      </c>
      <c r="PHT1" t="s">
        <v>16572</v>
      </c>
      <c r="PHU1" t="s">
        <v>16573</v>
      </c>
      <c r="PHV1" t="s">
        <v>16574</v>
      </c>
      <c r="PHW1" t="s">
        <v>16575</v>
      </c>
      <c r="PHX1" t="s">
        <v>16576</v>
      </c>
      <c r="PHY1" t="s">
        <v>16577</v>
      </c>
      <c r="PHZ1" t="s">
        <v>16578</v>
      </c>
      <c r="PIA1" t="s">
        <v>16579</v>
      </c>
      <c r="PIB1" t="s">
        <v>16580</v>
      </c>
      <c r="PIC1" t="s">
        <v>16581</v>
      </c>
      <c r="PID1" t="s">
        <v>16582</v>
      </c>
      <c r="PIE1" t="s">
        <v>16583</v>
      </c>
      <c r="PIF1" t="s">
        <v>16584</v>
      </c>
      <c r="PIG1" t="s">
        <v>16585</v>
      </c>
      <c r="PIH1" t="s">
        <v>16586</v>
      </c>
      <c r="PII1" t="s">
        <v>16587</v>
      </c>
      <c r="PIJ1" t="s">
        <v>16588</v>
      </c>
      <c r="PIK1" t="s">
        <v>16589</v>
      </c>
      <c r="PIL1" t="s">
        <v>16590</v>
      </c>
      <c r="PIM1" t="s">
        <v>16591</v>
      </c>
      <c r="PIN1" t="s">
        <v>16592</v>
      </c>
      <c r="PIO1" t="s">
        <v>16593</v>
      </c>
      <c r="PIP1" t="s">
        <v>16594</v>
      </c>
      <c r="PIQ1" t="s">
        <v>16595</v>
      </c>
      <c r="PIR1" t="s">
        <v>16596</v>
      </c>
      <c r="PIS1" t="s">
        <v>16597</v>
      </c>
      <c r="PIT1" t="s">
        <v>16598</v>
      </c>
      <c r="PIU1" t="s">
        <v>16599</v>
      </c>
      <c r="PIV1" t="s">
        <v>16600</v>
      </c>
      <c r="PIW1" t="s">
        <v>16601</v>
      </c>
      <c r="PIX1" t="s">
        <v>16602</v>
      </c>
      <c r="PIY1" t="s">
        <v>16603</v>
      </c>
      <c r="PIZ1" t="s">
        <v>16604</v>
      </c>
      <c r="PJA1" t="s">
        <v>16605</v>
      </c>
      <c r="PJB1" t="s">
        <v>16606</v>
      </c>
      <c r="PJC1" t="s">
        <v>16607</v>
      </c>
      <c r="PJD1" t="s">
        <v>16608</v>
      </c>
      <c r="PJE1" t="s">
        <v>16609</v>
      </c>
      <c r="PJF1" t="s">
        <v>16610</v>
      </c>
      <c r="PJG1" t="s">
        <v>16611</v>
      </c>
      <c r="PJH1" t="s">
        <v>16612</v>
      </c>
      <c r="PJI1" t="s">
        <v>16613</v>
      </c>
      <c r="PJJ1" t="s">
        <v>16614</v>
      </c>
      <c r="PJK1" t="s">
        <v>16615</v>
      </c>
      <c r="PJL1" t="s">
        <v>16616</v>
      </c>
      <c r="PJM1" t="s">
        <v>16617</v>
      </c>
      <c r="PJN1" t="s">
        <v>16618</v>
      </c>
      <c r="PJO1" t="s">
        <v>16619</v>
      </c>
      <c r="PJP1" t="s">
        <v>16620</v>
      </c>
      <c r="PJQ1" t="s">
        <v>16621</v>
      </c>
      <c r="PJR1" t="s">
        <v>16622</v>
      </c>
      <c r="PJS1" t="s">
        <v>16623</v>
      </c>
      <c r="PJT1" t="s">
        <v>16624</v>
      </c>
      <c r="PJU1" t="s">
        <v>16625</v>
      </c>
      <c r="PJV1" t="s">
        <v>16626</v>
      </c>
      <c r="PJW1" t="s">
        <v>16627</v>
      </c>
      <c r="PJX1" t="s">
        <v>16628</v>
      </c>
      <c r="PJY1" t="s">
        <v>16629</v>
      </c>
      <c r="PJZ1" t="s">
        <v>16630</v>
      </c>
      <c r="PKA1" t="s">
        <v>16631</v>
      </c>
      <c r="PKB1" t="s">
        <v>16632</v>
      </c>
      <c r="PKC1" t="s">
        <v>16633</v>
      </c>
      <c r="PKD1" t="s">
        <v>16634</v>
      </c>
      <c r="PKE1" t="s">
        <v>16635</v>
      </c>
      <c r="PKF1" t="s">
        <v>16636</v>
      </c>
      <c r="PKG1" t="s">
        <v>16637</v>
      </c>
      <c r="PKH1" t="s">
        <v>16638</v>
      </c>
      <c r="PKI1" t="s">
        <v>16639</v>
      </c>
      <c r="PKJ1" t="s">
        <v>16640</v>
      </c>
      <c r="PKK1" t="s">
        <v>16641</v>
      </c>
      <c r="PKL1" t="s">
        <v>16642</v>
      </c>
      <c r="PKM1" t="s">
        <v>16643</v>
      </c>
      <c r="PKN1" t="s">
        <v>16644</v>
      </c>
      <c r="PKO1" t="s">
        <v>16645</v>
      </c>
      <c r="PKP1" t="s">
        <v>16646</v>
      </c>
      <c r="PKQ1" t="s">
        <v>16647</v>
      </c>
      <c r="PKR1" t="s">
        <v>16648</v>
      </c>
      <c r="PKS1" t="s">
        <v>16649</v>
      </c>
      <c r="PKT1" t="s">
        <v>16650</v>
      </c>
      <c r="PKU1" t="s">
        <v>16651</v>
      </c>
      <c r="PKV1" t="s">
        <v>16652</v>
      </c>
      <c r="PKW1" t="s">
        <v>16653</v>
      </c>
      <c r="PKX1" t="s">
        <v>16654</v>
      </c>
      <c r="PKY1" t="s">
        <v>16655</v>
      </c>
      <c r="PKZ1" t="s">
        <v>16656</v>
      </c>
      <c r="PLA1" t="s">
        <v>16657</v>
      </c>
      <c r="PLB1" t="s">
        <v>16658</v>
      </c>
      <c r="PLC1" t="s">
        <v>16659</v>
      </c>
      <c r="PLD1" t="s">
        <v>16660</v>
      </c>
      <c r="PLE1" t="s">
        <v>16661</v>
      </c>
      <c r="PLF1" t="s">
        <v>16662</v>
      </c>
      <c r="PLG1" t="s">
        <v>16663</v>
      </c>
      <c r="PLH1" t="s">
        <v>16664</v>
      </c>
      <c r="PLI1" t="s">
        <v>16665</v>
      </c>
      <c r="PLJ1" t="s">
        <v>16666</v>
      </c>
      <c r="PLK1" t="s">
        <v>16667</v>
      </c>
      <c r="PLL1" t="s">
        <v>16668</v>
      </c>
      <c r="PLM1" t="s">
        <v>16669</v>
      </c>
      <c r="PLN1" t="s">
        <v>16670</v>
      </c>
      <c r="PLO1" t="s">
        <v>16671</v>
      </c>
      <c r="PLP1" t="s">
        <v>16672</v>
      </c>
      <c r="PLQ1" t="s">
        <v>16673</v>
      </c>
      <c r="PLR1" t="s">
        <v>16674</v>
      </c>
      <c r="PLS1" t="s">
        <v>16675</v>
      </c>
      <c r="PLT1" t="s">
        <v>16676</v>
      </c>
      <c r="PLU1" t="s">
        <v>16677</v>
      </c>
      <c r="PLV1" t="s">
        <v>16678</v>
      </c>
      <c r="PLW1" t="s">
        <v>16679</v>
      </c>
      <c r="PLX1" t="s">
        <v>16680</v>
      </c>
      <c r="PLY1" t="s">
        <v>16681</v>
      </c>
      <c r="PLZ1" t="s">
        <v>16682</v>
      </c>
      <c r="PMA1" t="s">
        <v>16683</v>
      </c>
      <c r="PMB1" t="s">
        <v>16684</v>
      </c>
      <c r="PMC1" t="s">
        <v>16685</v>
      </c>
      <c r="PMD1" t="s">
        <v>16686</v>
      </c>
      <c r="PME1" t="s">
        <v>16687</v>
      </c>
      <c r="PMF1" t="s">
        <v>16688</v>
      </c>
      <c r="PMG1" t="s">
        <v>16689</v>
      </c>
      <c r="PMH1" t="s">
        <v>16690</v>
      </c>
      <c r="PMI1" t="s">
        <v>16691</v>
      </c>
      <c r="PMJ1" t="s">
        <v>16692</v>
      </c>
      <c r="PMK1" t="s">
        <v>16693</v>
      </c>
      <c r="PML1" t="s">
        <v>16694</v>
      </c>
      <c r="PMM1" t="s">
        <v>16695</v>
      </c>
      <c r="PMN1" t="s">
        <v>16696</v>
      </c>
      <c r="PMO1" t="s">
        <v>16697</v>
      </c>
      <c r="PMP1" t="s">
        <v>16698</v>
      </c>
      <c r="PMQ1" t="s">
        <v>16699</v>
      </c>
      <c r="PMR1" t="s">
        <v>16700</v>
      </c>
      <c r="PMS1" t="s">
        <v>16701</v>
      </c>
      <c r="PMT1" t="s">
        <v>16702</v>
      </c>
      <c r="PMU1" t="s">
        <v>16703</v>
      </c>
      <c r="PMV1" t="s">
        <v>16704</v>
      </c>
      <c r="PMW1" t="s">
        <v>16705</v>
      </c>
      <c r="PMX1" t="s">
        <v>16706</v>
      </c>
      <c r="PMY1" t="s">
        <v>16707</v>
      </c>
      <c r="PMZ1" t="s">
        <v>16708</v>
      </c>
      <c r="PNA1" t="s">
        <v>16709</v>
      </c>
      <c r="PNB1" t="s">
        <v>16710</v>
      </c>
      <c r="PNC1" t="s">
        <v>16711</v>
      </c>
      <c r="PND1" t="s">
        <v>16712</v>
      </c>
      <c r="PNE1" t="s">
        <v>16713</v>
      </c>
      <c r="PNF1" t="s">
        <v>16714</v>
      </c>
      <c r="PNG1" t="s">
        <v>16715</v>
      </c>
      <c r="PNH1" t="s">
        <v>16716</v>
      </c>
      <c r="PNI1" t="s">
        <v>16717</v>
      </c>
      <c r="PNJ1" t="s">
        <v>16718</v>
      </c>
      <c r="PNK1" t="s">
        <v>16719</v>
      </c>
      <c r="PNL1" t="s">
        <v>16720</v>
      </c>
      <c r="PNM1" t="s">
        <v>16721</v>
      </c>
      <c r="PNN1" t="s">
        <v>16722</v>
      </c>
      <c r="PNO1" t="s">
        <v>16723</v>
      </c>
      <c r="PNP1" t="s">
        <v>16724</v>
      </c>
      <c r="PNQ1" t="s">
        <v>16725</v>
      </c>
      <c r="PNR1" t="s">
        <v>16726</v>
      </c>
      <c r="PNS1" t="s">
        <v>16727</v>
      </c>
      <c r="PNT1" t="s">
        <v>16728</v>
      </c>
      <c r="PNU1" t="s">
        <v>16729</v>
      </c>
      <c r="PNV1" t="s">
        <v>16730</v>
      </c>
      <c r="PNW1" t="s">
        <v>16731</v>
      </c>
      <c r="PNX1" t="s">
        <v>16732</v>
      </c>
      <c r="PNY1" t="s">
        <v>16733</v>
      </c>
      <c r="PNZ1" t="s">
        <v>16734</v>
      </c>
      <c r="POA1" t="s">
        <v>16735</v>
      </c>
      <c r="POB1" t="s">
        <v>16736</v>
      </c>
      <c r="POC1" t="s">
        <v>16737</v>
      </c>
      <c r="POD1" t="s">
        <v>16738</v>
      </c>
      <c r="POE1" t="s">
        <v>16739</v>
      </c>
      <c r="POF1" t="s">
        <v>16740</v>
      </c>
      <c r="POG1" t="s">
        <v>16741</v>
      </c>
      <c r="POH1" t="s">
        <v>16742</v>
      </c>
      <c r="POI1" t="s">
        <v>16743</v>
      </c>
      <c r="POJ1" t="s">
        <v>16744</v>
      </c>
      <c r="POK1" t="s">
        <v>16745</v>
      </c>
      <c r="POL1" t="s">
        <v>16746</v>
      </c>
      <c r="POM1" t="s">
        <v>16747</v>
      </c>
      <c r="PON1" t="s">
        <v>16748</v>
      </c>
      <c r="POO1" t="s">
        <v>16749</v>
      </c>
      <c r="POP1" t="s">
        <v>16750</v>
      </c>
      <c r="POQ1" t="s">
        <v>16751</v>
      </c>
      <c r="POR1" t="s">
        <v>16752</v>
      </c>
      <c r="POS1" t="s">
        <v>16753</v>
      </c>
      <c r="POT1" t="s">
        <v>16754</v>
      </c>
      <c r="POU1" t="s">
        <v>16755</v>
      </c>
      <c r="POV1" t="s">
        <v>16756</v>
      </c>
      <c r="POW1" t="s">
        <v>16757</v>
      </c>
      <c r="POX1" t="s">
        <v>16758</v>
      </c>
      <c r="POY1" t="s">
        <v>16759</v>
      </c>
      <c r="POZ1" t="s">
        <v>16760</v>
      </c>
      <c r="PPA1" t="s">
        <v>16761</v>
      </c>
      <c r="PPB1" t="s">
        <v>16762</v>
      </c>
      <c r="PPC1" t="s">
        <v>16763</v>
      </c>
      <c r="PPD1" t="s">
        <v>16764</v>
      </c>
      <c r="PPE1" t="s">
        <v>16765</v>
      </c>
      <c r="PPF1" t="s">
        <v>16766</v>
      </c>
      <c r="PPG1" t="s">
        <v>16767</v>
      </c>
      <c r="PPH1" t="s">
        <v>16768</v>
      </c>
      <c r="PPI1" t="s">
        <v>16769</v>
      </c>
      <c r="PPJ1" t="s">
        <v>16770</v>
      </c>
      <c r="PPK1" t="s">
        <v>16771</v>
      </c>
      <c r="PPL1" t="s">
        <v>16772</v>
      </c>
      <c r="PPM1" t="s">
        <v>16773</v>
      </c>
      <c r="PPN1" t="s">
        <v>16774</v>
      </c>
      <c r="PPO1" t="s">
        <v>16775</v>
      </c>
      <c r="PPP1" t="s">
        <v>16776</v>
      </c>
      <c r="PPQ1" t="s">
        <v>16777</v>
      </c>
      <c r="PPR1" t="s">
        <v>16778</v>
      </c>
      <c r="PPS1" t="s">
        <v>16779</v>
      </c>
      <c r="PPT1" t="s">
        <v>16780</v>
      </c>
      <c r="PPU1" t="s">
        <v>16781</v>
      </c>
      <c r="PPV1" t="s">
        <v>16782</v>
      </c>
      <c r="PPW1" t="s">
        <v>16783</v>
      </c>
      <c r="PPX1" t="s">
        <v>16784</v>
      </c>
      <c r="PPY1" t="s">
        <v>16785</v>
      </c>
      <c r="PPZ1" t="s">
        <v>16786</v>
      </c>
      <c r="PQA1" t="s">
        <v>16787</v>
      </c>
      <c r="PQB1" t="s">
        <v>16788</v>
      </c>
      <c r="PQC1" t="s">
        <v>16789</v>
      </c>
      <c r="PQD1" t="s">
        <v>16790</v>
      </c>
      <c r="PQE1" t="s">
        <v>16791</v>
      </c>
      <c r="PQF1" t="s">
        <v>16792</v>
      </c>
      <c r="PQG1" t="s">
        <v>16793</v>
      </c>
      <c r="PQH1" t="s">
        <v>16794</v>
      </c>
      <c r="PQI1" t="s">
        <v>16795</v>
      </c>
      <c r="PQJ1" t="s">
        <v>16796</v>
      </c>
      <c r="PQK1" t="s">
        <v>16797</v>
      </c>
      <c r="PQL1" t="s">
        <v>16798</v>
      </c>
      <c r="PQM1" t="s">
        <v>16799</v>
      </c>
      <c r="PQN1" t="s">
        <v>16800</v>
      </c>
      <c r="PQO1" t="s">
        <v>16801</v>
      </c>
      <c r="PQP1" t="s">
        <v>16802</v>
      </c>
      <c r="PQQ1" t="s">
        <v>16803</v>
      </c>
      <c r="PQR1" t="s">
        <v>16804</v>
      </c>
      <c r="PQS1" t="s">
        <v>16805</v>
      </c>
      <c r="PQT1" t="s">
        <v>16806</v>
      </c>
      <c r="PQU1" t="s">
        <v>16807</v>
      </c>
      <c r="PQV1" t="s">
        <v>16808</v>
      </c>
      <c r="PQW1" t="s">
        <v>16809</v>
      </c>
      <c r="PQX1" t="s">
        <v>16810</v>
      </c>
      <c r="PQY1" t="s">
        <v>16811</v>
      </c>
      <c r="PQZ1" t="s">
        <v>16812</v>
      </c>
      <c r="PRA1" t="s">
        <v>16813</v>
      </c>
      <c r="PRB1" t="s">
        <v>16814</v>
      </c>
      <c r="PRC1" t="s">
        <v>16815</v>
      </c>
      <c r="PRD1" t="s">
        <v>16816</v>
      </c>
      <c r="PRE1" t="s">
        <v>16817</v>
      </c>
      <c r="PRF1" t="s">
        <v>16818</v>
      </c>
      <c r="PRG1" t="s">
        <v>16819</v>
      </c>
      <c r="PRH1" t="s">
        <v>16820</v>
      </c>
      <c r="PRI1" t="s">
        <v>16821</v>
      </c>
      <c r="PRJ1" t="s">
        <v>16822</v>
      </c>
      <c r="PRK1" t="s">
        <v>16823</v>
      </c>
      <c r="PRL1" t="s">
        <v>16824</v>
      </c>
      <c r="PRM1" t="s">
        <v>16825</v>
      </c>
      <c r="PRN1" t="s">
        <v>16826</v>
      </c>
      <c r="PRO1" t="s">
        <v>16827</v>
      </c>
      <c r="PRP1" t="s">
        <v>16828</v>
      </c>
      <c r="PRQ1" t="s">
        <v>16829</v>
      </c>
      <c r="PRR1" t="s">
        <v>16830</v>
      </c>
      <c r="PRS1" t="s">
        <v>16831</v>
      </c>
      <c r="PRT1" t="s">
        <v>16832</v>
      </c>
      <c r="PRU1" t="s">
        <v>16833</v>
      </c>
      <c r="PRV1" t="s">
        <v>16834</v>
      </c>
      <c r="PRW1" t="s">
        <v>16835</v>
      </c>
      <c r="PRX1" t="s">
        <v>16836</v>
      </c>
      <c r="PRY1" t="s">
        <v>16837</v>
      </c>
      <c r="PRZ1" t="s">
        <v>16838</v>
      </c>
      <c r="PSA1" t="s">
        <v>16839</v>
      </c>
      <c r="PSB1" t="s">
        <v>16840</v>
      </c>
      <c r="PSC1" t="s">
        <v>16841</v>
      </c>
      <c r="PSD1" t="s">
        <v>16842</v>
      </c>
      <c r="PSE1" t="s">
        <v>16843</v>
      </c>
      <c r="PSF1" t="s">
        <v>16844</v>
      </c>
      <c r="PSG1" t="s">
        <v>16845</v>
      </c>
      <c r="PSH1" t="s">
        <v>16846</v>
      </c>
      <c r="PSI1" t="s">
        <v>16847</v>
      </c>
      <c r="PSJ1" t="s">
        <v>16848</v>
      </c>
      <c r="PSK1" t="s">
        <v>16849</v>
      </c>
      <c r="PSL1" t="s">
        <v>16850</v>
      </c>
      <c r="PSM1" t="s">
        <v>16851</v>
      </c>
      <c r="PSN1" t="s">
        <v>16852</v>
      </c>
      <c r="PSO1" t="s">
        <v>16853</v>
      </c>
      <c r="PSP1" t="s">
        <v>16854</v>
      </c>
      <c r="PSQ1" t="s">
        <v>16855</v>
      </c>
      <c r="PSR1" t="s">
        <v>16856</v>
      </c>
      <c r="PSS1" t="s">
        <v>16857</v>
      </c>
      <c r="PST1" t="s">
        <v>16858</v>
      </c>
      <c r="PSU1" t="s">
        <v>16859</v>
      </c>
      <c r="PSV1" t="s">
        <v>16860</v>
      </c>
      <c r="PSW1" t="s">
        <v>16861</v>
      </c>
      <c r="PSX1" t="s">
        <v>16862</v>
      </c>
      <c r="PSY1" t="s">
        <v>16863</v>
      </c>
      <c r="PSZ1" t="s">
        <v>16864</v>
      </c>
      <c r="PTA1" t="s">
        <v>16865</v>
      </c>
      <c r="PTB1" t="s">
        <v>16866</v>
      </c>
      <c r="PTC1" t="s">
        <v>16867</v>
      </c>
      <c r="PTD1" t="s">
        <v>16868</v>
      </c>
      <c r="PTE1" t="s">
        <v>16869</v>
      </c>
      <c r="PTF1" t="s">
        <v>16870</v>
      </c>
      <c r="PTG1" t="s">
        <v>16871</v>
      </c>
      <c r="PTH1" t="s">
        <v>16872</v>
      </c>
      <c r="PTI1" t="s">
        <v>16873</v>
      </c>
      <c r="PTJ1" t="s">
        <v>16874</v>
      </c>
      <c r="PTK1" t="s">
        <v>16875</v>
      </c>
      <c r="PTL1" t="s">
        <v>16876</v>
      </c>
      <c r="PTM1" t="s">
        <v>16877</v>
      </c>
      <c r="PTN1" t="s">
        <v>16878</v>
      </c>
      <c r="PTO1" t="s">
        <v>16879</v>
      </c>
      <c r="PTP1" t="s">
        <v>16880</v>
      </c>
      <c r="PTQ1" t="s">
        <v>16881</v>
      </c>
      <c r="PTR1" t="s">
        <v>16882</v>
      </c>
      <c r="PTS1" t="s">
        <v>16883</v>
      </c>
      <c r="PTT1" t="s">
        <v>16884</v>
      </c>
      <c r="PTU1" t="s">
        <v>16885</v>
      </c>
      <c r="PTV1" t="s">
        <v>16886</v>
      </c>
      <c r="PTW1" t="s">
        <v>16887</v>
      </c>
      <c r="PTX1" t="s">
        <v>16888</v>
      </c>
      <c r="PTY1" t="s">
        <v>16889</v>
      </c>
      <c r="PTZ1" t="s">
        <v>16890</v>
      </c>
      <c r="PUA1" t="s">
        <v>16891</v>
      </c>
      <c r="PUB1" t="s">
        <v>16892</v>
      </c>
      <c r="PUC1" t="s">
        <v>16893</v>
      </c>
      <c r="PUD1" t="s">
        <v>16894</v>
      </c>
      <c r="PUE1" t="s">
        <v>16895</v>
      </c>
      <c r="PUF1" t="s">
        <v>16896</v>
      </c>
      <c r="PUG1" t="s">
        <v>16897</v>
      </c>
      <c r="PUH1" t="s">
        <v>16898</v>
      </c>
      <c r="PUI1" t="s">
        <v>16899</v>
      </c>
      <c r="PUJ1" t="s">
        <v>16900</v>
      </c>
      <c r="PUK1" t="s">
        <v>16901</v>
      </c>
      <c r="PUL1" t="s">
        <v>16902</v>
      </c>
      <c r="PUM1" t="s">
        <v>16903</v>
      </c>
      <c r="PUN1" t="s">
        <v>16904</v>
      </c>
      <c r="PUO1" t="s">
        <v>16905</v>
      </c>
      <c r="PUP1" t="s">
        <v>16906</v>
      </c>
      <c r="PUQ1" t="s">
        <v>16907</v>
      </c>
      <c r="PUR1" t="s">
        <v>16908</v>
      </c>
      <c r="PUS1" t="s">
        <v>16909</v>
      </c>
      <c r="PUT1" t="s">
        <v>16910</v>
      </c>
      <c r="PUU1" t="s">
        <v>16911</v>
      </c>
      <c r="PUV1" t="s">
        <v>16912</v>
      </c>
      <c r="PUW1" t="s">
        <v>16913</v>
      </c>
      <c r="PUX1" t="s">
        <v>16914</v>
      </c>
      <c r="PUY1" t="s">
        <v>16915</v>
      </c>
      <c r="PUZ1" t="s">
        <v>16916</v>
      </c>
      <c r="PVA1" t="s">
        <v>16917</v>
      </c>
      <c r="PVB1" t="s">
        <v>16918</v>
      </c>
      <c r="PVC1" t="s">
        <v>16919</v>
      </c>
      <c r="PVD1" t="s">
        <v>16920</v>
      </c>
      <c r="PVE1" t="s">
        <v>16921</v>
      </c>
      <c r="PVF1" t="s">
        <v>16922</v>
      </c>
      <c r="PVG1" t="s">
        <v>16923</v>
      </c>
      <c r="PVH1" t="s">
        <v>16924</v>
      </c>
      <c r="PVI1" t="s">
        <v>16925</v>
      </c>
      <c r="PVJ1" t="s">
        <v>16926</v>
      </c>
      <c r="PVK1" t="s">
        <v>16927</v>
      </c>
      <c r="PVL1" t="s">
        <v>16928</v>
      </c>
      <c r="PVM1" t="s">
        <v>16929</v>
      </c>
      <c r="PVN1" t="s">
        <v>16930</v>
      </c>
      <c r="PVO1" t="s">
        <v>16931</v>
      </c>
      <c r="PVP1" t="s">
        <v>16932</v>
      </c>
      <c r="PVQ1" t="s">
        <v>16933</v>
      </c>
      <c r="PVR1" t="s">
        <v>16934</v>
      </c>
      <c r="PVS1" t="s">
        <v>16935</v>
      </c>
      <c r="PVT1" t="s">
        <v>16936</v>
      </c>
      <c r="PVU1" t="s">
        <v>16937</v>
      </c>
      <c r="PVV1" t="s">
        <v>16938</v>
      </c>
      <c r="PVW1" t="s">
        <v>16939</v>
      </c>
      <c r="PVX1" t="s">
        <v>16940</v>
      </c>
      <c r="PVY1" t="s">
        <v>16941</v>
      </c>
      <c r="PVZ1" t="s">
        <v>16942</v>
      </c>
      <c r="PWA1" t="s">
        <v>16943</v>
      </c>
      <c r="PWB1" t="s">
        <v>16944</v>
      </c>
      <c r="PWC1" t="s">
        <v>16945</v>
      </c>
      <c r="PWD1" t="s">
        <v>16946</v>
      </c>
      <c r="PWE1" t="s">
        <v>16947</v>
      </c>
      <c r="PWF1" t="s">
        <v>16948</v>
      </c>
      <c r="PWG1" t="s">
        <v>16949</v>
      </c>
      <c r="PWH1" t="s">
        <v>16950</v>
      </c>
      <c r="PWI1" t="s">
        <v>16951</v>
      </c>
      <c r="PWJ1" t="s">
        <v>16952</v>
      </c>
      <c r="PWK1" t="s">
        <v>16953</v>
      </c>
      <c r="PWL1" t="s">
        <v>16954</v>
      </c>
      <c r="PWM1" t="s">
        <v>16955</v>
      </c>
      <c r="PWN1" t="s">
        <v>16956</v>
      </c>
      <c r="PWO1" t="s">
        <v>16957</v>
      </c>
      <c r="PWP1" t="s">
        <v>16958</v>
      </c>
      <c r="PWQ1" t="s">
        <v>16959</v>
      </c>
      <c r="PWR1" t="s">
        <v>16960</v>
      </c>
      <c r="PWS1" t="s">
        <v>16961</v>
      </c>
      <c r="PWT1" t="s">
        <v>16962</v>
      </c>
      <c r="PWU1" t="s">
        <v>16963</v>
      </c>
      <c r="PWV1" t="s">
        <v>16964</v>
      </c>
      <c r="PWW1" t="s">
        <v>16965</v>
      </c>
      <c r="PWX1" t="s">
        <v>16966</v>
      </c>
      <c r="PWY1" t="s">
        <v>16967</v>
      </c>
      <c r="PWZ1" t="s">
        <v>16968</v>
      </c>
      <c r="PXA1" t="s">
        <v>16969</v>
      </c>
      <c r="PXB1" t="s">
        <v>16970</v>
      </c>
      <c r="PXC1" t="s">
        <v>16971</v>
      </c>
      <c r="PXD1" t="s">
        <v>16972</v>
      </c>
      <c r="PXE1" t="s">
        <v>16973</v>
      </c>
      <c r="PXF1" t="s">
        <v>16974</v>
      </c>
      <c r="PXG1" t="s">
        <v>16975</v>
      </c>
      <c r="PXH1" t="s">
        <v>16976</v>
      </c>
      <c r="PXI1" t="s">
        <v>16977</v>
      </c>
      <c r="PXJ1" t="s">
        <v>16978</v>
      </c>
      <c r="PXK1" t="s">
        <v>16979</v>
      </c>
      <c r="PXL1" t="s">
        <v>16980</v>
      </c>
      <c r="PXM1" t="s">
        <v>16981</v>
      </c>
      <c r="PXN1" t="s">
        <v>16982</v>
      </c>
      <c r="PXO1" t="s">
        <v>16983</v>
      </c>
      <c r="PXP1" t="s">
        <v>16984</v>
      </c>
      <c r="PXQ1" t="s">
        <v>16985</v>
      </c>
      <c r="PXR1" t="s">
        <v>16986</v>
      </c>
      <c r="PXS1" t="s">
        <v>16987</v>
      </c>
      <c r="PXT1" t="s">
        <v>16988</v>
      </c>
      <c r="PXU1" t="s">
        <v>16989</v>
      </c>
      <c r="PXV1" t="s">
        <v>16990</v>
      </c>
      <c r="PXW1" t="s">
        <v>16991</v>
      </c>
      <c r="PXX1" t="s">
        <v>16992</v>
      </c>
      <c r="PXY1" t="s">
        <v>16993</v>
      </c>
      <c r="PXZ1" t="s">
        <v>16994</v>
      </c>
      <c r="PYA1" t="s">
        <v>16995</v>
      </c>
      <c r="PYB1" t="s">
        <v>16996</v>
      </c>
      <c r="PYC1" t="s">
        <v>16997</v>
      </c>
      <c r="PYD1" t="s">
        <v>16998</v>
      </c>
      <c r="PYE1" t="s">
        <v>16999</v>
      </c>
      <c r="PYF1" t="s">
        <v>17000</v>
      </c>
      <c r="PYG1" t="s">
        <v>17001</v>
      </c>
      <c r="PYH1" t="s">
        <v>17002</v>
      </c>
      <c r="PYI1" t="s">
        <v>17003</v>
      </c>
      <c r="PYJ1" t="s">
        <v>17004</v>
      </c>
      <c r="PYK1" t="s">
        <v>17005</v>
      </c>
      <c r="PYL1" t="s">
        <v>17006</v>
      </c>
      <c r="PYM1" t="s">
        <v>17007</v>
      </c>
      <c r="PYN1" t="s">
        <v>17008</v>
      </c>
      <c r="PYO1" t="s">
        <v>17009</v>
      </c>
      <c r="PYP1" t="s">
        <v>17010</v>
      </c>
      <c r="PYQ1" t="s">
        <v>17011</v>
      </c>
      <c r="PYR1" t="s">
        <v>17012</v>
      </c>
      <c r="PYS1" t="s">
        <v>17013</v>
      </c>
      <c r="PYT1" t="s">
        <v>17014</v>
      </c>
      <c r="PYU1" t="s">
        <v>17015</v>
      </c>
      <c r="PYV1" t="s">
        <v>17016</v>
      </c>
      <c r="PYW1" t="s">
        <v>17017</v>
      </c>
      <c r="PYX1" t="s">
        <v>17018</v>
      </c>
      <c r="PYY1" t="s">
        <v>17019</v>
      </c>
      <c r="PYZ1" t="s">
        <v>17020</v>
      </c>
      <c r="PZA1" t="s">
        <v>17021</v>
      </c>
      <c r="PZB1" t="s">
        <v>17022</v>
      </c>
      <c r="PZC1" t="s">
        <v>17023</v>
      </c>
      <c r="PZD1" t="s">
        <v>17024</v>
      </c>
      <c r="PZE1" t="s">
        <v>17025</v>
      </c>
      <c r="PZF1" t="s">
        <v>17026</v>
      </c>
      <c r="PZG1" t="s">
        <v>17027</v>
      </c>
      <c r="PZH1" t="s">
        <v>17028</v>
      </c>
      <c r="PZI1" t="s">
        <v>17029</v>
      </c>
      <c r="PZJ1" t="s">
        <v>17030</v>
      </c>
      <c r="PZK1" t="s">
        <v>17031</v>
      </c>
      <c r="PZL1" t="s">
        <v>17032</v>
      </c>
      <c r="PZM1" t="s">
        <v>17033</v>
      </c>
      <c r="PZN1" t="s">
        <v>17034</v>
      </c>
      <c r="PZO1" t="s">
        <v>17035</v>
      </c>
      <c r="PZP1" t="s">
        <v>17036</v>
      </c>
      <c r="PZQ1" t="s">
        <v>17037</v>
      </c>
      <c r="PZR1" t="s">
        <v>17038</v>
      </c>
      <c r="PZS1" t="s">
        <v>17039</v>
      </c>
      <c r="PZT1" t="s">
        <v>17040</v>
      </c>
      <c r="PZU1" t="s">
        <v>17041</v>
      </c>
      <c r="PZV1" t="s">
        <v>17042</v>
      </c>
      <c r="PZW1" t="s">
        <v>17043</v>
      </c>
      <c r="PZX1" t="s">
        <v>17044</v>
      </c>
      <c r="PZY1" t="s">
        <v>17045</v>
      </c>
      <c r="PZZ1" t="s">
        <v>17046</v>
      </c>
      <c r="QAA1" t="s">
        <v>17047</v>
      </c>
      <c r="QAB1" t="s">
        <v>17048</v>
      </c>
      <c r="QAC1" t="s">
        <v>17049</v>
      </c>
      <c r="QAD1" t="s">
        <v>17050</v>
      </c>
      <c r="QAE1" t="s">
        <v>17051</v>
      </c>
      <c r="QAF1" t="s">
        <v>17052</v>
      </c>
      <c r="QAG1" t="s">
        <v>17053</v>
      </c>
      <c r="QAH1" t="s">
        <v>17054</v>
      </c>
      <c r="QAI1" t="s">
        <v>17055</v>
      </c>
      <c r="QAJ1" t="s">
        <v>17056</v>
      </c>
      <c r="QAK1" t="s">
        <v>17057</v>
      </c>
      <c r="QAL1" t="s">
        <v>17058</v>
      </c>
      <c r="QAM1" t="s">
        <v>17059</v>
      </c>
      <c r="QAN1" t="s">
        <v>17060</v>
      </c>
      <c r="QAO1" t="s">
        <v>17061</v>
      </c>
      <c r="QAP1" t="s">
        <v>17062</v>
      </c>
      <c r="QAQ1" t="s">
        <v>17063</v>
      </c>
      <c r="QAR1" t="s">
        <v>17064</v>
      </c>
      <c r="QAS1" t="s">
        <v>17065</v>
      </c>
      <c r="QAT1" t="s">
        <v>17066</v>
      </c>
      <c r="QAU1" t="s">
        <v>17067</v>
      </c>
      <c r="QAV1" t="s">
        <v>17068</v>
      </c>
      <c r="QAW1" t="s">
        <v>17069</v>
      </c>
      <c r="QAX1" t="s">
        <v>17070</v>
      </c>
      <c r="QAY1" t="s">
        <v>17071</v>
      </c>
      <c r="QAZ1" t="s">
        <v>17072</v>
      </c>
      <c r="QBA1" t="s">
        <v>17073</v>
      </c>
      <c r="QBB1" t="s">
        <v>17074</v>
      </c>
      <c r="QBC1" t="s">
        <v>17075</v>
      </c>
      <c r="QBD1" t="s">
        <v>17076</v>
      </c>
      <c r="QBE1" t="s">
        <v>17077</v>
      </c>
      <c r="QBF1" t="s">
        <v>17078</v>
      </c>
      <c r="QBG1" t="s">
        <v>17079</v>
      </c>
      <c r="QBH1" t="s">
        <v>17080</v>
      </c>
      <c r="QBI1" t="s">
        <v>17081</v>
      </c>
      <c r="QBJ1" t="s">
        <v>17082</v>
      </c>
      <c r="QBK1" t="s">
        <v>17083</v>
      </c>
      <c r="QBL1" t="s">
        <v>17084</v>
      </c>
      <c r="QBM1" t="s">
        <v>17085</v>
      </c>
      <c r="QBN1" t="s">
        <v>17086</v>
      </c>
      <c r="QBO1" t="s">
        <v>17087</v>
      </c>
      <c r="QBP1" t="s">
        <v>17088</v>
      </c>
      <c r="QBQ1" t="s">
        <v>17089</v>
      </c>
      <c r="QBR1" t="s">
        <v>17090</v>
      </c>
      <c r="QBS1" t="s">
        <v>17091</v>
      </c>
      <c r="QBT1" t="s">
        <v>17092</v>
      </c>
      <c r="QBU1" t="s">
        <v>17093</v>
      </c>
      <c r="QBV1" t="s">
        <v>17094</v>
      </c>
      <c r="QBW1" t="s">
        <v>17095</v>
      </c>
      <c r="QBX1" t="s">
        <v>17096</v>
      </c>
      <c r="QBY1" t="s">
        <v>17097</v>
      </c>
      <c r="QBZ1" t="s">
        <v>17098</v>
      </c>
      <c r="QCA1" t="s">
        <v>17099</v>
      </c>
      <c r="QCB1" t="s">
        <v>17100</v>
      </c>
      <c r="QCC1" t="s">
        <v>17101</v>
      </c>
      <c r="QCD1" t="s">
        <v>17102</v>
      </c>
      <c r="QCE1" t="s">
        <v>17103</v>
      </c>
      <c r="QCF1" t="s">
        <v>17104</v>
      </c>
      <c r="QCG1" t="s">
        <v>17105</v>
      </c>
      <c r="QCH1" t="s">
        <v>17106</v>
      </c>
      <c r="QCI1" t="s">
        <v>17107</v>
      </c>
      <c r="QCJ1" t="s">
        <v>17108</v>
      </c>
      <c r="QCK1" t="s">
        <v>17109</v>
      </c>
      <c r="QCL1" t="s">
        <v>17110</v>
      </c>
      <c r="QCM1" t="s">
        <v>17111</v>
      </c>
      <c r="QCN1" t="s">
        <v>17112</v>
      </c>
      <c r="QCO1" t="s">
        <v>17113</v>
      </c>
      <c r="QCP1" t="s">
        <v>17114</v>
      </c>
      <c r="QCQ1" t="s">
        <v>17115</v>
      </c>
      <c r="QCR1" t="s">
        <v>17116</v>
      </c>
      <c r="QCS1" t="s">
        <v>17117</v>
      </c>
      <c r="QCT1" t="s">
        <v>17118</v>
      </c>
      <c r="QCU1" t="s">
        <v>17119</v>
      </c>
      <c r="QCV1" t="s">
        <v>17120</v>
      </c>
      <c r="QCW1" t="s">
        <v>17121</v>
      </c>
      <c r="QCX1" t="s">
        <v>17122</v>
      </c>
      <c r="QCY1" t="s">
        <v>17123</v>
      </c>
      <c r="QCZ1" t="s">
        <v>17124</v>
      </c>
      <c r="QDA1" t="s">
        <v>17125</v>
      </c>
      <c r="QDB1" t="s">
        <v>17126</v>
      </c>
      <c r="QDC1" t="s">
        <v>17127</v>
      </c>
      <c r="QDD1" t="s">
        <v>17128</v>
      </c>
      <c r="QDE1" t="s">
        <v>17129</v>
      </c>
      <c r="QDF1" t="s">
        <v>17130</v>
      </c>
      <c r="QDG1" t="s">
        <v>17131</v>
      </c>
      <c r="QDH1" t="s">
        <v>17132</v>
      </c>
      <c r="QDI1" t="s">
        <v>17133</v>
      </c>
      <c r="QDJ1" t="s">
        <v>17134</v>
      </c>
      <c r="QDK1" t="s">
        <v>17135</v>
      </c>
      <c r="QDL1" t="s">
        <v>17136</v>
      </c>
      <c r="QDM1" t="s">
        <v>17137</v>
      </c>
      <c r="QDN1" t="s">
        <v>17138</v>
      </c>
      <c r="QDO1" t="s">
        <v>17139</v>
      </c>
      <c r="QDP1" t="s">
        <v>17140</v>
      </c>
      <c r="QDQ1" t="s">
        <v>17141</v>
      </c>
      <c r="QDR1" t="s">
        <v>17142</v>
      </c>
      <c r="QDS1" t="s">
        <v>17143</v>
      </c>
      <c r="QDT1" t="s">
        <v>17144</v>
      </c>
      <c r="QDU1" t="s">
        <v>17145</v>
      </c>
      <c r="QDV1" t="s">
        <v>17146</v>
      </c>
      <c r="QDW1" t="s">
        <v>17147</v>
      </c>
      <c r="QDX1" t="s">
        <v>17148</v>
      </c>
      <c r="QDY1" t="s">
        <v>17149</v>
      </c>
      <c r="QDZ1" t="s">
        <v>17150</v>
      </c>
      <c r="QEA1" t="s">
        <v>17151</v>
      </c>
      <c r="QEB1" t="s">
        <v>17152</v>
      </c>
      <c r="QEC1" t="s">
        <v>17153</v>
      </c>
      <c r="QED1" t="s">
        <v>17154</v>
      </c>
      <c r="QEE1" t="s">
        <v>17155</v>
      </c>
      <c r="QEF1" t="s">
        <v>17156</v>
      </c>
      <c r="QEG1" t="s">
        <v>17157</v>
      </c>
      <c r="QEH1" t="s">
        <v>17158</v>
      </c>
      <c r="QEI1" t="s">
        <v>17159</v>
      </c>
      <c r="QEJ1" t="s">
        <v>17160</v>
      </c>
      <c r="QEK1" t="s">
        <v>17161</v>
      </c>
      <c r="QEL1" t="s">
        <v>17162</v>
      </c>
      <c r="QEM1" t="s">
        <v>17163</v>
      </c>
      <c r="QEN1" t="s">
        <v>17164</v>
      </c>
      <c r="QEO1" t="s">
        <v>17165</v>
      </c>
      <c r="QEP1" t="s">
        <v>17166</v>
      </c>
      <c r="QEQ1" t="s">
        <v>17167</v>
      </c>
      <c r="QER1" t="s">
        <v>17168</v>
      </c>
      <c r="QES1" t="s">
        <v>17169</v>
      </c>
      <c r="QET1" t="s">
        <v>17170</v>
      </c>
      <c r="QEU1" t="s">
        <v>17171</v>
      </c>
      <c r="QEV1" t="s">
        <v>17172</v>
      </c>
      <c r="QEW1" t="s">
        <v>17173</v>
      </c>
      <c r="QEX1" t="s">
        <v>17174</v>
      </c>
      <c r="QEY1" t="s">
        <v>17175</v>
      </c>
      <c r="QEZ1" t="s">
        <v>17176</v>
      </c>
      <c r="QFA1" t="s">
        <v>17177</v>
      </c>
      <c r="QFB1" t="s">
        <v>17178</v>
      </c>
      <c r="QFC1" t="s">
        <v>17179</v>
      </c>
      <c r="QFD1" t="s">
        <v>17180</v>
      </c>
      <c r="QFE1" t="s">
        <v>17181</v>
      </c>
      <c r="QFF1" t="s">
        <v>17182</v>
      </c>
      <c r="QFG1" t="s">
        <v>17183</v>
      </c>
      <c r="QFH1" t="s">
        <v>17184</v>
      </c>
      <c r="QFI1" t="s">
        <v>17185</v>
      </c>
      <c r="QFJ1" t="s">
        <v>17186</v>
      </c>
      <c r="QFK1" t="s">
        <v>17187</v>
      </c>
      <c r="QFL1" t="s">
        <v>17188</v>
      </c>
      <c r="QFM1" t="s">
        <v>17189</v>
      </c>
      <c r="QFN1" t="s">
        <v>17190</v>
      </c>
      <c r="QFO1" t="s">
        <v>17191</v>
      </c>
      <c r="QFP1" t="s">
        <v>17192</v>
      </c>
      <c r="QFQ1" t="s">
        <v>17193</v>
      </c>
      <c r="QFR1" t="s">
        <v>17194</v>
      </c>
      <c r="QFS1" t="s">
        <v>17195</v>
      </c>
      <c r="QFT1" t="s">
        <v>17196</v>
      </c>
      <c r="QFU1" t="s">
        <v>17197</v>
      </c>
      <c r="QFV1" t="s">
        <v>17198</v>
      </c>
      <c r="QFW1" t="s">
        <v>17199</v>
      </c>
      <c r="QFX1" t="s">
        <v>17200</v>
      </c>
      <c r="QFY1" t="s">
        <v>17201</v>
      </c>
      <c r="QFZ1" t="s">
        <v>17202</v>
      </c>
      <c r="QGA1" t="s">
        <v>17203</v>
      </c>
      <c r="QGB1" t="s">
        <v>17204</v>
      </c>
      <c r="QGC1" t="s">
        <v>17205</v>
      </c>
      <c r="QGD1" t="s">
        <v>17206</v>
      </c>
      <c r="QGE1" t="s">
        <v>17207</v>
      </c>
      <c r="QGF1" t="s">
        <v>17208</v>
      </c>
      <c r="QGG1" t="s">
        <v>17209</v>
      </c>
      <c r="QGH1" t="s">
        <v>17210</v>
      </c>
      <c r="QGI1" t="s">
        <v>17211</v>
      </c>
      <c r="QGJ1" t="s">
        <v>17212</v>
      </c>
      <c r="QGK1" t="s">
        <v>17213</v>
      </c>
      <c r="QGL1" t="s">
        <v>17214</v>
      </c>
      <c r="QGM1" t="s">
        <v>17215</v>
      </c>
      <c r="QGN1" t="s">
        <v>17216</v>
      </c>
      <c r="QGO1" t="s">
        <v>17217</v>
      </c>
      <c r="QGP1" t="s">
        <v>17218</v>
      </c>
      <c r="QGQ1" t="s">
        <v>17219</v>
      </c>
      <c r="QGR1" t="s">
        <v>17220</v>
      </c>
      <c r="QGS1" t="s">
        <v>17221</v>
      </c>
      <c r="QGT1" t="s">
        <v>17222</v>
      </c>
      <c r="QGU1" t="s">
        <v>17223</v>
      </c>
      <c r="QGV1" t="s">
        <v>17224</v>
      </c>
      <c r="QGW1" t="s">
        <v>17225</v>
      </c>
      <c r="QGX1" t="s">
        <v>17226</v>
      </c>
      <c r="QGY1" t="s">
        <v>17227</v>
      </c>
      <c r="QGZ1" t="s">
        <v>17228</v>
      </c>
      <c r="QHA1" t="s">
        <v>17229</v>
      </c>
      <c r="QHB1" t="s">
        <v>17230</v>
      </c>
      <c r="QHC1" t="s">
        <v>17231</v>
      </c>
      <c r="QHD1" t="s">
        <v>17232</v>
      </c>
      <c r="QHE1" t="s">
        <v>17233</v>
      </c>
      <c r="QHF1" t="s">
        <v>17234</v>
      </c>
      <c r="QHG1" t="s">
        <v>17235</v>
      </c>
      <c r="QHH1" t="s">
        <v>17236</v>
      </c>
      <c r="QHI1" t="s">
        <v>17237</v>
      </c>
      <c r="QHJ1" t="s">
        <v>17238</v>
      </c>
      <c r="QHK1" t="s">
        <v>17239</v>
      </c>
      <c r="QHL1" t="s">
        <v>17240</v>
      </c>
      <c r="QHM1" t="s">
        <v>17241</v>
      </c>
      <c r="QHN1" t="s">
        <v>17242</v>
      </c>
      <c r="QHO1" t="s">
        <v>17243</v>
      </c>
      <c r="QHP1" t="s">
        <v>17244</v>
      </c>
      <c r="QHQ1" t="s">
        <v>17245</v>
      </c>
      <c r="QHR1" t="s">
        <v>17246</v>
      </c>
      <c r="QHS1" t="s">
        <v>17247</v>
      </c>
      <c r="QHT1" t="s">
        <v>17248</v>
      </c>
      <c r="QHU1" t="s">
        <v>17249</v>
      </c>
      <c r="QHV1" t="s">
        <v>17250</v>
      </c>
      <c r="QHW1" t="s">
        <v>17251</v>
      </c>
      <c r="QHX1" t="s">
        <v>17252</v>
      </c>
      <c r="QHY1" t="s">
        <v>17253</v>
      </c>
      <c r="QHZ1" t="s">
        <v>17254</v>
      </c>
      <c r="QIA1" t="s">
        <v>17255</v>
      </c>
      <c r="QIB1" t="s">
        <v>17256</v>
      </c>
      <c r="QIC1" t="s">
        <v>17257</v>
      </c>
      <c r="QID1" t="s">
        <v>17258</v>
      </c>
      <c r="QIE1" t="s">
        <v>17259</v>
      </c>
      <c r="QIF1" t="s">
        <v>17260</v>
      </c>
      <c r="QIG1" t="s">
        <v>17261</v>
      </c>
      <c r="QIH1" t="s">
        <v>17262</v>
      </c>
      <c r="QII1" t="s">
        <v>17263</v>
      </c>
      <c r="QIJ1" t="s">
        <v>17264</v>
      </c>
      <c r="QIK1" t="s">
        <v>17265</v>
      </c>
      <c r="QIL1" t="s">
        <v>17266</v>
      </c>
      <c r="QIM1" t="s">
        <v>17267</v>
      </c>
      <c r="QIN1" t="s">
        <v>17268</v>
      </c>
      <c r="QIO1" t="s">
        <v>17269</v>
      </c>
      <c r="QIP1" t="s">
        <v>17270</v>
      </c>
      <c r="QIQ1" t="s">
        <v>17271</v>
      </c>
      <c r="QIR1" t="s">
        <v>17272</v>
      </c>
      <c r="QIS1" t="s">
        <v>17273</v>
      </c>
      <c r="QIT1" t="s">
        <v>17274</v>
      </c>
      <c r="QIU1" t="s">
        <v>17275</v>
      </c>
      <c r="QIV1" t="s">
        <v>17276</v>
      </c>
      <c r="QIW1" t="s">
        <v>17277</v>
      </c>
      <c r="QIX1" t="s">
        <v>17278</v>
      </c>
      <c r="QIY1" t="s">
        <v>17279</v>
      </c>
      <c r="QIZ1" t="s">
        <v>17280</v>
      </c>
      <c r="QJA1" t="s">
        <v>17281</v>
      </c>
      <c r="QJB1" t="s">
        <v>17282</v>
      </c>
      <c r="QJC1" t="s">
        <v>17283</v>
      </c>
      <c r="QJD1" t="s">
        <v>17284</v>
      </c>
      <c r="QJE1" t="s">
        <v>17285</v>
      </c>
      <c r="QJF1" t="s">
        <v>17286</v>
      </c>
      <c r="QJG1" t="s">
        <v>17287</v>
      </c>
      <c r="QJH1" t="s">
        <v>17288</v>
      </c>
      <c r="QJI1" t="s">
        <v>17289</v>
      </c>
      <c r="QJJ1" t="s">
        <v>17290</v>
      </c>
      <c r="QJK1" t="s">
        <v>17291</v>
      </c>
      <c r="QJL1" t="s">
        <v>17292</v>
      </c>
      <c r="QJM1" t="s">
        <v>17293</v>
      </c>
      <c r="QJN1" t="s">
        <v>17294</v>
      </c>
      <c r="QJO1" t="s">
        <v>17295</v>
      </c>
      <c r="QJP1" t="s">
        <v>17296</v>
      </c>
      <c r="QJQ1" t="s">
        <v>17297</v>
      </c>
      <c r="QJR1" t="s">
        <v>17298</v>
      </c>
      <c r="QJS1" t="s">
        <v>17299</v>
      </c>
      <c r="QJT1" t="s">
        <v>17300</v>
      </c>
      <c r="QJU1" t="s">
        <v>17301</v>
      </c>
      <c r="QJV1" t="s">
        <v>17302</v>
      </c>
      <c r="QJW1" t="s">
        <v>17303</v>
      </c>
      <c r="QJX1" t="s">
        <v>17304</v>
      </c>
      <c r="QJY1" t="s">
        <v>17305</v>
      </c>
      <c r="QJZ1" t="s">
        <v>17306</v>
      </c>
      <c r="QKA1" t="s">
        <v>17307</v>
      </c>
      <c r="QKB1" t="s">
        <v>17308</v>
      </c>
      <c r="QKC1" t="s">
        <v>17309</v>
      </c>
      <c r="QKD1" t="s">
        <v>17310</v>
      </c>
      <c r="QKE1" t="s">
        <v>17311</v>
      </c>
      <c r="QKF1" t="s">
        <v>17312</v>
      </c>
      <c r="QKG1" t="s">
        <v>17313</v>
      </c>
      <c r="QKH1" t="s">
        <v>17314</v>
      </c>
      <c r="QKI1" t="s">
        <v>17315</v>
      </c>
      <c r="QKJ1" t="s">
        <v>17316</v>
      </c>
      <c r="QKK1" t="s">
        <v>17317</v>
      </c>
      <c r="QKL1" t="s">
        <v>17318</v>
      </c>
      <c r="QKM1" t="s">
        <v>17319</v>
      </c>
      <c r="QKN1" t="s">
        <v>17320</v>
      </c>
      <c r="QKO1" t="s">
        <v>17321</v>
      </c>
      <c r="QKP1" t="s">
        <v>17322</v>
      </c>
      <c r="QKQ1" t="s">
        <v>17323</v>
      </c>
      <c r="QKR1" t="s">
        <v>17324</v>
      </c>
      <c r="QKS1" t="s">
        <v>17325</v>
      </c>
      <c r="QKT1" t="s">
        <v>17326</v>
      </c>
      <c r="QKU1" t="s">
        <v>17327</v>
      </c>
      <c r="QKV1" t="s">
        <v>17328</v>
      </c>
      <c r="QKW1" t="s">
        <v>17329</v>
      </c>
      <c r="QKX1" t="s">
        <v>17330</v>
      </c>
      <c r="QKY1" t="s">
        <v>17331</v>
      </c>
      <c r="QKZ1" t="s">
        <v>17332</v>
      </c>
      <c r="QLA1" t="s">
        <v>17333</v>
      </c>
      <c r="QLB1" t="s">
        <v>17334</v>
      </c>
      <c r="QLC1" t="s">
        <v>17335</v>
      </c>
      <c r="QLD1" t="s">
        <v>17336</v>
      </c>
      <c r="QLE1" t="s">
        <v>17337</v>
      </c>
      <c r="QLF1" t="s">
        <v>17338</v>
      </c>
      <c r="QLG1" t="s">
        <v>17339</v>
      </c>
      <c r="QLH1" t="s">
        <v>17340</v>
      </c>
      <c r="QLI1" t="s">
        <v>17341</v>
      </c>
      <c r="QLJ1" t="s">
        <v>17342</v>
      </c>
      <c r="QLK1" t="s">
        <v>17343</v>
      </c>
      <c r="QLL1" t="s">
        <v>17344</v>
      </c>
      <c r="QLM1" t="s">
        <v>17345</v>
      </c>
      <c r="QLN1" t="s">
        <v>17346</v>
      </c>
      <c r="QLO1" t="s">
        <v>17347</v>
      </c>
      <c r="QLP1" t="s">
        <v>17348</v>
      </c>
      <c r="QLQ1" t="s">
        <v>17349</v>
      </c>
      <c r="QLR1" t="s">
        <v>17350</v>
      </c>
      <c r="QLS1" t="s">
        <v>17351</v>
      </c>
      <c r="QLT1" t="s">
        <v>17352</v>
      </c>
      <c r="QLU1" t="s">
        <v>17353</v>
      </c>
      <c r="QLV1" t="s">
        <v>17354</v>
      </c>
      <c r="QLW1" t="s">
        <v>17355</v>
      </c>
      <c r="QLX1" t="s">
        <v>17356</v>
      </c>
      <c r="QLY1" t="s">
        <v>17357</v>
      </c>
      <c r="QLZ1" t="s">
        <v>17358</v>
      </c>
      <c r="QMA1" t="s">
        <v>17359</v>
      </c>
      <c r="QMB1" t="s">
        <v>17360</v>
      </c>
      <c r="QMC1" t="s">
        <v>17361</v>
      </c>
      <c r="QMD1" t="s">
        <v>17362</v>
      </c>
      <c r="QME1" t="s">
        <v>17363</v>
      </c>
      <c r="QMF1" t="s">
        <v>17364</v>
      </c>
      <c r="QMG1" t="s">
        <v>17365</v>
      </c>
      <c r="QMH1" t="s">
        <v>17366</v>
      </c>
      <c r="QMI1" t="s">
        <v>17367</v>
      </c>
      <c r="QMJ1" t="s">
        <v>17368</v>
      </c>
      <c r="QMK1" t="s">
        <v>17369</v>
      </c>
      <c r="QML1" t="s">
        <v>17370</v>
      </c>
      <c r="QMM1" t="s">
        <v>17371</v>
      </c>
      <c r="QMN1" t="s">
        <v>17372</v>
      </c>
      <c r="QMO1" t="s">
        <v>17373</v>
      </c>
      <c r="QMP1" t="s">
        <v>17374</v>
      </c>
      <c r="QMQ1" t="s">
        <v>17375</v>
      </c>
      <c r="QMR1" t="s">
        <v>17376</v>
      </c>
      <c r="QMS1" t="s">
        <v>17377</v>
      </c>
      <c r="QMT1" t="s">
        <v>17378</v>
      </c>
      <c r="QMU1" t="s">
        <v>17379</v>
      </c>
      <c r="QMV1" t="s">
        <v>17380</v>
      </c>
      <c r="QMW1" t="s">
        <v>17381</v>
      </c>
      <c r="QMX1" t="s">
        <v>17382</v>
      </c>
      <c r="QMY1" t="s">
        <v>17383</v>
      </c>
      <c r="QMZ1" t="s">
        <v>17384</v>
      </c>
      <c r="QNA1" t="s">
        <v>17385</v>
      </c>
      <c r="QNB1" t="s">
        <v>17386</v>
      </c>
      <c r="QNC1" t="s">
        <v>17387</v>
      </c>
      <c r="QND1" t="s">
        <v>17388</v>
      </c>
      <c r="QNE1" t="s">
        <v>17389</v>
      </c>
      <c r="QNF1" t="s">
        <v>17390</v>
      </c>
      <c r="QNG1" t="s">
        <v>17391</v>
      </c>
      <c r="QNH1" t="s">
        <v>17392</v>
      </c>
      <c r="QNI1" t="s">
        <v>17393</v>
      </c>
      <c r="QNJ1" t="s">
        <v>17394</v>
      </c>
      <c r="QNK1" t="s">
        <v>17395</v>
      </c>
      <c r="QNL1" t="s">
        <v>17396</v>
      </c>
      <c r="QNM1" t="s">
        <v>17397</v>
      </c>
      <c r="QNN1" t="s">
        <v>17398</v>
      </c>
      <c r="QNO1" t="s">
        <v>17399</v>
      </c>
      <c r="QNP1" t="s">
        <v>17400</v>
      </c>
      <c r="QNQ1" t="s">
        <v>17401</v>
      </c>
      <c r="QNR1" t="s">
        <v>17402</v>
      </c>
      <c r="QNS1" t="s">
        <v>17403</v>
      </c>
      <c r="QNT1" t="s">
        <v>17404</v>
      </c>
      <c r="QNU1" t="s">
        <v>17405</v>
      </c>
      <c r="QNV1" t="s">
        <v>17406</v>
      </c>
      <c r="QNW1" t="s">
        <v>17407</v>
      </c>
      <c r="QNX1" t="s">
        <v>17408</v>
      </c>
      <c r="QNY1" t="s">
        <v>17409</v>
      </c>
      <c r="QNZ1" t="s">
        <v>17410</v>
      </c>
      <c r="QOA1" t="s">
        <v>17411</v>
      </c>
      <c r="QOB1" t="s">
        <v>17412</v>
      </c>
      <c r="QOC1" t="s">
        <v>17413</v>
      </c>
      <c r="QOD1" t="s">
        <v>17414</v>
      </c>
      <c r="QOE1" t="s">
        <v>17415</v>
      </c>
      <c r="QOF1" t="s">
        <v>17416</v>
      </c>
      <c r="QOG1" t="s">
        <v>17417</v>
      </c>
      <c r="QOH1" t="s">
        <v>17418</v>
      </c>
      <c r="QOI1" t="s">
        <v>17419</v>
      </c>
      <c r="QOJ1" t="s">
        <v>17420</v>
      </c>
      <c r="QOK1" t="s">
        <v>17421</v>
      </c>
      <c r="QOL1" t="s">
        <v>17422</v>
      </c>
      <c r="QOM1" t="s">
        <v>17423</v>
      </c>
      <c r="QON1" t="s">
        <v>17424</v>
      </c>
      <c r="QOO1" t="s">
        <v>17425</v>
      </c>
      <c r="QOP1" t="s">
        <v>17426</v>
      </c>
      <c r="QOQ1" t="s">
        <v>17427</v>
      </c>
      <c r="QOR1" t="s">
        <v>17428</v>
      </c>
      <c r="QOS1" t="s">
        <v>17429</v>
      </c>
      <c r="QOT1" t="s">
        <v>17430</v>
      </c>
      <c r="QOU1" t="s">
        <v>17431</v>
      </c>
      <c r="QOV1" t="s">
        <v>17432</v>
      </c>
      <c r="QOW1" t="s">
        <v>17433</v>
      </c>
      <c r="QOX1" t="s">
        <v>17434</v>
      </c>
      <c r="QOY1" t="s">
        <v>17435</v>
      </c>
      <c r="QOZ1" t="s">
        <v>17436</v>
      </c>
      <c r="QPA1" t="s">
        <v>17437</v>
      </c>
      <c r="QPB1" t="s">
        <v>17438</v>
      </c>
      <c r="QPC1" t="s">
        <v>17439</v>
      </c>
      <c r="QPD1" t="s">
        <v>17440</v>
      </c>
      <c r="QPE1" t="s">
        <v>17441</v>
      </c>
      <c r="QPF1" t="s">
        <v>17442</v>
      </c>
      <c r="QPG1" t="s">
        <v>17443</v>
      </c>
      <c r="QPH1" t="s">
        <v>17444</v>
      </c>
      <c r="QPI1" t="s">
        <v>17445</v>
      </c>
      <c r="QPJ1" t="s">
        <v>17446</v>
      </c>
      <c r="QPK1" t="s">
        <v>17447</v>
      </c>
      <c r="QPL1" t="s">
        <v>17448</v>
      </c>
      <c r="QPM1" t="s">
        <v>17449</v>
      </c>
      <c r="QPN1" t="s">
        <v>17450</v>
      </c>
      <c r="QPO1" t="s">
        <v>17451</v>
      </c>
      <c r="QPP1" t="s">
        <v>17452</v>
      </c>
      <c r="QPQ1" t="s">
        <v>17453</v>
      </c>
      <c r="QPR1" t="s">
        <v>17454</v>
      </c>
      <c r="QPS1" t="s">
        <v>17455</v>
      </c>
      <c r="QPT1" t="s">
        <v>17456</v>
      </c>
      <c r="QPU1" t="s">
        <v>17457</v>
      </c>
      <c r="QPV1" t="s">
        <v>17458</v>
      </c>
      <c r="QPW1" t="s">
        <v>17459</v>
      </c>
      <c r="QPX1" t="s">
        <v>17460</v>
      </c>
      <c r="QPY1" t="s">
        <v>17461</v>
      </c>
      <c r="QPZ1" t="s">
        <v>17462</v>
      </c>
      <c r="QQA1" t="s">
        <v>17463</v>
      </c>
      <c r="QQB1" t="s">
        <v>17464</v>
      </c>
      <c r="QQC1" t="s">
        <v>17465</v>
      </c>
      <c r="QQD1" t="s">
        <v>17466</v>
      </c>
      <c r="QQE1" t="s">
        <v>17467</v>
      </c>
      <c r="QQF1" t="s">
        <v>17468</v>
      </c>
      <c r="QQG1" t="s">
        <v>17469</v>
      </c>
      <c r="QQH1" t="s">
        <v>17470</v>
      </c>
      <c r="QQI1" t="s">
        <v>17471</v>
      </c>
      <c r="QQJ1" t="s">
        <v>17472</v>
      </c>
      <c r="QQK1" t="s">
        <v>17473</v>
      </c>
      <c r="QQL1" t="s">
        <v>17474</v>
      </c>
      <c r="QQM1" t="s">
        <v>17475</v>
      </c>
      <c r="QQN1" t="s">
        <v>17476</v>
      </c>
      <c r="QQO1" t="s">
        <v>17477</v>
      </c>
      <c r="QQP1" t="s">
        <v>17478</v>
      </c>
      <c r="QQQ1" t="s">
        <v>17479</v>
      </c>
      <c r="QQR1" t="s">
        <v>17480</v>
      </c>
      <c r="QQS1" t="s">
        <v>17481</v>
      </c>
      <c r="QQT1" t="s">
        <v>17482</v>
      </c>
      <c r="QQU1" t="s">
        <v>17483</v>
      </c>
      <c r="QQV1" t="s">
        <v>17484</v>
      </c>
      <c r="QQW1" t="s">
        <v>17485</v>
      </c>
      <c r="QQX1" t="s">
        <v>17486</v>
      </c>
      <c r="QQY1" t="s">
        <v>17487</v>
      </c>
      <c r="QQZ1" t="s">
        <v>17488</v>
      </c>
      <c r="QRA1" t="s">
        <v>17489</v>
      </c>
      <c r="QRB1" t="s">
        <v>17490</v>
      </c>
      <c r="QRC1" t="s">
        <v>17491</v>
      </c>
      <c r="QRD1" t="s">
        <v>17492</v>
      </c>
      <c r="QRE1" t="s">
        <v>17493</v>
      </c>
      <c r="QRF1" t="s">
        <v>17494</v>
      </c>
      <c r="QRG1" t="s">
        <v>17495</v>
      </c>
      <c r="QRH1" t="s">
        <v>17496</v>
      </c>
      <c r="QRI1" t="s">
        <v>17497</v>
      </c>
      <c r="QRJ1" t="s">
        <v>17498</v>
      </c>
      <c r="QRK1" t="s">
        <v>17499</v>
      </c>
      <c r="QRL1" t="s">
        <v>17500</v>
      </c>
      <c r="QRM1" t="s">
        <v>17501</v>
      </c>
      <c r="QRN1" t="s">
        <v>17502</v>
      </c>
      <c r="QRO1" t="s">
        <v>17503</v>
      </c>
      <c r="QRP1" t="s">
        <v>17504</v>
      </c>
      <c r="QRQ1" t="s">
        <v>17505</v>
      </c>
      <c r="QRR1" t="s">
        <v>17506</v>
      </c>
      <c r="QRS1" t="s">
        <v>17507</v>
      </c>
      <c r="QRT1" t="s">
        <v>17508</v>
      </c>
      <c r="QRU1" t="s">
        <v>17509</v>
      </c>
      <c r="QRV1" t="s">
        <v>17510</v>
      </c>
      <c r="QRW1" t="s">
        <v>17511</v>
      </c>
      <c r="QRX1" t="s">
        <v>17512</v>
      </c>
      <c r="QRY1" t="s">
        <v>17513</v>
      </c>
      <c r="QRZ1" t="s">
        <v>17514</v>
      </c>
      <c r="QSA1" t="s">
        <v>17515</v>
      </c>
      <c r="QSB1" t="s">
        <v>17516</v>
      </c>
      <c r="QSC1" t="s">
        <v>17517</v>
      </c>
      <c r="QSD1" t="s">
        <v>17518</v>
      </c>
      <c r="QSE1" t="s">
        <v>17519</v>
      </c>
      <c r="QSF1" t="s">
        <v>17520</v>
      </c>
      <c r="QSG1" t="s">
        <v>17521</v>
      </c>
      <c r="QSH1" t="s">
        <v>17522</v>
      </c>
      <c r="QSI1" t="s">
        <v>17523</v>
      </c>
      <c r="QSJ1" t="s">
        <v>17524</v>
      </c>
      <c r="QSK1" t="s">
        <v>17525</v>
      </c>
      <c r="QSL1" t="s">
        <v>17526</v>
      </c>
      <c r="QSM1" t="s">
        <v>17527</v>
      </c>
      <c r="QSN1" t="s">
        <v>17528</v>
      </c>
      <c r="QSO1" t="s">
        <v>17529</v>
      </c>
      <c r="QSP1" t="s">
        <v>17530</v>
      </c>
      <c r="QSQ1" t="s">
        <v>17531</v>
      </c>
      <c r="QSR1" t="s">
        <v>17532</v>
      </c>
      <c r="QSS1" t="s">
        <v>17533</v>
      </c>
      <c r="QST1" t="s">
        <v>17534</v>
      </c>
      <c r="QSU1" t="s">
        <v>17535</v>
      </c>
      <c r="QSV1" t="s">
        <v>17536</v>
      </c>
      <c r="QSW1" t="s">
        <v>17537</v>
      </c>
      <c r="QSX1" t="s">
        <v>17538</v>
      </c>
      <c r="QSY1" t="s">
        <v>17539</v>
      </c>
      <c r="QSZ1" t="s">
        <v>17540</v>
      </c>
      <c r="QTA1" t="s">
        <v>17541</v>
      </c>
      <c r="QTB1" t="s">
        <v>17542</v>
      </c>
      <c r="QTC1" t="s">
        <v>17543</v>
      </c>
      <c r="QTD1" t="s">
        <v>17544</v>
      </c>
      <c r="QTE1" t="s">
        <v>17545</v>
      </c>
      <c r="QTF1" t="s">
        <v>17546</v>
      </c>
      <c r="QTG1" t="s">
        <v>17547</v>
      </c>
      <c r="QTH1" t="s">
        <v>17548</v>
      </c>
      <c r="QTI1" t="s">
        <v>17549</v>
      </c>
      <c r="QTJ1" t="s">
        <v>17550</v>
      </c>
      <c r="QTK1" t="s">
        <v>17551</v>
      </c>
      <c r="QTL1" t="s">
        <v>17552</v>
      </c>
      <c r="QTM1" t="s">
        <v>17553</v>
      </c>
      <c r="QTN1" t="s">
        <v>17554</v>
      </c>
      <c r="QTO1" t="s">
        <v>17555</v>
      </c>
      <c r="QTP1" t="s">
        <v>17556</v>
      </c>
      <c r="QTQ1" t="s">
        <v>17557</v>
      </c>
      <c r="QTR1" t="s">
        <v>17558</v>
      </c>
      <c r="QTS1" t="s">
        <v>17559</v>
      </c>
      <c r="QTT1" t="s">
        <v>17560</v>
      </c>
      <c r="QTU1" t="s">
        <v>17561</v>
      </c>
      <c r="QTV1" t="s">
        <v>17562</v>
      </c>
      <c r="QTW1" t="s">
        <v>17563</v>
      </c>
      <c r="QTX1" t="s">
        <v>17564</v>
      </c>
      <c r="QTY1" t="s">
        <v>17565</v>
      </c>
      <c r="QTZ1" t="s">
        <v>17566</v>
      </c>
      <c r="QUA1" t="s">
        <v>17567</v>
      </c>
      <c r="QUB1" t="s">
        <v>17568</v>
      </c>
      <c r="QUC1" t="s">
        <v>17569</v>
      </c>
      <c r="QUD1" t="s">
        <v>17570</v>
      </c>
      <c r="QUE1" t="s">
        <v>17571</v>
      </c>
      <c r="QUF1" t="s">
        <v>17572</v>
      </c>
      <c r="QUG1" t="s">
        <v>17573</v>
      </c>
      <c r="QUH1" t="s">
        <v>17574</v>
      </c>
      <c r="QUI1" t="s">
        <v>17575</v>
      </c>
      <c r="QUJ1" t="s">
        <v>17576</v>
      </c>
      <c r="QUK1" t="s">
        <v>17577</v>
      </c>
      <c r="QUL1" t="s">
        <v>17578</v>
      </c>
      <c r="QUM1" t="s">
        <v>17579</v>
      </c>
      <c r="QUN1" t="s">
        <v>17580</v>
      </c>
      <c r="QUO1" t="s">
        <v>17581</v>
      </c>
      <c r="QUP1" t="s">
        <v>17582</v>
      </c>
      <c r="QUQ1" t="s">
        <v>17583</v>
      </c>
      <c r="QUR1" t="s">
        <v>17584</v>
      </c>
      <c r="QUS1" t="s">
        <v>17585</v>
      </c>
      <c r="QUT1" t="s">
        <v>17586</v>
      </c>
      <c r="QUU1" t="s">
        <v>17587</v>
      </c>
      <c r="QUV1" t="s">
        <v>17588</v>
      </c>
      <c r="QUW1" t="s">
        <v>17589</v>
      </c>
      <c r="QUX1" t="s">
        <v>17590</v>
      </c>
      <c r="QUY1" t="s">
        <v>17591</v>
      </c>
      <c r="QUZ1" t="s">
        <v>17592</v>
      </c>
      <c r="QVA1" t="s">
        <v>17593</v>
      </c>
      <c r="QVB1" t="s">
        <v>17594</v>
      </c>
      <c r="QVC1" t="s">
        <v>17595</v>
      </c>
      <c r="QVD1" t="s">
        <v>17596</v>
      </c>
      <c r="QVE1" t="s">
        <v>17597</v>
      </c>
      <c r="QVF1" t="s">
        <v>17598</v>
      </c>
      <c r="QVG1" t="s">
        <v>17599</v>
      </c>
      <c r="QVH1" t="s">
        <v>17600</v>
      </c>
      <c r="QVI1" t="s">
        <v>17601</v>
      </c>
      <c r="QVJ1" t="s">
        <v>17602</v>
      </c>
      <c r="QVK1" t="s">
        <v>17603</v>
      </c>
      <c r="QVL1" t="s">
        <v>17604</v>
      </c>
      <c r="QVM1" t="s">
        <v>17605</v>
      </c>
      <c r="QVN1" t="s">
        <v>17606</v>
      </c>
      <c r="QVO1" t="s">
        <v>17607</v>
      </c>
      <c r="QVP1" t="s">
        <v>17608</v>
      </c>
      <c r="QVQ1" t="s">
        <v>17609</v>
      </c>
      <c r="QVR1" t="s">
        <v>17610</v>
      </c>
      <c r="QVS1" t="s">
        <v>17611</v>
      </c>
      <c r="QVT1" t="s">
        <v>17612</v>
      </c>
      <c r="QVU1" t="s">
        <v>17613</v>
      </c>
      <c r="QVV1" t="s">
        <v>17614</v>
      </c>
      <c r="QVW1" t="s">
        <v>17615</v>
      </c>
      <c r="QVX1" t="s">
        <v>17616</v>
      </c>
      <c r="QVY1" t="s">
        <v>17617</v>
      </c>
      <c r="QVZ1" t="s">
        <v>17618</v>
      </c>
      <c r="QWA1" t="s">
        <v>17619</v>
      </c>
      <c r="QWB1" t="s">
        <v>17620</v>
      </c>
      <c r="QWC1" t="s">
        <v>17621</v>
      </c>
      <c r="QWD1" t="s">
        <v>17622</v>
      </c>
      <c r="QWE1" t="s">
        <v>17623</v>
      </c>
      <c r="QWF1" t="s">
        <v>17624</v>
      </c>
      <c r="QWG1" t="s">
        <v>17625</v>
      </c>
      <c r="QWH1" t="s">
        <v>17626</v>
      </c>
      <c r="QWI1" t="s">
        <v>17627</v>
      </c>
      <c r="QWJ1" t="s">
        <v>17628</v>
      </c>
      <c r="QWK1" t="s">
        <v>17629</v>
      </c>
      <c r="QWL1" t="s">
        <v>17630</v>
      </c>
      <c r="QWM1" t="s">
        <v>17631</v>
      </c>
      <c r="QWN1" t="s">
        <v>17632</v>
      </c>
      <c r="QWO1" t="s">
        <v>17633</v>
      </c>
      <c r="QWP1" t="s">
        <v>17634</v>
      </c>
      <c r="QWQ1" t="s">
        <v>17635</v>
      </c>
      <c r="QWR1" t="s">
        <v>17636</v>
      </c>
      <c r="QWS1" t="s">
        <v>17637</v>
      </c>
      <c r="QWT1" t="s">
        <v>17638</v>
      </c>
      <c r="QWU1" t="s">
        <v>17639</v>
      </c>
      <c r="QWV1" t="s">
        <v>17640</v>
      </c>
      <c r="QWW1" t="s">
        <v>17641</v>
      </c>
      <c r="QWX1" t="s">
        <v>17642</v>
      </c>
      <c r="QWY1" t="s">
        <v>17643</v>
      </c>
      <c r="QWZ1" t="s">
        <v>17644</v>
      </c>
      <c r="QXA1" t="s">
        <v>17645</v>
      </c>
      <c r="QXB1" t="s">
        <v>17646</v>
      </c>
      <c r="QXC1" t="s">
        <v>17647</v>
      </c>
      <c r="QXD1" t="s">
        <v>17648</v>
      </c>
      <c r="QXE1" t="s">
        <v>17649</v>
      </c>
      <c r="QXF1" t="s">
        <v>17650</v>
      </c>
      <c r="QXG1" t="s">
        <v>17651</v>
      </c>
      <c r="QXH1" t="s">
        <v>17652</v>
      </c>
      <c r="QXI1" t="s">
        <v>17653</v>
      </c>
      <c r="QXJ1" t="s">
        <v>17654</v>
      </c>
      <c r="QXK1" t="s">
        <v>17655</v>
      </c>
      <c r="QXL1" t="s">
        <v>17656</v>
      </c>
      <c r="QXM1" t="s">
        <v>17657</v>
      </c>
      <c r="QXN1" t="s">
        <v>17658</v>
      </c>
      <c r="QXO1" t="s">
        <v>17659</v>
      </c>
      <c r="QXP1" t="s">
        <v>17660</v>
      </c>
      <c r="QXQ1" t="s">
        <v>17661</v>
      </c>
      <c r="QXR1" t="s">
        <v>17662</v>
      </c>
      <c r="QXS1" t="s">
        <v>17663</v>
      </c>
      <c r="QXT1" t="s">
        <v>17664</v>
      </c>
      <c r="QXU1" t="s">
        <v>17665</v>
      </c>
      <c r="QXV1" t="s">
        <v>17666</v>
      </c>
      <c r="QXW1" t="s">
        <v>17667</v>
      </c>
      <c r="QXX1" t="s">
        <v>17668</v>
      </c>
      <c r="QXY1" t="s">
        <v>17669</v>
      </c>
      <c r="QXZ1" t="s">
        <v>17670</v>
      </c>
      <c r="QYA1" t="s">
        <v>17671</v>
      </c>
      <c r="QYB1" t="s">
        <v>17672</v>
      </c>
      <c r="QYC1" t="s">
        <v>17673</v>
      </c>
      <c r="QYD1" t="s">
        <v>17674</v>
      </c>
      <c r="QYE1" t="s">
        <v>17675</v>
      </c>
      <c r="QYF1" t="s">
        <v>17676</v>
      </c>
      <c r="QYG1" t="s">
        <v>17677</v>
      </c>
      <c r="QYH1" t="s">
        <v>17678</v>
      </c>
      <c r="QYI1" t="s">
        <v>17679</v>
      </c>
      <c r="QYJ1" t="s">
        <v>17680</v>
      </c>
      <c r="QYK1" t="s">
        <v>17681</v>
      </c>
      <c r="QYL1" t="s">
        <v>17682</v>
      </c>
      <c r="QYM1" t="s">
        <v>17683</v>
      </c>
      <c r="QYN1" t="s">
        <v>17684</v>
      </c>
      <c r="QYO1" t="s">
        <v>17685</v>
      </c>
      <c r="QYP1" t="s">
        <v>17686</v>
      </c>
      <c r="QYQ1" t="s">
        <v>17687</v>
      </c>
      <c r="QYR1" t="s">
        <v>17688</v>
      </c>
      <c r="QYS1" t="s">
        <v>17689</v>
      </c>
      <c r="QYT1" t="s">
        <v>17690</v>
      </c>
      <c r="QYU1" t="s">
        <v>17691</v>
      </c>
      <c r="QYV1" t="s">
        <v>17692</v>
      </c>
      <c r="QYW1" t="s">
        <v>17693</v>
      </c>
      <c r="QYX1" t="s">
        <v>17694</v>
      </c>
      <c r="QYY1" t="s">
        <v>17695</v>
      </c>
      <c r="QYZ1" t="s">
        <v>17696</v>
      </c>
      <c r="QZA1" t="s">
        <v>17697</v>
      </c>
      <c r="QZB1" t="s">
        <v>17698</v>
      </c>
      <c r="QZC1" t="s">
        <v>17699</v>
      </c>
      <c r="QZD1" t="s">
        <v>17700</v>
      </c>
      <c r="QZE1" t="s">
        <v>17701</v>
      </c>
      <c r="QZF1" t="s">
        <v>17702</v>
      </c>
      <c r="QZG1" t="s">
        <v>17703</v>
      </c>
      <c r="QZH1" t="s">
        <v>17704</v>
      </c>
      <c r="QZI1" t="s">
        <v>17705</v>
      </c>
      <c r="QZJ1" t="s">
        <v>17706</v>
      </c>
      <c r="QZK1" t="s">
        <v>17707</v>
      </c>
      <c r="QZL1" t="s">
        <v>17708</v>
      </c>
      <c r="QZM1" t="s">
        <v>17709</v>
      </c>
      <c r="QZN1" t="s">
        <v>17710</v>
      </c>
      <c r="QZO1" t="s">
        <v>17711</v>
      </c>
      <c r="QZP1" t="s">
        <v>17712</v>
      </c>
      <c r="QZQ1" t="s">
        <v>17713</v>
      </c>
      <c r="QZR1" t="s">
        <v>17714</v>
      </c>
      <c r="QZS1" t="s">
        <v>17715</v>
      </c>
      <c r="QZT1" t="s">
        <v>17716</v>
      </c>
      <c r="QZU1" t="s">
        <v>17717</v>
      </c>
      <c r="QZV1" t="s">
        <v>17718</v>
      </c>
      <c r="QZW1" t="s">
        <v>17719</v>
      </c>
      <c r="QZX1" t="s">
        <v>17720</v>
      </c>
      <c r="QZY1" t="s">
        <v>17721</v>
      </c>
      <c r="QZZ1" t="s">
        <v>17722</v>
      </c>
      <c r="RAA1" t="s">
        <v>17723</v>
      </c>
      <c r="RAB1" t="s">
        <v>17724</v>
      </c>
      <c r="RAC1" t="s">
        <v>17725</v>
      </c>
      <c r="RAD1" t="s">
        <v>17726</v>
      </c>
      <c r="RAE1" t="s">
        <v>17727</v>
      </c>
      <c r="RAF1" t="s">
        <v>17728</v>
      </c>
      <c r="RAG1" t="s">
        <v>17729</v>
      </c>
      <c r="RAH1" t="s">
        <v>17730</v>
      </c>
      <c r="RAI1" t="s">
        <v>17731</v>
      </c>
      <c r="RAJ1" t="s">
        <v>17732</v>
      </c>
      <c r="RAK1" t="s">
        <v>17733</v>
      </c>
      <c r="RAL1" t="s">
        <v>17734</v>
      </c>
      <c r="RAM1" t="s">
        <v>17735</v>
      </c>
      <c r="RAN1" t="s">
        <v>17736</v>
      </c>
      <c r="RAO1" t="s">
        <v>17737</v>
      </c>
      <c r="RAP1" t="s">
        <v>17738</v>
      </c>
      <c r="RAQ1" t="s">
        <v>17739</v>
      </c>
      <c r="RAR1" t="s">
        <v>17740</v>
      </c>
      <c r="RAS1" t="s">
        <v>17741</v>
      </c>
      <c r="RAT1" t="s">
        <v>17742</v>
      </c>
      <c r="RAU1" t="s">
        <v>17743</v>
      </c>
      <c r="RAV1" t="s">
        <v>17744</v>
      </c>
      <c r="RAW1" t="s">
        <v>17745</v>
      </c>
      <c r="RAX1" t="s">
        <v>17746</v>
      </c>
      <c r="RAY1" t="s">
        <v>17747</v>
      </c>
      <c r="RAZ1" t="s">
        <v>17748</v>
      </c>
      <c r="RBA1" t="s">
        <v>17749</v>
      </c>
      <c r="RBB1" t="s">
        <v>17750</v>
      </c>
      <c r="RBC1" t="s">
        <v>17751</v>
      </c>
      <c r="RBD1" t="s">
        <v>17752</v>
      </c>
      <c r="RBE1" t="s">
        <v>17753</v>
      </c>
      <c r="RBF1" t="s">
        <v>17754</v>
      </c>
      <c r="RBG1" t="s">
        <v>17755</v>
      </c>
      <c r="RBH1" t="s">
        <v>17756</v>
      </c>
      <c r="RBI1" t="s">
        <v>17757</v>
      </c>
      <c r="RBJ1" t="s">
        <v>17758</v>
      </c>
      <c r="RBK1" t="s">
        <v>17759</v>
      </c>
      <c r="RBL1" t="s">
        <v>17760</v>
      </c>
      <c r="RBM1" t="s">
        <v>17761</v>
      </c>
      <c r="RBN1" t="s">
        <v>17762</v>
      </c>
      <c r="RBO1" t="s">
        <v>17763</v>
      </c>
      <c r="RBP1" t="s">
        <v>17764</v>
      </c>
      <c r="RBQ1" t="s">
        <v>17765</v>
      </c>
      <c r="RBR1" t="s">
        <v>17766</v>
      </c>
      <c r="RBS1" t="s">
        <v>17767</v>
      </c>
      <c r="RBT1" t="s">
        <v>17768</v>
      </c>
      <c r="RBU1" t="s">
        <v>17769</v>
      </c>
      <c r="RBV1" t="s">
        <v>17770</v>
      </c>
      <c r="RBW1" t="s">
        <v>17771</v>
      </c>
      <c r="RBX1" t="s">
        <v>17772</v>
      </c>
      <c r="RBY1" t="s">
        <v>17773</v>
      </c>
      <c r="RBZ1" t="s">
        <v>17774</v>
      </c>
      <c r="RCA1" t="s">
        <v>17775</v>
      </c>
      <c r="RCB1" t="s">
        <v>17776</v>
      </c>
      <c r="RCC1" t="s">
        <v>17777</v>
      </c>
      <c r="RCD1" t="s">
        <v>17778</v>
      </c>
      <c r="RCE1" t="s">
        <v>17779</v>
      </c>
      <c r="RCF1" t="s">
        <v>17780</v>
      </c>
      <c r="RCG1" t="s">
        <v>17781</v>
      </c>
      <c r="RCH1" t="s">
        <v>17782</v>
      </c>
      <c r="RCI1" t="s">
        <v>17783</v>
      </c>
      <c r="RCJ1" t="s">
        <v>17784</v>
      </c>
      <c r="RCK1" t="s">
        <v>17785</v>
      </c>
      <c r="RCL1" t="s">
        <v>17786</v>
      </c>
      <c r="RCM1" t="s">
        <v>17787</v>
      </c>
      <c r="RCN1" t="s">
        <v>17788</v>
      </c>
      <c r="RCO1" t="s">
        <v>17789</v>
      </c>
      <c r="RCP1" t="s">
        <v>17790</v>
      </c>
      <c r="RCQ1" t="s">
        <v>17791</v>
      </c>
      <c r="RCR1" t="s">
        <v>17792</v>
      </c>
      <c r="RCS1" t="s">
        <v>17793</v>
      </c>
      <c r="RCT1" t="s">
        <v>17794</v>
      </c>
      <c r="RCU1" t="s">
        <v>17795</v>
      </c>
      <c r="RCV1" t="s">
        <v>17796</v>
      </c>
      <c r="RCW1" t="s">
        <v>17797</v>
      </c>
      <c r="RCX1" t="s">
        <v>17798</v>
      </c>
      <c r="RCY1" t="s">
        <v>17799</v>
      </c>
      <c r="RCZ1" t="s">
        <v>17800</v>
      </c>
      <c r="RDA1" t="s">
        <v>17801</v>
      </c>
      <c r="RDB1" t="s">
        <v>17802</v>
      </c>
      <c r="RDC1" t="s">
        <v>17803</v>
      </c>
      <c r="RDD1" t="s">
        <v>17804</v>
      </c>
      <c r="RDE1" t="s">
        <v>17805</v>
      </c>
      <c r="RDF1" t="s">
        <v>17806</v>
      </c>
      <c r="RDG1" t="s">
        <v>17807</v>
      </c>
      <c r="RDH1" t="s">
        <v>17808</v>
      </c>
      <c r="RDI1" t="s">
        <v>17809</v>
      </c>
      <c r="RDJ1" t="s">
        <v>17810</v>
      </c>
      <c r="RDK1" t="s">
        <v>17811</v>
      </c>
      <c r="RDL1" t="s">
        <v>17812</v>
      </c>
      <c r="RDM1" t="s">
        <v>17813</v>
      </c>
      <c r="RDN1" t="s">
        <v>17814</v>
      </c>
      <c r="RDO1" t="s">
        <v>17815</v>
      </c>
      <c r="RDP1" t="s">
        <v>17816</v>
      </c>
      <c r="RDQ1" t="s">
        <v>17817</v>
      </c>
      <c r="RDR1" t="s">
        <v>17818</v>
      </c>
      <c r="RDS1" t="s">
        <v>17819</v>
      </c>
      <c r="RDT1" t="s">
        <v>17820</v>
      </c>
      <c r="RDU1" t="s">
        <v>17821</v>
      </c>
      <c r="RDV1" t="s">
        <v>17822</v>
      </c>
      <c r="RDW1" t="s">
        <v>17823</v>
      </c>
      <c r="RDX1" t="s">
        <v>17824</v>
      </c>
      <c r="RDY1" t="s">
        <v>17825</v>
      </c>
      <c r="RDZ1" t="s">
        <v>17826</v>
      </c>
      <c r="REA1" t="s">
        <v>17827</v>
      </c>
      <c r="REB1" t="s">
        <v>17828</v>
      </c>
      <c r="REC1" t="s">
        <v>17829</v>
      </c>
      <c r="RED1" t="s">
        <v>17830</v>
      </c>
      <c r="REE1" t="s">
        <v>17831</v>
      </c>
      <c r="REF1" t="s">
        <v>17832</v>
      </c>
      <c r="REG1" t="s">
        <v>17833</v>
      </c>
      <c r="REH1" t="s">
        <v>17834</v>
      </c>
      <c r="REI1" t="s">
        <v>17835</v>
      </c>
      <c r="REJ1" t="s">
        <v>17836</v>
      </c>
      <c r="REK1" t="s">
        <v>17837</v>
      </c>
      <c r="REL1" t="s">
        <v>17838</v>
      </c>
      <c r="REM1" t="s">
        <v>17839</v>
      </c>
      <c r="REN1" t="s">
        <v>17840</v>
      </c>
      <c r="REO1" t="s">
        <v>17841</v>
      </c>
      <c r="REP1" t="s">
        <v>17842</v>
      </c>
      <c r="REQ1" t="s">
        <v>17843</v>
      </c>
      <c r="RER1" t="s">
        <v>17844</v>
      </c>
      <c r="RES1" t="s">
        <v>17845</v>
      </c>
      <c r="RET1" t="s">
        <v>17846</v>
      </c>
      <c r="REU1" t="s">
        <v>17847</v>
      </c>
      <c r="REV1" t="s">
        <v>17848</v>
      </c>
      <c r="REW1" t="s">
        <v>17849</v>
      </c>
      <c r="REX1" t="s">
        <v>17850</v>
      </c>
      <c r="REY1" t="s">
        <v>17851</v>
      </c>
      <c r="REZ1" t="s">
        <v>17852</v>
      </c>
      <c r="RFA1" t="s">
        <v>17853</v>
      </c>
      <c r="RFB1" t="s">
        <v>17854</v>
      </c>
      <c r="RFC1" t="s">
        <v>17855</v>
      </c>
      <c r="RFD1" t="s">
        <v>17856</v>
      </c>
      <c r="RFE1" t="s">
        <v>17857</v>
      </c>
      <c r="RFF1" t="s">
        <v>17858</v>
      </c>
      <c r="RFG1" t="s">
        <v>17859</v>
      </c>
      <c r="RFH1" t="s">
        <v>17860</v>
      </c>
      <c r="RFI1" t="s">
        <v>17861</v>
      </c>
      <c r="RFJ1" t="s">
        <v>17862</v>
      </c>
      <c r="RFK1" t="s">
        <v>17863</v>
      </c>
      <c r="RFL1" t="s">
        <v>17864</v>
      </c>
      <c r="RFM1" t="s">
        <v>17865</v>
      </c>
      <c r="RFN1" t="s">
        <v>17866</v>
      </c>
      <c r="RFO1" t="s">
        <v>17867</v>
      </c>
      <c r="RFP1" t="s">
        <v>17868</v>
      </c>
      <c r="RFQ1" t="s">
        <v>17869</v>
      </c>
      <c r="RFR1" t="s">
        <v>17870</v>
      </c>
      <c r="RFS1" t="s">
        <v>17871</v>
      </c>
      <c r="RFT1" t="s">
        <v>17872</v>
      </c>
      <c r="RFU1" t="s">
        <v>17873</v>
      </c>
      <c r="RFV1" t="s">
        <v>17874</v>
      </c>
      <c r="RFW1" t="s">
        <v>17875</v>
      </c>
      <c r="RFX1" t="s">
        <v>17876</v>
      </c>
      <c r="RFY1" t="s">
        <v>17877</v>
      </c>
      <c r="RFZ1" t="s">
        <v>17878</v>
      </c>
      <c r="RGA1" t="s">
        <v>17879</v>
      </c>
      <c r="RGB1" t="s">
        <v>17880</v>
      </c>
      <c r="RGC1" t="s">
        <v>17881</v>
      </c>
      <c r="RGD1" t="s">
        <v>17882</v>
      </c>
      <c r="RGE1" t="s">
        <v>17883</v>
      </c>
      <c r="RGF1" t="s">
        <v>17884</v>
      </c>
      <c r="RGG1" t="s">
        <v>17885</v>
      </c>
      <c r="RGH1" t="s">
        <v>17886</v>
      </c>
      <c r="RGI1" t="s">
        <v>17887</v>
      </c>
      <c r="RGJ1" t="s">
        <v>17888</v>
      </c>
      <c r="RGK1" t="s">
        <v>17889</v>
      </c>
      <c r="RGL1" t="s">
        <v>17890</v>
      </c>
      <c r="RGM1" t="s">
        <v>17891</v>
      </c>
      <c r="RGN1" t="s">
        <v>17892</v>
      </c>
      <c r="RGO1" t="s">
        <v>17893</v>
      </c>
      <c r="RGP1" t="s">
        <v>17894</v>
      </c>
      <c r="RGQ1" t="s">
        <v>17895</v>
      </c>
      <c r="RGR1" t="s">
        <v>17896</v>
      </c>
      <c r="RGS1" t="s">
        <v>17897</v>
      </c>
      <c r="RGT1" t="s">
        <v>17898</v>
      </c>
      <c r="RGU1" t="s">
        <v>17899</v>
      </c>
      <c r="RGV1" t="s">
        <v>17900</v>
      </c>
      <c r="RGW1" t="s">
        <v>17901</v>
      </c>
      <c r="RGX1" t="s">
        <v>17902</v>
      </c>
      <c r="RGY1" t="s">
        <v>17903</v>
      </c>
      <c r="RGZ1" t="s">
        <v>17904</v>
      </c>
      <c r="RHA1" t="s">
        <v>17905</v>
      </c>
      <c r="RHB1" t="s">
        <v>17906</v>
      </c>
      <c r="RHC1" t="s">
        <v>17907</v>
      </c>
      <c r="RHD1" t="s">
        <v>17908</v>
      </c>
      <c r="RHE1" t="s">
        <v>17909</v>
      </c>
      <c r="RHF1" t="s">
        <v>17910</v>
      </c>
      <c r="RHG1" t="s">
        <v>17911</v>
      </c>
      <c r="RHH1" t="s">
        <v>17912</v>
      </c>
      <c r="RHI1" t="s">
        <v>17913</v>
      </c>
      <c r="RHJ1" t="s">
        <v>17914</v>
      </c>
      <c r="RHK1" t="s">
        <v>17915</v>
      </c>
      <c r="RHL1" t="s">
        <v>17916</v>
      </c>
      <c r="RHM1" t="s">
        <v>17917</v>
      </c>
      <c r="RHN1" t="s">
        <v>17918</v>
      </c>
      <c r="RHO1" t="s">
        <v>17919</v>
      </c>
      <c r="RHP1" t="s">
        <v>17920</v>
      </c>
      <c r="RHQ1" t="s">
        <v>17921</v>
      </c>
      <c r="RHR1" t="s">
        <v>17922</v>
      </c>
      <c r="RHS1" t="s">
        <v>17923</v>
      </c>
      <c r="RHT1" t="s">
        <v>17924</v>
      </c>
      <c r="RHU1" t="s">
        <v>17925</v>
      </c>
      <c r="RHV1" t="s">
        <v>17926</v>
      </c>
      <c r="RHW1" t="s">
        <v>17927</v>
      </c>
      <c r="RHX1" t="s">
        <v>17928</v>
      </c>
      <c r="RHY1" t="s">
        <v>17929</v>
      </c>
      <c r="RHZ1" t="s">
        <v>17930</v>
      </c>
      <c r="RIA1" t="s">
        <v>17931</v>
      </c>
      <c r="RIB1" t="s">
        <v>17932</v>
      </c>
      <c r="RIC1" t="s">
        <v>17933</v>
      </c>
      <c r="RID1" t="s">
        <v>17934</v>
      </c>
      <c r="RIE1" t="s">
        <v>17935</v>
      </c>
      <c r="RIF1" t="s">
        <v>17936</v>
      </c>
      <c r="RIG1" t="s">
        <v>17937</v>
      </c>
      <c r="RIH1" t="s">
        <v>17938</v>
      </c>
      <c r="RII1" t="s">
        <v>17939</v>
      </c>
      <c r="RIJ1" t="s">
        <v>17940</v>
      </c>
      <c r="RIK1" t="s">
        <v>17941</v>
      </c>
      <c r="RIL1" t="s">
        <v>17942</v>
      </c>
      <c r="RIM1" t="s">
        <v>17943</v>
      </c>
      <c r="RIN1" t="s">
        <v>17944</v>
      </c>
      <c r="RIO1" t="s">
        <v>17945</v>
      </c>
      <c r="RIP1" t="s">
        <v>17946</v>
      </c>
      <c r="RIQ1" t="s">
        <v>17947</v>
      </c>
      <c r="RIR1" t="s">
        <v>17948</v>
      </c>
      <c r="RIS1" t="s">
        <v>17949</v>
      </c>
      <c r="RIT1" t="s">
        <v>17950</v>
      </c>
      <c r="RIU1" t="s">
        <v>17951</v>
      </c>
      <c r="RIV1" t="s">
        <v>17952</v>
      </c>
      <c r="RIW1" t="s">
        <v>17953</v>
      </c>
      <c r="RIX1" t="s">
        <v>17954</v>
      </c>
      <c r="RIY1" t="s">
        <v>17955</v>
      </c>
      <c r="RIZ1" t="s">
        <v>17956</v>
      </c>
      <c r="RJA1" t="s">
        <v>17957</v>
      </c>
      <c r="RJB1" t="s">
        <v>17958</v>
      </c>
      <c r="RJC1" t="s">
        <v>17959</v>
      </c>
      <c r="RJD1" t="s">
        <v>17960</v>
      </c>
      <c r="RJE1" t="s">
        <v>17961</v>
      </c>
      <c r="RJF1" t="s">
        <v>17962</v>
      </c>
      <c r="RJG1" t="s">
        <v>17963</v>
      </c>
      <c r="RJH1" t="s">
        <v>17964</v>
      </c>
      <c r="RJI1" t="s">
        <v>17965</v>
      </c>
      <c r="RJJ1" t="s">
        <v>17966</v>
      </c>
      <c r="RJK1" t="s">
        <v>17967</v>
      </c>
      <c r="RJL1" t="s">
        <v>17968</v>
      </c>
      <c r="RJM1" t="s">
        <v>17969</v>
      </c>
      <c r="RJN1" t="s">
        <v>17970</v>
      </c>
      <c r="RJO1" t="s">
        <v>17971</v>
      </c>
      <c r="RJP1" t="s">
        <v>17972</v>
      </c>
      <c r="RJQ1" t="s">
        <v>17973</v>
      </c>
      <c r="RJR1" t="s">
        <v>17974</v>
      </c>
      <c r="RJS1" t="s">
        <v>17975</v>
      </c>
      <c r="RJT1" t="s">
        <v>17976</v>
      </c>
      <c r="RJU1" t="s">
        <v>17977</v>
      </c>
      <c r="RJV1" t="s">
        <v>17978</v>
      </c>
      <c r="RJW1" t="s">
        <v>17979</v>
      </c>
      <c r="RJX1" t="s">
        <v>17980</v>
      </c>
      <c r="RJY1" t="s">
        <v>17981</v>
      </c>
      <c r="RJZ1" t="s">
        <v>17982</v>
      </c>
      <c r="RKA1" t="s">
        <v>17983</v>
      </c>
      <c r="RKB1" t="s">
        <v>17984</v>
      </c>
      <c r="RKC1" t="s">
        <v>17985</v>
      </c>
      <c r="RKD1" t="s">
        <v>17986</v>
      </c>
      <c r="RKE1" t="s">
        <v>17987</v>
      </c>
      <c r="RKF1" t="s">
        <v>17988</v>
      </c>
      <c r="RKG1" t="s">
        <v>17989</v>
      </c>
      <c r="RKH1" t="s">
        <v>17990</v>
      </c>
      <c r="RKI1" t="s">
        <v>17991</v>
      </c>
      <c r="RKJ1" t="s">
        <v>17992</v>
      </c>
      <c r="RKK1" t="s">
        <v>17993</v>
      </c>
      <c r="RKL1" t="s">
        <v>17994</v>
      </c>
      <c r="RKM1" t="s">
        <v>17995</v>
      </c>
      <c r="RKN1" t="s">
        <v>17996</v>
      </c>
      <c r="RKO1" t="s">
        <v>17997</v>
      </c>
      <c r="RKP1" t="s">
        <v>17998</v>
      </c>
      <c r="RKQ1" t="s">
        <v>17999</v>
      </c>
      <c r="RKR1" t="s">
        <v>18000</v>
      </c>
      <c r="RKS1" t="s">
        <v>18001</v>
      </c>
      <c r="RKT1" t="s">
        <v>18002</v>
      </c>
      <c r="RKU1" t="s">
        <v>18003</v>
      </c>
      <c r="RKV1" t="s">
        <v>18004</v>
      </c>
      <c r="RKW1" t="s">
        <v>18005</v>
      </c>
      <c r="RKX1" t="s">
        <v>18006</v>
      </c>
      <c r="RKY1" t="s">
        <v>18007</v>
      </c>
      <c r="RKZ1" t="s">
        <v>18008</v>
      </c>
      <c r="RLA1" t="s">
        <v>18009</v>
      </c>
      <c r="RLB1" t="s">
        <v>18010</v>
      </c>
      <c r="RLC1" t="s">
        <v>18011</v>
      </c>
      <c r="RLD1" t="s">
        <v>18012</v>
      </c>
      <c r="RLE1" t="s">
        <v>18013</v>
      </c>
      <c r="RLF1" t="s">
        <v>18014</v>
      </c>
      <c r="RLG1" t="s">
        <v>18015</v>
      </c>
      <c r="RLH1" t="s">
        <v>18016</v>
      </c>
      <c r="RLI1" t="s">
        <v>18017</v>
      </c>
      <c r="RLJ1" t="s">
        <v>18018</v>
      </c>
      <c r="RLK1" t="s">
        <v>18019</v>
      </c>
      <c r="RLL1" t="s">
        <v>18020</v>
      </c>
      <c r="RLM1" t="s">
        <v>18021</v>
      </c>
      <c r="RLN1" t="s">
        <v>18022</v>
      </c>
      <c r="RLO1" t="s">
        <v>18023</v>
      </c>
      <c r="RLP1" t="s">
        <v>18024</v>
      </c>
      <c r="RLQ1" t="s">
        <v>18025</v>
      </c>
      <c r="RLR1" t="s">
        <v>18026</v>
      </c>
      <c r="RLS1" t="s">
        <v>18027</v>
      </c>
      <c r="RLT1" t="s">
        <v>18028</v>
      </c>
      <c r="RLU1" t="s">
        <v>18029</v>
      </c>
      <c r="RLV1" t="s">
        <v>18030</v>
      </c>
      <c r="RLW1" t="s">
        <v>18031</v>
      </c>
      <c r="RLX1" t="s">
        <v>18032</v>
      </c>
      <c r="RLY1" t="s">
        <v>18033</v>
      </c>
      <c r="RLZ1" t="s">
        <v>18034</v>
      </c>
      <c r="RMA1" t="s">
        <v>18035</v>
      </c>
      <c r="RMB1" t="s">
        <v>18036</v>
      </c>
      <c r="RMC1" t="s">
        <v>18037</v>
      </c>
      <c r="RMD1" t="s">
        <v>18038</v>
      </c>
      <c r="RME1" t="s">
        <v>18039</v>
      </c>
      <c r="RMF1" t="s">
        <v>18040</v>
      </c>
      <c r="RMG1" t="s">
        <v>18041</v>
      </c>
      <c r="RMH1" t="s">
        <v>18042</v>
      </c>
      <c r="RMI1" t="s">
        <v>18043</v>
      </c>
      <c r="RMJ1" t="s">
        <v>18044</v>
      </c>
      <c r="RMK1" t="s">
        <v>18045</v>
      </c>
      <c r="RML1" t="s">
        <v>18046</v>
      </c>
      <c r="RMM1" t="s">
        <v>18047</v>
      </c>
      <c r="RMN1" t="s">
        <v>18048</v>
      </c>
      <c r="RMO1" t="s">
        <v>18049</v>
      </c>
      <c r="RMP1" t="s">
        <v>18050</v>
      </c>
      <c r="RMQ1" t="s">
        <v>18051</v>
      </c>
      <c r="RMR1" t="s">
        <v>18052</v>
      </c>
      <c r="RMS1" t="s">
        <v>18053</v>
      </c>
      <c r="RMT1" t="s">
        <v>18054</v>
      </c>
      <c r="RMU1" t="s">
        <v>18055</v>
      </c>
      <c r="RMV1" t="s">
        <v>18056</v>
      </c>
      <c r="RMW1" t="s">
        <v>18057</v>
      </c>
      <c r="RMX1" t="s">
        <v>18058</v>
      </c>
      <c r="RMY1" t="s">
        <v>18059</v>
      </c>
      <c r="RMZ1" t="s">
        <v>18060</v>
      </c>
      <c r="RNA1" t="s">
        <v>18061</v>
      </c>
      <c r="RNB1" t="s">
        <v>18062</v>
      </c>
      <c r="RNC1" t="s">
        <v>18063</v>
      </c>
      <c r="RND1" t="s">
        <v>18064</v>
      </c>
      <c r="RNE1" t="s">
        <v>18065</v>
      </c>
      <c r="RNF1" t="s">
        <v>18066</v>
      </c>
      <c r="RNG1" t="s">
        <v>18067</v>
      </c>
      <c r="RNH1" t="s">
        <v>18068</v>
      </c>
      <c r="RNI1" t="s">
        <v>18069</v>
      </c>
      <c r="RNJ1" t="s">
        <v>18070</v>
      </c>
      <c r="RNK1" t="s">
        <v>18071</v>
      </c>
      <c r="RNL1" t="s">
        <v>18072</v>
      </c>
      <c r="RNM1" t="s">
        <v>18073</v>
      </c>
      <c r="RNN1" t="s">
        <v>18074</v>
      </c>
      <c r="RNO1" t="s">
        <v>18075</v>
      </c>
      <c r="RNP1" t="s">
        <v>18076</v>
      </c>
      <c r="RNQ1" t="s">
        <v>18077</v>
      </c>
      <c r="RNR1" t="s">
        <v>18078</v>
      </c>
      <c r="RNS1" t="s">
        <v>18079</v>
      </c>
      <c r="RNT1" t="s">
        <v>18080</v>
      </c>
      <c r="RNU1" t="s">
        <v>18081</v>
      </c>
      <c r="RNV1" t="s">
        <v>18082</v>
      </c>
      <c r="RNW1" t="s">
        <v>18083</v>
      </c>
      <c r="RNX1" t="s">
        <v>18084</v>
      </c>
      <c r="RNY1" t="s">
        <v>18085</v>
      </c>
      <c r="RNZ1" t="s">
        <v>18086</v>
      </c>
      <c r="ROA1" t="s">
        <v>18087</v>
      </c>
      <c r="ROB1" t="s">
        <v>18088</v>
      </c>
      <c r="ROC1" t="s">
        <v>18089</v>
      </c>
      <c r="ROD1" t="s">
        <v>18090</v>
      </c>
      <c r="ROE1" t="s">
        <v>18091</v>
      </c>
      <c r="ROF1" t="s">
        <v>18092</v>
      </c>
      <c r="ROG1" t="s">
        <v>18093</v>
      </c>
      <c r="ROH1" t="s">
        <v>18094</v>
      </c>
      <c r="ROI1" t="s">
        <v>18095</v>
      </c>
      <c r="ROJ1" t="s">
        <v>18096</v>
      </c>
      <c r="ROK1" t="s">
        <v>18097</v>
      </c>
      <c r="ROL1" t="s">
        <v>18098</v>
      </c>
      <c r="ROM1" t="s">
        <v>18099</v>
      </c>
      <c r="RON1" t="s">
        <v>18100</v>
      </c>
      <c r="ROO1" t="s">
        <v>18101</v>
      </c>
      <c r="ROP1" t="s">
        <v>18102</v>
      </c>
      <c r="ROQ1" t="s">
        <v>18103</v>
      </c>
      <c r="ROR1" t="s">
        <v>18104</v>
      </c>
      <c r="ROS1" t="s">
        <v>18105</v>
      </c>
      <c r="ROT1" t="s">
        <v>18106</v>
      </c>
      <c r="ROU1" t="s">
        <v>18107</v>
      </c>
      <c r="ROV1" t="s">
        <v>18108</v>
      </c>
      <c r="ROW1" t="s">
        <v>18109</v>
      </c>
      <c r="ROX1" t="s">
        <v>18110</v>
      </c>
      <c r="ROY1" t="s">
        <v>18111</v>
      </c>
      <c r="ROZ1" t="s">
        <v>18112</v>
      </c>
      <c r="RPA1" t="s">
        <v>18113</v>
      </c>
      <c r="RPB1" t="s">
        <v>18114</v>
      </c>
      <c r="RPC1" t="s">
        <v>18115</v>
      </c>
      <c r="RPD1" t="s">
        <v>18116</v>
      </c>
      <c r="RPE1" t="s">
        <v>18117</v>
      </c>
      <c r="RPF1" t="s">
        <v>18118</v>
      </c>
      <c r="RPG1" t="s">
        <v>18119</v>
      </c>
      <c r="RPH1" t="s">
        <v>18120</v>
      </c>
      <c r="RPI1" t="s">
        <v>18121</v>
      </c>
      <c r="RPJ1" t="s">
        <v>18122</v>
      </c>
      <c r="RPK1" t="s">
        <v>18123</v>
      </c>
      <c r="RPL1" t="s">
        <v>18124</v>
      </c>
      <c r="RPM1" t="s">
        <v>18125</v>
      </c>
      <c r="RPN1" t="s">
        <v>18126</v>
      </c>
      <c r="RPO1" t="s">
        <v>18127</v>
      </c>
      <c r="RPP1" t="s">
        <v>18128</v>
      </c>
      <c r="RPQ1" t="s">
        <v>18129</v>
      </c>
      <c r="RPR1" t="s">
        <v>18130</v>
      </c>
      <c r="RPS1" t="s">
        <v>18131</v>
      </c>
      <c r="RPT1" t="s">
        <v>18132</v>
      </c>
      <c r="RPU1" t="s">
        <v>18133</v>
      </c>
      <c r="RPV1" t="s">
        <v>18134</v>
      </c>
      <c r="RPW1" t="s">
        <v>18135</v>
      </c>
      <c r="RPX1" t="s">
        <v>18136</v>
      </c>
      <c r="RPY1" t="s">
        <v>18137</v>
      </c>
      <c r="RPZ1" t="s">
        <v>18138</v>
      </c>
      <c r="RQA1" t="s">
        <v>18139</v>
      </c>
      <c r="RQB1" t="s">
        <v>18140</v>
      </c>
      <c r="RQC1" t="s">
        <v>18141</v>
      </c>
      <c r="RQD1" t="s">
        <v>18142</v>
      </c>
      <c r="RQE1" t="s">
        <v>18143</v>
      </c>
      <c r="RQF1" t="s">
        <v>18144</v>
      </c>
      <c r="RQG1" t="s">
        <v>18145</v>
      </c>
      <c r="RQH1" t="s">
        <v>18146</v>
      </c>
      <c r="RQI1" t="s">
        <v>18147</v>
      </c>
      <c r="RQJ1" t="s">
        <v>18148</v>
      </c>
      <c r="RQK1" t="s">
        <v>18149</v>
      </c>
      <c r="RQL1" t="s">
        <v>18150</v>
      </c>
      <c r="RQM1" t="s">
        <v>18151</v>
      </c>
      <c r="RQN1" t="s">
        <v>18152</v>
      </c>
      <c r="RQO1" t="s">
        <v>18153</v>
      </c>
      <c r="RQP1" t="s">
        <v>18154</v>
      </c>
      <c r="RQQ1" t="s">
        <v>18155</v>
      </c>
      <c r="RQR1" t="s">
        <v>18156</v>
      </c>
      <c r="RQS1" t="s">
        <v>18157</v>
      </c>
      <c r="RQT1" t="s">
        <v>18158</v>
      </c>
      <c r="RQU1" t="s">
        <v>18159</v>
      </c>
      <c r="RQV1" t="s">
        <v>18160</v>
      </c>
      <c r="RQW1" t="s">
        <v>18161</v>
      </c>
      <c r="RQX1" t="s">
        <v>18162</v>
      </c>
      <c r="RQY1" t="s">
        <v>18163</v>
      </c>
      <c r="RQZ1" t="s">
        <v>18164</v>
      </c>
      <c r="RRA1" t="s">
        <v>18165</v>
      </c>
      <c r="RRB1" t="s">
        <v>18166</v>
      </c>
      <c r="RRC1" t="s">
        <v>18167</v>
      </c>
      <c r="RRD1" t="s">
        <v>18168</v>
      </c>
      <c r="RRE1" t="s">
        <v>18169</v>
      </c>
      <c r="RRF1" t="s">
        <v>18170</v>
      </c>
      <c r="RRG1" t="s">
        <v>18171</v>
      </c>
      <c r="RRH1" t="s">
        <v>18172</v>
      </c>
      <c r="RRI1" t="s">
        <v>18173</v>
      </c>
      <c r="RRJ1" t="s">
        <v>18174</v>
      </c>
      <c r="RRK1" t="s">
        <v>18175</v>
      </c>
      <c r="RRL1" t="s">
        <v>18176</v>
      </c>
      <c r="RRM1" t="s">
        <v>18177</v>
      </c>
      <c r="RRN1" t="s">
        <v>18178</v>
      </c>
      <c r="RRO1" t="s">
        <v>18179</v>
      </c>
      <c r="RRP1" t="s">
        <v>18180</v>
      </c>
      <c r="RRQ1" t="s">
        <v>18181</v>
      </c>
      <c r="RRR1" t="s">
        <v>18182</v>
      </c>
      <c r="RRS1" t="s">
        <v>18183</v>
      </c>
      <c r="RRT1" t="s">
        <v>18184</v>
      </c>
      <c r="RRU1" t="s">
        <v>18185</v>
      </c>
      <c r="RRV1" t="s">
        <v>18186</v>
      </c>
      <c r="RRW1" t="s">
        <v>18187</v>
      </c>
      <c r="RRX1" t="s">
        <v>18188</v>
      </c>
      <c r="RRY1" t="s">
        <v>18189</v>
      </c>
      <c r="RRZ1" t="s">
        <v>18190</v>
      </c>
      <c r="RSA1" t="s">
        <v>18191</v>
      </c>
      <c r="RSB1" t="s">
        <v>18192</v>
      </c>
      <c r="RSC1" t="s">
        <v>18193</v>
      </c>
      <c r="RSD1" t="s">
        <v>18194</v>
      </c>
      <c r="RSE1" t="s">
        <v>18195</v>
      </c>
      <c r="RSF1" t="s">
        <v>18196</v>
      </c>
      <c r="RSG1" t="s">
        <v>18197</v>
      </c>
      <c r="RSH1" t="s">
        <v>18198</v>
      </c>
      <c r="RSI1" t="s">
        <v>18199</v>
      </c>
      <c r="RSJ1" t="s">
        <v>18200</v>
      </c>
      <c r="RSK1" t="s">
        <v>18201</v>
      </c>
      <c r="RSL1" t="s">
        <v>18202</v>
      </c>
      <c r="RSM1" t="s">
        <v>18203</v>
      </c>
      <c r="RSN1" t="s">
        <v>18204</v>
      </c>
      <c r="RSO1" t="s">
        <v>18205</v>
      </c>
      <c r="RSP1" t="s">
        <v>18206</v>
      </c>
      <c r="RSQ1" t="s">
        <v>18207</v>
      </c>
      <c r="RSR1" t="s">
        <v>18208</v>
      </c>
      <c r="RSS1" t="s">
        <v>18209</v>
      </c>
      <c r="RST1" t="s">
        <v>18210</v>
      </c>
      <c r="RSU1" t="s">
        <v>18211</v>
      </c>
      <c r="RSV1" t="s">
        <v>18212</v>
      </c>
      <c r="RSW1" t="s">
        <v>18213</v>
      </c>
      <c r="RSX1" t="s">
        <v>18214</v>
      </c>
      <c r="RSY1" t="s">
        <v>18215</v>
      </c>
      <c r="RSZ1" t="s">
        <v>18216</v>
      </c>
      <c r="RTA1" t="s">
        <v>18217</v>
      </c>
      <c r="RTB1" t="s">
        <v>18218</v>
      </c>
      <c r="RTC1" t="s">
        <v>18219</v>
      </c>
      <c r="RTD1" t="s">
        <v>18220</v>
      </c>
      <c r="RTE1" t="s">
        <v>18221</v>
      </c>
      <c r="RTF1" t="s">
        <v>18222</v>
      </c>
      <c r="RTG1" t="s">
        <v>18223</v>
      </c>
      <c r="RTH1" t="s">
        <v>18224</v>
      </c>
      <c r="RTI1" t="s">
        <v>18225</v>
      </c>
      <c r="RTJ1" t="s">
        <v>18226</v>
      </c>
      <c r="RTK1" t="s">
        <v>18227</v>
      </c>
      <c r="RTL1" t="s">
        <v>18228</v>
      </c>
      <c r="RTM1" t="s">
        <v>18229</v>
      </c>
      <c r="RTN1" t="s">
        <v>18230</v>
      </c>
      <c r="RTO1" t="s">
        <v>18231</v>
      </c>
      <c r="RTP1" t="s">
        <v>18232</v>
      </c>
      <c r="RTQ1" t="s">
        <v>18233</v>
      </c>
      <c r="RTR1" t="s">
        <v>18234</v>
      </c>
      <c r="RTS1" t="s">
        <v>18235</v>
      </c>
      <c r="RTT1" t="s">
        <v>18236</v>
      </c>
      <c r="RTU1" t="s">
        <v>18237</v>
      </c>
      <c r="RTV1" t="s">
        <v>18238</v>
      </c>
      <c r="RTW1" t="s">
        <v>18239</v>
      </c>
      <c r="RTX1" t="s">
        <v>18240</v>
      </c>
      <c r="RTY1" t="s">
        <v>18241</v>
      </c>
      <c r="RTZ1" t="s">
        <v>18242</v>
      </c>
      <c r="RUA1" t="s">
        <v>18243</v>
      </c>
      <c r="RUB1" t="s">
        <v>18244</v>
      </c>
      <c r="RUC1" t="s">
        <v>18245</v>
      </c>
      <c r="RUD1" t="s">
        <v>18246</v>
      </c>
      <c r="RUE1" t="s">
        <v>18247</v>
      </c>
      <c r="RUF1" t="s">
        <v>18248</v>
      </c>
      <c r="RUG1" t="s">
        <v>18249</v>
      </c>
      <c r="RUH1" t="s">
        <v>18250</v>
      </c>
      <c r="RUI1" t="s">
        <v>18251</v>
      </c>
      <c r="RUJ1" t="s">
        <v>18252</v>
      </c>
      <c r="RUK1" t="s">
        <v>18253</v>
      </c>
      <c r="RUL1" t="s">
        <v>18254</v>
      </c>
      <c r="RUM1" t="s">
        <v>18255</v>
      </c>
      <c r="RUN1" t="s">
        <v>18256</v>
      </c>
      <c r="RUO1" t="s">
        <v>18257</v>
      </c>
      <c r="RUP1" t="s">
        <v>18258</v>
      </c>
      <c r="RUQ1" t="s">
        <v>18259</v>
      </c>
      <c r="RUR1" t="s">
        <v>18260</v>
      </c>
      <c r="RUS1" t="s">
        <v>18261</v>
      </c>
      <c r="RUT1" t="s">
        <v>18262</v>
      </c>
      <c r="RUU1" t="s">
        <v>18263</v>
      </c>
      <c r="RUV1" t="s">
        <v>18264</v>
      </c>
      <c r="RUW1" t="s">
        <v>18265</v>
      </c>
      <c r="RUX1" t="s">
        <v>18266</v>
      </c>
      <c r="RUY1" t="s">
        <v>18267</v>
      </c>
      <c r="RUZ1" t="s">
        <v>18268</v>
      </c>
      <c r="RVA1" t="s">
        <v>18269</v>
      </c>
      <c r="RVB1" t="s">
        <v>18270</v>
      </c>
      <c r="RVC1" t="s">
        <v>18271</v>
      </c>
      <c r="RVD1" t="s">
        <v>18272</v>
      </c>
      <c r="RVE1" t="s">
        <v>18273</v>
      </c>
      <c r="RVF1" t="s">
        <v>18274</v>
      </c>
      <c r="RVG1" t="s">
        <v>18275</v>
      </c>
      <c r="RVH1" t="s">
        <v>18276</v>
      </c>
      <c r="RVI1" t="s">
        <v>18277</v>
      </c>
      <c r="RVJ1" t="s">
        <v>18278</v>
      </c>
      <c r="RVK1" t="s">
        <v>18279</v>
      </c>
      <c r="RVL1" t="s">
        <v>18280</v>
      </c>
      <c r="RVM1" t="s">
        <v>18281</v>
      </c>
      <c r="RVN1" t="s">
        <v>18282</v>
      </c>
      <c r="RVO1" t="s">
        <v>18283</v>
      </c>
      <c r="RVP1" t="s">
        <v>18284</v>
      </c>
      <c r="RVQ1" t="s">
        <v>18285</v>
      </c>
      <c r="RVR1" t="s">
        <v>18286</v>
      </c>
      <c r="RVS1" t="s">
        <v>18287</v>
      </c>
      <c r="RVT1" t="s">
        <v>18288</v>
      </c>
      <c r="RVU1" t="s">
        <v>18289</v>
      </c>
      <c r="RVV1" t="s">
        <v>18290</v>
      </c>
      <c r="RVW1" t="s">
        <v>18291</v>
      </c>
      <c r="RVX1" t="s">
        <v>18292</v>
      </c>
      <c r="RVY1" t="s">
        <v>18293</v>
      </c>
      <c r="RVZ1" t="s">
        <v>18294</v>
      </c>
      <c r="RWA1" t="s">
        <v>18295</v>
      </c>
      <c r="RWB1" t="s">
        <v>18296</v>
      </c>
      <c r="RWC1" t="s">
        <v>18297</v>
      </c>
      <c r="RWD1" t="s">
        <v>18298</v>
      </c>
      <c r="RWE1" t="s">
        <v>18299</v>
      </c>
      <c r="RWF1" t="s">
        <v>18300</v>
      </c>
      <c r="RWG1" t="s">
        <v>18301</v>
      </c>
      <c r="RWH1" t="s">
        <v>18302</v>
      </c>
      <c r="RWI1" t="s">
        <v>18303</v>
      </c>
      <c r="RWJ1" t="s">
        <v>18304</v>
      </c>
      <c r="RWK1" t="s">
        <v>18305</v>
      </c>
      <c r="RWL1" t="s">
        <v>18306</v>
      </c>
      <c r="RWM1" t="s">
        <v>18307</v>
      </c>
      <c r="RWN1" t="s">
        <v>18308</v>
      </c>
      <c r="RWO1" t="s">
        <v>18309</v>
      </c>
      <c r="RWP1" t="s">
        <v>18310</v>
      </c>
      <c r="RWQ1" t="s">
        <v>18311</v>
      </c>
      <c r="RWR1" t="s">
        <v>18312</v>
      </c>
      <c r="RWS1" t="s">
        <v>18313</v>
      </c>
      <c r="RWT1" t="s">
        <v>18314</v>
      </c>
      <c r="RWU1" t="s">
        <v>18315</v>
      </c>
      <c r="RWV1" t="s">
        <v>18316</v>
      </c>
      <c r="RWW1" t="s">
        <v>18317</v>
      </c>
      <c r="RWX1" t="s">
        <v>18318</v>
      </c>
      <c r="RWY1" t="s">
        <v>18319</v>
      </c>
      <c r="RWZ1" t="s">
        <v>18320</v>
      </c>
      <c r="RXA1" t="s">
        <v>18321</v>
      </c>
      <c r="RXB1" t="s">
        <v>18322</v>
      </c>
      <c r="RXC1" t="s">
        <v>18323</v>
      </c>
      <c r="RXD1" t="s">
        <v>18324</v>
      </c>
      <c r="RXE1" t="s">
        <v>18325</v>
      </c>
      <c r="RXF1" t="s">
        <v>18326</v>
      </c>
      <c r="RXG1" t="s">
        <v>18327</v>
      </c>
      <c r="RXH1" t="s">
        <v>18328</v>
      </c>
      <c r="RXI1" t="s">
        <v>18329</v>
      </c>
      <c r="RXJ1" t="s">
        <v>18330</v>
      </c>
      <c r="RXK1" t="s">
        <v>18331</v>
      </c>
      <c r="RXL1" t="s">
        <v>18332</v>
      </c>
      <c r="RXM1" t="s">
        <v>18333</v>
      </c>
      <c r="RXN1" t="s">
        <v>18334</v>
      </c>
      <c r="RXO1" t="s">
        <v>18335</v>
      </c>
      <c r="RXP1" t="s">
        <v>18336</v>
      </c>
      <c r="RXQ1" t="s">
        <v>18337</v>
      </c>
      <c r="RXR1" t="s">
        <v>18338</v>
      </c>
      <c r="RXS1" t="s">
        <v>18339</v>
      </c>
      <c r="RXT1" t="s">
        <v>18340</v>
      </c>
      <c r="RXU1" t="s">
        <v>18341</v>
      </c>
      <c r="RXV1" t="s">
        <v>18342</v>
      </c>
      <c r="RXW1" t="s">
        <v>18343</v>
      </c>
      <c r="RXX1" t="s">
        <v>18344</v>
      </c>
      <c r="RXY1" t="s">
        <v>18345</v>
      </c>
      <c r="RXZ1" t="s">
        <v>18346</v>
      </c>
      <c r="RYA1" t="s">
        <v>18347</v>
      </c>
      <c r="RYB1" t="s">
        <v>18348</v>
      </c>
      <c r="RYC1" t="s">
        <v>18349</v>
      </c>
      <c r="RYD1" t="s">
        <v>18350</v>
      </c>
      <c r="RYE1" t="s">
        <v>18351</v>
      </c>
      <c r="RYF1" t="s">
        <v>18352</v>
      </c>
      <c r="RYG1" t="s">
        <v>18353</v>
      </c>
      <c r="RYH1" t="s">
        <v>18354</v>
      </c>
      <c r="RYI1" t="s">
        <v>18355</v>
      </c>
      <c r="RYJ1" t="s">
        <v>18356</v>
      </c>
      <c r="RYK1" t="s">
        <v>18357</v>
      </c>
      <c r="RYL1" t="s">
        <v>18358</v>
      </c>
      <c r="RYM1" t="s">
        <v>18359</v>
      </c>
      <c r="RYN1" t="s">
        <v>18360</v>
      </c>
      <c r="RYO1" t="s">
        <v>18361</v>
      </c>
      <c r="RYP1" t="s">
        <v>18362</v>
      </c>
      <c r="RYQ1" t="s">
        <v>18363</v>
      </c>
      <c r="RYR1" t="s">
        <v>18364</v>
      </c>
      <c r="RYS1" t="s">
        <v>18365</v>
      </c>
      <c r="RYT1" t="s">
        <v>18366</v>
      </c>
      <c r="RYU1" t="s">
        <v>18367</v>
      </c>
      <c r="RYV1" t="s">
        <v>18368</v>
      </c>
      <c r="RYW1" t="s">
        <v>18369</v>
      </c>
      <c r="RYX1" t="s">
        <v>18370</v>
      </c>
      <c r="RYY1" t="s">
        <v>18371</v>
      </c>
      <c r="RYZ1" t="s">
        <v>18372</v>
      </c>
      <c r="RZA1" t="s">
        <v>18373</v>
      </c>
      <c r="RZB1" t="s">
        <v>18374</v>
      </c>
      <c r="RZC1" t="s">
        <v>18375</v>
      </c>
      <c r="RZD1" t="s">
        <v>18376</v>
      </c>
      <c r="RZE1" t="s">
        <v>18377</v>
      </c>
      <c r="RZF1" t="s">
        <v>18378</v>
      </c>
      <c r="RZG1" t="s">
        <v>18379</v>
      </c>
      <c r="RZH1" t="s">
        <v>18380</v>
      </c>
      <c r="RZI1" t="s">
        <v>18381</v>
      </c>
      <c r="RZJ1" t="s">
        <v>18382</v>
      </c>
      <c r="RZK1" t="s">
        <v>18383</v>
      </c>
      <c r="RZL1" t="s">
        <v>18384</v>
      </c>
      <c r="RZM1" t="s">
        <v>18385</v>
      </c>
      <c r="RZN1" t="s">
        <v>18386</v>
      </c>
      <c r="RZO1" t="s">
        <v>18387</v>
      </c>
      <c r="RZP1" t="s">
        <v>18388</v>
      </c>
      <c r="RZQ1" t="s">
        <v>18389</v>
      </c>
      <c r="RZR1" t="s">
        <v>18390</v>
      </c>
      <c r="RZS1" t="s">
        <v>18391</v>
      </c>
      <c r="RZT1" t="s">
        <v>18392</v>
      </c>
      <c r="RZU1" t="s">
        <v>18393</v>
      </c>
      <c r="RZV1" t="s">
        <v>18394</v>
      </c>
      <c r="RZW1" t="s">
        <v>18395</v>
      </c>
      <c r="RZX1" t="s">
        <v>18396</v>
      </c>
      <c r="RZY1" t="s">
        <v>18397</v>
      </c>
      <c r="RZZ1" t="s">
        <v>18398</v>
      </c>
      <c r="SAA1" t="s">
        <v>18399</v>
      </c>
      <c r="SAB1" t="s">
        <v>18400</v>
      </c>
      <c r="SAC1" t="s">
        <v>18401</v>
      </c>
      <c r="SAD1" t="s">
        <v>18402</v>
      </c>
      <c r="SAE1" t="s">
        <v>18403</v>
      </c>
      <c r="SAF1" t="s">
        <v>18404</v>
      </c>
      <c r="SAG1" t="s">
        <v>18405</v>
      </c>
      <c r="SAH1" t="s">
        <v>18406</v>
      </c>
      <c r="SAI1" t="s">
        <v>18407</v>
      </c>
      <c r="SAJ1" t="s">
        <v>18408</v>
      </c>
      <c r="SAK1" t="s">
        <v>18409</v>
      </c>
      <c r="SAL1" t="s">
        <v>18410</v>
      </c>
      <c r="SAM1" t="s">
        <v>18411</v>
      </c>
      <c r="SAN1" t="s">
        <v>18412</v>
      </c>
      <c r="SAO1" t="s">
        <v>18413</v>
      </c>
      <c r="SAP1" t="s">
        <v>18414</v>
      </c>
      <c r="SAQ1" t="s">
        <v>18415</v>
      </c>
      <c r="SAR1" t="s">
        <v>18416</v>
      </c>
      <c r="SAS1" t="s">
        <v>18417</v>
      </c>
      <c r="SAT1" t="s">
        <v>18418</v>
      </c>
      <c r="SAU1" t="s">
        <v>18419</v>
      </c>
      <c r="SAV1" t="s">
        <v>18420</v>
      </c>
      <c r="SAW1" t="s">
        <v>18421</v>
      </c>
      <c r="SAX1" t="s">
        <v>18422</v>
      </c>
      <c r="SAY1" t="s">
        <v>18423</v>
      </c>
      <c r="SAZ1" t="s">
        <v>18424</v>
      </c>
      <c r="SBA1" t="s">
        <v>18425</v>
      </c>
      <c r="SBB1" t="s">
        <v>18426</v>
      </c>
      <c r="SBC1" t="s">
        <v>18427</v>
      </c>
      <c r="SBD1" t="s">
        <v>18428</v>
      </c>
      <c r="SBE1" t="s">
        <v>18429</v>
      </c>
      <c r="SBF1" t="s">
        <v>18430</v>
      </c>
      <c r="SBG1" t="s">
        <v>18431</v>
      </c>
      <c r="SBH1" t="s">
        <v>18432</v>
      </c>
      <c r="SBI1" t="s">
        <v>18433</v>
      </c>
      <c r="SBJ1" t="s">
        <v>18434</v>
      </c>
      <c r="SBK1" t="s">
        <v>18435</v>
      </c>
      <c r="SBL1" t="s">
        <v>18436</v>
      </c>
      <c r="SBM1" t="s">
        <v>18437</v>
      </c>
      <c r="SBN1" t="s">
        <v>18438</v>
      </c>
      <c r="SBO1" t="s">
        <v>18439</v>
      </c>
      <c r="SBP1" t="s">
        <v>18440</v>
      </c>
      <c r="SBQ1" t="s">
        <v>18441</v>
      </c>
      <c r="SBR1" t="s">
        <v>18442</v>
      </c>
      <c r="SBS1" t="s">
        <v>18443</v>
      </c>
      <c r="SBT1" t="s">
        <v>18444</v>
      </c>
      <c r="SBU1" t="s">
        <v>18445</v>
      </c>
      <c r="SBV1" t="s">
        <v>18446</v>
      </c>
      <c r="SBW1" t="s">
        <v>18447</v>
      </c>
      <c r="SBX1" t="s">
        <v>18448</v>
      </c>
      <c r="SBY1" t="s">
        <v>18449</v>
      </c>
      <c r="SBZ1" t="s">
        <v>18450</v>
      </c>
      <c r="SCA1" t="s">
        <v>18451</v>
      </c>
      <c r="SCB1" t="s">
        <v>18452</v>
      </c>
      <c r="SCC1" t="s">
        <v>18453</v>
      </c>
      <c r="SCD1" t="s">
        <v>18454</v>
      </c>
      <c r="SCE1" t="s">
        <v>18455</v>
      </c>
      <c r="SCF1" t="s">
        <v>18456</v>
      </c>
      <c r="SCG1" t="s">
        <v>18457</v>
      </c>
      <c r="SCH1" t="s">
        <v>18458</v>
      </c>
      <c r="SCI1" t="s">
        <v>18459</v>
      </c>
      <c r="SCJ1" t="s">
        <v>18460</v>
      </c>
      <c r="SCK1" t="s">
        <v>18461</v>
      </c>
      <c r="SCL1" t="s">
        <v>18462</v>
      </c>
      <c r="SCM1" t="s">
        <v>18463</v>
      </c>
      <c r="SCN1" t="s">
        <v>18464</v>
      </c>
      <c r="SCO1" t="s">
        <v>18465</v>
      </c>
      <c r="SCP1" t="s">
        <v>18466</v>
      </c>
      <c r="SCQ1" t="s">
        <v>18467</v>
      </c>
      <c r="SCR1" t="s">
        <v>18468</v>
      </c>
      <c r="SCS1" t="s">
        <v>18469</v>
      </c>
      <c r="SCT1" t="s">
        <v>18470</v>
      </c>
      <c r="SCU1" t="s">
        <v>18471</v>
      </c>
      <c r="SCV1" t="s">
        <v>18472</v>
      </c>
      <c r="SCW1" t="s">
        <v>18473</v>
      </c>
      <c r="SCX1" t="s">
        <v>18474</v>
      </c>
      <c r="SCY1" t="s">
        <v>18475</v>
      </c>
      <c r="SCZ1" t="s">
        <v>18476</v>
      </c>
      <c r="SDA1" t="s">
        <v>18477</v>
      </c>
      <c r="SDB1" t="s">
        <v>18478</v>
      </c>
      <c r="SDC1" t="s">
        <v>18479</v>
      </c>
      <c r="SDD1" t="s">
        <v>18480</v>
      </c>
      <c r="SDE1" t="s">
        <v>18481</v>
      </c>
      <c r="SDF1" t="s">
        <v>18482</v>
      </c>
      <c r="SDG1" t="s">
        <v>18483</v>
      </c>
      <c r="SDH1" t="s">
        <v>18484</v>
      </c>
      <c r="SDI1" t="s">
        <v>18485</v>
      </c>
      <c r="SDJ1" t="s">
        <v>18486</v>
      </c>
      <c r="SDK1" t="s">
        <v>18487</v>
      </c>
      <c r="SDL1" t="s">
        <v>18488</v>
      </c>
      <c r="SDM1" t="s">
        <v>18489</v>
      </c>
      <c r="SDN1" t="s">
        <v>18490</v>
      </c>
      <c r="SDO1" t="s">
        <v>18491</v>
      </c>
      <c r="SDP1" t="s">
        <v>18492</v>
      </c>
      <c r="SDQ1" t="s">
        <v>18493</v>
      </c>
      <c r="SDR1" t="s">
        <v>18494</v>
      </c>
      <c r="SDS1" t="s">
        <v>18495</v>
      </c>
      <c r="SDT1" t="s">
        <v>18496</v>
      </c>
      <c r="SDU1" t="s">
        <v>18497</v>
      </c>
      <c r="SDV1" t="s">
        <v>18498</v>
      </c>
      <c r="SDW1" t="s">
        <v>18499</v>
      </c>
      <c r="SDX1" t="s">
        <v>18500</v>
      </c>
      <c r="SDY1" t="s">
        <v>18501</v>
      </c>
      <c r="SDZ1" t="s">
        <v>18502</v>
      </c>
      <c r="SEA1" t="s">
        <v>18503</v>
      </c>
      <c r="SEB1" t="s">
        <v>18504</v>
      </c>
      <c r="SEC1" t="s">
        <v>18505</v>
      </c>
      <c r="SED1" t="s">
        <v>18506</v>
      </c>
      <c r="SEE1" t="s">
        <v>18507</v>
      </c>
      <c r="SEF1" t="s">
        <v>18508</v>
      </c>
      <c r="SEG1" t="s">
        <v>18509</v>
      </c>
      <c r="SEH1" t="s">
        <v>18510</v>
      </c>
      <c r="SEI1" t="s">
        <v>18511</v>
      </c>
      <c r="SEJ1" t="s">
        <v>18512</v>
      </c>
      <c r="SEK1" t="s">
        <v>18513</v>
      </c>
      <c r="SEL1" t="s">
        <v>18514</v>
      </c>
      <c r="SEM1" t="s">
        <v>18515</v>
      </c>
      <c r="SEN1" t="s">
        <v>18516</v>
      </c>
      <c r="SEO1" t="s">
        <v>18517</v>
      </c>
      <c r="SEP1" t="s">
        <v>18518</v>
      </c>
      <c r="SEQ1" t="s">
        <v>18519</v>
      </c>
      <c r="SER1" t="s">
        <v>18520</v>
      </c>
      <c r="SES1" t="s">
        <v>18521</v>
      </c>
      <c r="SET1" t="s">
        <v>18522</v>
      </c>
      <c r="SEU1" t="s">
        <v>18523</v>
      </c>
      <c r="SEV1" t="s">
        <v>18524</v>
      </c>
      <c r="SEW1" t="s">
        <v>18525</v>
      </c>
      <c r="SEX1" t="s">
        <v>18526</v>
      </c>
      <c r="SEY1" t="s">
        <v>18527</v>
      </c>
      <c r="SEZ1" t="s">
        <v>18528</v>
      </c>
      <c r="SFA1" t="s">
        <v>18529</v>
      </c>
      <c r="SFB1" t="s">
        <v>18530</v>
      </c>
      <c r="SFC1" t="s">
        <v>18531</v>
      </c>
      <c r="SFD1" t="s">
        <v>18532</v>
      </c>
      <c r="SFE1" t="s">
        <v>18533</v>
      </c>
      <c r="SFF1" t="s">
        <v>18534</v>
      </c>
      <c r="SFG1" t="s">
        <v>18535</v>
      </c>
      <c r="SFH1" t="s">
        <v>18536</v>
      </c>
      <c r="SFI1" t="s">
        <v>18537</v>
      </c>
      <c r="SFJ1" t="s">
        <v>18538</v>
      </c>
      <c r="SFK1" t="s">
        <v>18539</v>
      </c>
      <c r="SFL1" t="s">
        <v>18540</v>
      </c>
      <c r="SFM1" t="s">
        <v>18541</v>
      </c>
      <c r="SFN1" t="s">
        <v>18542</v>
      </c>
      <c r="SFO1" t="s">
        <v>18543</v>
      </c>
      <c r="SFP1" t="s">
        <v>18544</v>
      </c>
      <c r="SFQ1" t="s">
        <v>18545</v>
      </c>
      <c r="SFR1" t="s">
        <v>18546</v>
      </c>
      <c r="SFS1" t="s">
        <v>18547</v>
      </c>
      <c r="SFT1" t="s">
        <v>18548</v>
      </c>
      <c r="SFU1" t="s">
        <v>18549</v>
      </c>
      <c r="SFV1" t="s">
        <v>18550</v>
      </c>
      <c r="SFW1" t="s">
        <v>18551</v>
      </c>
      <c r="SFX1" t="s">
        <v>18552</v>
      </c>
      <c r="SFY1" t="s">
        <v>18553</v>
      </c>
      <c r="SFZ1" t="s">
        <v>18554</v>
      </c>
      <c r="SGA1" t="s">
        <v>18555</v>
      </c>
      <c r="SGB1" t="s">
        <v>18556</v>
      </c>
      <c r="SGC1" t="s">
        <v>18557</v>
      </c>
      <c r="SGD1" t="s">
        <v>18558</v>
      </c>
      <c r="SGE1" t="s">
        <v>18559</v>
      </c>
      <c r="SGF1" t="s">
        <v>18560</v>
      </c>
      <c r="SGG1" t="s">
        <v>18561</v>
      </c>
      <c r="SGH1" t="s">
        <v>18562</v>
      </c>
      <c r="SGI1" t="s">
        <v>18563</v>
      </c>
      <c r="SGJ1" t="s">
        <v>18564</v>
      </c>
      <c r="SGK1" t="s">
        <v>18565</v>
      </c>
      <c r="SGL1" t="s">
        <v>18566</v>
      </c>
      <c r="SGM1" t="s">
        <v>18567</v>
      </c>
      <c r="SGN1" t="s">
        <v>18568</v>
      </c>
      <c r="SGO1" t="s">
        <v>18569</v>
      </c>
      <c r="SGP1" t="s">
        <v>18570</v>
      </c>
      <c r="SGQ1" t="s">
        <v>18571</v>
      </c>
      <c r="SGR1" t="s">
        <v>18572</v>
      </c>
      <c r="SGS1" t="s">
        <v>18573</v>
      </c>
      <c r="SGT1" t="s">
        <v>18574</v>
      </c>
      <c r="SGU1" t="s">
        <v>18575</v>
      </c>
      <c r="SGV1" t="s">
        <v>18576</v>
      </c>
      <c r="SGW1" t="s">
        <v>18577</v>
      </c>
      <c r="SGX1" t="s">
        <v>18578</v>
      </c>
      <c r="SGY1" t="s">
        <v>18579</v>
      </c>
      <c r="SGZ1" t="s">
        <v>18580</v>
      </c>
      <c r="SHA1" t="s">
        <v>18581</v>
      </c>
      <c r="SHB1" t="s">
        <v>18582</v>
      </c>
      <c r="SHC1" t="s">
        <v>18583</v>
      </c>
      <c r="SHD1" t="s">
        <v>18584</v>
      </c>
      <c r="SHE1" t="s">
        <v>18585</v>
      </c>
      <c r="SHF1" t="s">
        <v>18586</v>
      </c>
      <c r="SHG1" t="s">
        <v>18587</v>
      </c>
      <c r="SHH1" t="s">
        <v>18588</v>
      </c>
      <c r="SHI1" t="s">
        <v>18589</v>
      </c>
      <c r="SHJ1" t="s">
        <v>18590</v>
      </c>
      <c r="SHK1" t="s">
        <v>18591</v>
      </c>
      <c r="SHL1" t="s">
        <v>18592</v>
      </c>
      <c r="SHM1" t="s">
        <v>18593</v>
      </c>
      <c r="SHN1" t="s">
        <v>18594</v>
      </c>
      <c r="SHO1" t="s">
        <v>18595</v>
      </c>
      <c r="SHP1" t="s">
        <v>18596</v>
      </c>
      <c r="SHQ1" t="s">
        <v>18597</v>
      </c>
      <c r="SHR1" t="s">
        <v>18598</v>
      </c>
      <c r="SHS1" t="s">
        <v>18599</v>
      </c>
      <c r="SHT1" t="s">
        <v>18600</v>
      </c>
      <c r="SHU1" t="s">
        <v>18601</v>
      </c>
      <c r="SHV1" t="s">
        <v>18602</v>
      </c>
      <c r="SHW1" t="s">
        <v>18603</v>
      </c>
      <c r="SHX1" t="s">
        <v>18604</v>
      </c>
      <c r="SHY1" t="s">
        <v>18605</v>
      </c>
      <c r="SHZ1" t="s">
        <v>18606</v>
      </c>
      <c r="SIA1" t="s">
        <v>18607</v>
      </c>
      <c r="SIB1" t="s">
        <v>18608</v>
      </c>
      <c r="SIC1" t="s">
        <v>18609</v>
      </c>
      <c r="SID1" t="s">
        <v>18610</v>
      </c>
      <c r="SIE1" t="s">
        <v>18611</v>
      </c>
      <c r="SIF1" t="s">
        <v>18612</v>
      </c>
      <c r="SIG1" t="s">
        <v>18613</v>
      </c>
      <c r="SIH1" t="s">
        <v>18614</v>
      </c>
      <c r="SII1" t="s">
        <v>18615</v>
      </c>
      <c r="SIJ1" t="s">
        <v>18616</v>
      </c>
      <c r="SIK1" t="s">
        <v>18617</v>
      </c>
      <c r="SIL1" t="s">
        <v>18618</v>
      </c>
      <c r="SIM1" t="s">
        <v>18619</v>
      </c>
      <c r="SIN1" t="s">
        <v>18620</v>
      </c>
      <c r="SIO1" t="s">
        <v>18621</v>
      </c>
      <c r="SIP1" t="s">
        <v>18622</v>
      </c>
      <c r="SIQ1" t="s">
        <v>18623</v>
      </c>
      <c r="SIR1" t="s">
        <v>18624</v>
      </c>
      <c r="SIS1" t="s">
        <v>18625</v>
      </c>
      <c r="SIT1" t="s">
        <v>18626</v>
      </c>
      <c r="SIU1" t="s">
        <v>18627</v>
      </c>
      <c r="SIV1" t="s">
        <v>18628</v>
      </c>
      <c r="SIW1" t="s">
        <v>18629</v>
      </c>
      <c r="SIX1" t="s">
        <v>18630</v>
      </c>
      <c r="SIY1" t="s">
        <v>18631</v>
      </c>
      <c r="SIZ1" t="s">
        <v>18632</v>
      </c>
      <c r="SJA1" t="s">
        <v>18633</v>
      </c>
      <c r="SJB1" t="s">
        <v>18634</v>
      </c>
      <c r="SJC1" t="s">
        <v>18635</v>
      </c>
      <c r="SJD1" t="s">
        <v>18636</v>
      </c>
      <c r="SJE1" t="s">
        <v>18637</v>
      </c>
      <c r="SJF1" t="s">
        <v>18638</v>
      </c>
      <c r="SJG1" t="s">
        <v>18639</v>
      </c>
      <c r="SJH1" t="s">
        <v>18640</v>
      </c>
      <c r="SJI1" t="s">
        <v>18641</v>
      </c>
      <c r="SJJ1" t="s">
        <v>18642</v>
      </c>
      <c r="SJK1" t="s">
        <v>18643</v>
      </c>
      <c r="SJL1" t="s">
        <v>18644</v>
      </c>
      <c r="SJM1" t="s">
        <v>18645</v>
      </c>
      <c r="SJN1" t="s">
        <v>18646</v>
      </c>
      <c r="SJO1" t="s">
        <v>18647</v>
      </c>
      <c r="SJP1" t="s">
        <v>18648</v>
      </c>
      <c r="SJQ1" t="s">
        <v>18649</v>
      </c>
      <c r="SJR1" t="s">
        <v>18650</v>
      </c>
      <c r="SJS1" t="s">
        <v>18651</v>
      </c>
      <c r="SJT1" t="s">
        <v>18652</v>
      </c>
      <c r="SJU1" t="s">
        <v>18653</v>
      </c>
      <c r="SJV1" t="s">
        <v>18654</v>
      </c>
      <c r="SJW1" t="s">
        <v>18655</v>
      </c>
      <c r="SJX1" t="s">
        <v>18656</v>
      </c>
      <c r="SJY1" t="s">
        <v>18657</v>
      </c>
      <c r="SJZ1" t="s">
        <v>18658</v>
      </c>
      <c r="SKA1" t="s">
        <v>18659</v>
      </c>
      <c r="SKB1" t="s">
        <v>18660</v>
      </c>
      <c r="SKC1" t="s">
        <v>18661</v>
      </c>
      <c r="SKD1" t="s">
        <v>18662</v>
      </c>
      <c r="SKE1" t="s">
        <v>18663</v>
      </c>
      <c r="SKF1" t="s">
        <v>18664</v>
      </c>
      <c r="SKG1" t="s">
        <v>18665</v>
      </c>
      <c r="SKH1" t="s">
        <v>18666</v>
      </c>
      <c r="SKI1" t="s">
        <v>18667</v>
      </c>
      <c r="SKJ1" t="s">
        <v>18668</v>
      </c>
      <c r="SKK1" t="s">
        <v>18669</v>
      </c>
      <c r="SKL1" t="s">
        <v>18670</v>
      </c>
      <c r="SKM1" t="s">
        <v>18671</v>
      </c>
      <c r="SKN1" t="s">
        <v>18672</v>
      </c>
      <c r="SKO1" t="s">
        <v>18673</v>
      </c>
      <c r="SKP1" t="s">
        <v>18674</v>
      </c>
      <c r="SKQ1" t="s">
        <v>18675</v>
      </c>
      <c r="SKR1" t="s">
        <v>18676</v>
      </c>
      <c r="SKS1" t="s">
        <v>18677</v>
      </c>
      <c r="SKT1" t="s">
        <v>18678</v>
      </c>
      <c r="SKU1" t="s">
        <v>18679</v>
      </c>
      <c r="SKV1" t="s">
        <v>18680</v>
      </c>
      <c r="SKW1" t="s">
        <v>18681</v>
      </c>
      <c r="SKX1" t="s">
        <v>18682</v>
      </c>
      <c r="SKY1" t="s">
        <v>18683</v>
      </c>
      <c r="SKZ1" t="s">
        <v>18684</v>
      </c>
      <c r="SLA1" t="s">
        <v>18685</v>
      </c>
      <c r="SLB1" t="s">
        <v>18686</v>
      </c>
      <c r="SLC1" t="s">
        <v>18687</v>
      </c>
      <c r="SLD1" t="s">
        <v>18688</v>
      </c>
      <c r="SLE1" t="s">
        <v>18689</v>
      </c>
      <c r="SLF1" t="s">
        <v>18690</v>
      </c>
      <c r="SLG1" t="s">
        <v>18691</v>
      </c>
      <c r="SLH1" t="s">
        <v>18692</v>
      </c>
      <c r="SLI1" t="s">
        <v>18693</v>
      </c>
      <c r="SLJ1" t="s">
        <v>18694</v>
      </c>
      <c r="SLK1" t="s">
        <v>18695</v>
      </c>
      <c r="SLL1" t="s">
        <v>18696</v>
      </c>
      <c r="SLM1" t="s">
        <v>18697</v>
      </c>
      <c r="SLN1" t="s">
        <v>18698</v>
      </c>
      <c r="SLO1" t="s">
        <v>18699</v>
      </c>
      <c r="SLP1" t="s">
        <v>18700</v>
      </c>
      <c r="SLQ1" t="s">
        <v>18701</v>
      </c>
      <c r="SLR1" t="s">
        <v>18702</v>
      </c>
      <c r="SLS1" t="s">
        <v>18703</v>
      </c>
      <c r="SLT1" t="s">
        <v>18704</v>
      </c>
      <c r="SLU1" t="s">
        <v>18705</v>
      </c>
      <c r="SLV1" t="s">
        <v>18706</v>
      </c>
      <c r="SLW1" t="s">
        <v>18707</v>
      </c>
      <c r="SLX1" t="s">
        <v>18708</v>
      </c>
      <c r="SLY1" t="s">
        <v>18709</v>
      </c>
      <c r="SLZ1" t="s">
        <v>18710</v>
      </c>
      <c r="SMA1" t="s">
        <v>18711</v>
      </c>
      <c r="SMB1" t="s">
        <v>18712</v>
      </c>
      <c r="SMC1" t="s">
        <v>18713</v>
      </c>
      <c r="SMD1" t="s">
        <v>18714</v>
      </c>
      <c r="SME1" t="s">
        <v>18715</v>
      </c>
      <c r="SMF1" t="s">
        <v>18716</v>
      </c>
      <c r="SMG1" t="s">
        <v>18717</v>
      </c>
      <c r="SMH1" t="s">
        <v>18718</v>
      </c>
      <c r="SMI1" t="s">
        <v>18719</v>
      </c>
      <c r="SMJ1" t="s">
        <v>18720</v>
      </c>
      <c r="SMK1" t="s">
        <v>18721</v>
      </c>
      <c r="SML1" t="s">
        <v>18722</v>
      </c>
      <c r="SMM1" t="s">
        <v>18723</v>
      </c>
      <c r="SMN1" t="s">
        <v>18724</v>
      </c>
      <c r="SMO1" t="s">
        <v>18725</v>
      </c>
      <c r="SMP1" t="s">
        <v>18726</v>
      </c>
      <c r="SMQ1" t="s">
        <v>18727</v>
      </c>
      <c r="SMR1" t="s">
        <v>18728</v>
      </c>
      <c r="SMS1" t="s">
        <v>18729</v>
      </c>
      <c r="SMT1" t="s">
        <v>18730</v>
      </c>
      <c r="SMU1" t="s">
        <v>18731</v>
      </c>
      <c r="SMV1" t="s">
        <v>18732</v>
      </c>
      <c r="SMW1" t="s">
        <v>18733</v>
      </c>
      <c r="SMX1" t="s">
        <v>18734</v>
      </c>
      <c r="SMY1" t="s">
        <v>18735</v>
      </c>
      <c r="SMZ1" t="s">
        <v>18736</v>
      </c>
      <c r="SNA1" t="s">
        <v>18737</v>
      </c>
      <c r="SNB1" t="s">
        <v>18738</v>
      </c>
      <c r="SNC1" t="s">
        <v>18739</v>
      </c>
      <c r="SND1" t="s">
        <v>18740</v>
      </c>
      <c r="SNE1" t="s">
        <v>18741</v>
      </c>
      <c r="SNF1" t="s">
        <v>18742</v>
      </c>
      <c r="SNG1" t="s">
        <v>18743</v>
      </c>
      <c r="SNH1" t="s">
        <v>18744</v>
      </c>
      <c r="SNI1" t="s">
        <v>18745</v>
      </c>
      <c r="SNJ1" t="s">
        <v>18746</v>
      </c>
      <c r="SNK1" t="s">
        <v>18747</v>
      </c>
      <c r="SNL1" t="s">
        <v>18748</v>
      </c>
      <c r="SNM1" t="s">
        <v>18749</v>
      </c>
      <c r="SNN1" t="s">
        <v>18750</v>
      </c>
      <c r="SNO1" t="s">
        <v>18751</v>
      </c>
      <c r="SNP1" t="s">
        <v>18752</v>
      </c>
      <c r="SNQ1" t="s">
        <v>18753</v>
      </c>
      <c r="SNR1" t="s">
        <v>18754</v>
      </c>
      <c r="SNS1" t="s">
        <v>18755</v>
      </c>
      <c r="SNT1" t="s">
        <v>18756</v>
      </c>
      <c r="SNU1" t="s">
        <v>18757</v>
      </c>
      <c r="SNV1" t="s">
        <v>18758</v>
      </c>
      <c r="SNW1" t="s">
        <v>18759</v>
      </c>
      <c r="SNX1" t="s">
        <v>18760</v>
      </c>
      <c r="SNY1" t="s">
        <v>18761</v>
      </c>
      <c r="SNZ1" t="s">
        <v>18762</v>
      </c>
      <c r="SOA1" t="s">
        <v>18763</v>
      </c>
      <c r="SOB1" t="s">
        <v>18764</v>
      </c>
      <c r="SOC1" t="s">
        <v>18765</v>
      </c>
      <c r="SOD1" t="s">
        <v>18766</v>
      </c>
      <c r="SOE1" t="s">
        <v>18767</v>
      </c>
      <c r="SOF1" t="s">
        <v>18768</v>
      </c>
      <c r="SOG1" t="s">
        <v>18769</v>
      </c>
      <c r="SOH1" t="s">
        <v>18770</v>
      </c>
      <c r="SOI1" t="s">
        <v>18771</v>
      </c>
      <c r="SOJ1" t="s">
        <v>18772</v>
      </c>
      <c r="SOK1" t="s">
        <v>18773</v>
      </c>
      <c r="SOL1" t="s">
        <v>18774</v>
      </c>
      <c r="SOM1" t="s">
        <v>18775</v>
      </c>
      <c r="SON1" t="s">
        <v>18776</v>
      </c>
      <c r="SOO1" t="s">
        <v>18777</v>
      </c>
      <c r="SOP1" t="s">
        <v>18778</v>
      </c>
      <c r="SOQ1" t="s">
        <v>18779</v>
      </c>
      <c r="SOR1" t="s">
        <v>18780</v>
      </c>
      <c r="SOS1" t="s">
        <v>18781</v>
      </c>
      <c r="SOT1" t="s">
        <v>18782</v>
      </c>
      <c r="SOU1" t="s">
        <v>18783</v>
      </c>
      <c r="SOV1" t="s">
        <v>18784</v>
      </c>
      <c r="SOW1" t="s">
        <v>18785</v>
      </c>
      <c r="SOX1" t="s">
        <v>18786</v>
      </c>
      <c r="SOY1" t="s">
        <v>18787</v>
      </c>
      <c r="SOZ1" t="s">
        <v>18788</v>
      </c>
      <c r="SPA1" t="s">
        <v>18789</v>
      </c>
      <c r="SPB1" t="s">
        <v>18790</v>
      </c>
      <c r="SPC1" t="s">
        <v>18791</v>
      </c>
      <c r="SPD1" t="s">
        <v>18792</v>
      </c>
      <c r="SPE1" t="s">
        <v>18793</v>
      </c>
      <c r="SPF1" t="s">
        <v>18794</v>
      </c>
      <c r="SPG1" t="s">
        <v>18795</v>
      </c>
      <c r="SPH1" t="s">
        <v>18796</v>
      </c>
      <c r="SPI1" t="s">
        <v>18797</v>
      </c>
      <c r="SPJ1" t="s">
        <v>18798</v>
      </c>
      <c r="SPK1" t="s">
        <v>18799</v>
      </c>
      <c r="SPL1" t="s">
        <v>18800</v>
      </c>
      <c r="SPM1" t="s">
        <v>18801</v>
      </c>
      <c r="SPN1" t="s">
        <v>18802</v>
      </c>
      <c r="SPO1" t="s">
        <v>18803</v>
      </c>
      <c r="SPP1" t="s">
        <v>18804</v>
      </c>
      <c r="SPQ1" t="s">
        <v>18805</v>
      </c>
      <c r="SPR1" t="s">
        <v>18806</v>
      </c>
      <c r="SPS1" t="s">
        <v>18807</v>
      </c>
      <c r="SPT1" t="s">
        <v>18808</v>
      </c>
      <c r="SPU1" t="s">
        <v>18809</v>
      </c>
      <c r="SPV1" t="s">
        <v>18810</v>
      </c>
      <c r="SPW1" t="s">
        <v>18811</v>
      </c>
      <c r="SPX1" t="s">
        <v>18812</v>
      </c>
      <c r="SPY1" t="s">
        <v>18813</v>
      </c>
      <c r="SPZ1" t="s">
        <v>18814</v>
      </c>
      <c r="SQA1" t="s">
        <v>18815</v>
      </c>
      <c r="SQB1" t="s">
        <v>18816</v>
      </c>
      <c r="SQC1" t="s">
        <v>18817</v>
      </c>
      <c r="SQD1" t="s">
        <v>18818</v>
      </c>
      <c r="SQE1" t="s">
        <v>18819</v>
      </c>
      <c r="SQF1" t="s">
        <v>18820</v>
      </c>
      <c r="SQG1" t="s">
        <v>18821</v>
      </c>
      <c r="SQH1" t="s">
        <v>18822</v>
      </c>
      <c r="SQI1" t="s">
        <v>18823</v>
      </c>
      <c r="SQJ1" t="s">
        <v>18824</v>
      </c>
      <c r="SQK1" t="s">
        <v>18825</v>
      </c>
      <c r="SQL1" t="s">
        <v>18826</v>
      </c>
      <c r="SQM1" t="s">
        <v>18827</v>
      </c>
      <c r="SQN1" t="s">
        <v>18828</v>
      </c>
      <c r="SQO1" t="s">
        <v>18829</v>
      </c>
      <c r="SQP1" t="s">
        <v>18830</v>
      </c>
      <c r="SQQ1" t="s">
        <v>18831</v>
      </c>
      <c r="SQR1" t="s">
        <v>18832</v>
      </c>
      <c r="SQS1" t="s">
        <v>18833</v>
      </c>
      <c r="SQT1" t="s">
        <v>18834</v>
      </c>
      <c r="SQU1" t="s">
        <v>18835</v>
      </c>
      <c r="SQV1" t="s">
        <v>18836</v>
      </c>
      <c r="SQW1" t="s">
        <v>18837</v>
      </c>
      <c r="SQX1" t="s">
        <v>18838</v>
      </c>
      <c r="SQY1" t="s">
        <v>18839</v>
      </c>
      <c r="SQZ1" t="s">
        <v>18840</v>
      </c>
      <c r="SRA1" t="s">
        <v>18841</v>
      </c>
      <c r="SRB1" t="s">
        <v>18842</v>
      </c>
      <c r="SRC1" t="s">
        <v>18843</v>
      </c>
      <c r="SRD1" t="s">
        <v>18844</v>
      </c>
      <c r="SRE1" t="s">
        <v>18845</v>
      </c>
      <c r="SRF1" t="s">
        <v>18846</v>
      </c>
      <c r="SRG1" t="s">
        <v>18847</v>
      </c>
      <c r="SRH1" t="s">
        <v>18848</v>
      </c>
      <c r="SRI1" t="s">
        <v>18849</v>
      </c>
      <c r="SRJ1" t="s">
        <v>18850</v>
      </c>
      <c r="SRK1" t="s">
        <v>18851</v>
      </c>
      <c r="SRL1" t="s">
        <v>18852</v>
      </c>
      <c r="SRM1" t="s">
        <v>18853</v>
      </c>
      <c r="SRN1" t="s">
        <v>18854</v>
      </c>
      <c r="SRO1" t="s">
        <v>18855</v>
      </c>
      <c r="SRP1" t="s">
        <v>18856</v>
      </c>
      <c r="SRQ1" t="s">
        <v>18857</v>
      </c>
      <c r="SRR1" t="s">
        <v>18858</v>
      </c>
      <c r="SRS1" t="s">
        <v>18859</v>
      </c>
      <c r="SRT1" t="s">
        <v>18860</v>
      </c>
      <c r="SRU1" t="s">
        <v>18861</v>
      </c>
      <c r="SRV1" t="s">
        <v>18862</v>
      </c>
      <c r="SRW1" t="s">
        <v>18863</v>
      </c>
      <c r="SRX1" t="s">
        <v>18864</v>
      </c>
      <c r="SRY1" t="s">
        <v>18865</v>
      </c>
      <c r="SRZ1" t="s">
        <v>18866</v>
      </c>
      <c r="SSA1" t="s">
        <v>18867</v>
      </c>
      <c r="SSB1" t="s">
        <v>18868</v>
      </c>
      <c r="SSC1" t="s">
        <v>18869</v>
      </c>
      <c r="SSD1" t="s">
        <v>18870</v>
      </c>
      <c r="SSE1" t="s">
        <v>18871</v>
      </c>
      <c r="SSF1" t="s">
        <v>18872</v>
      </c>
      <c r="SSG1" t="s">
        <v>18873</v>
      </c>
      <c r="SSH1" t="s">
        <v>18874</v>
      </c>
      <c r="SSI1" t="s">
        <v>18875</v>
      </c>
      <c r="SSJ1" t="s">
        <v>18876</v>
      </c>
      <c r="SSK1" t="s">
        <v>18877</v>
      </c>
      <c r="SSL1" t="s">
        <v>18878</v>
      </c>
      <c r="SSM1" t="s">
        <v>18879</v>
      </c>
      <c r="SSN1" t="s">
        <v>18880</v>
      </c>
      <c r="SSO1" t="s">
        <v>18881</v>
      </c>
      <c r="SSP1" t="s">
        <v>18882</v>
      </c>
      <c r="SSQ1" t="s">
        <v>18883</v>
      </c>
      <c r="SSR1" t="s">
        <v>18884</v>
      </c>
      <c r="SSS1" t="s">
        <v>18885</v>
      </c>
      <c r="SST1" t="s">
        <v>18886</v>
      </c>
      <c r="SSU1" t="s">
        <v>18887</v>
      </c>
      <c r="SSV1" t="s">
        <v>18888</v>
      </c>
      <c r="SSW1" t="s">
        <v>18889</v>
      </c>
      <c r="SSX1" t="s">
        <v>18890</v>
      </c>
      <c r="SSY1" t="s">
        <v>18891</v>
      </c>
      <c r="SSZ1" t="s">
        <v>18892</v>
      </c>
      <c r="STA1" t="s">
        <v>18893</v>
      </c>
      <c r="STB1" t="s">
        <v>18894</v>
      </c>
      <c r="STC1" t="s">
        <v>18895</v>
      </c>
      <c r="STD1" t="s">
        <v>18896</v>
      </c>
      <c r="STE1" t="s">
        <v>18897</v>
      </c>
      <c r="STF1" t="s">
        <v>18898</v>
      </c>
      <c r="STG1" t="s">
        <v>18899</v>
      </c>
      <c r="STH1" t="s">
        <v>18900</v>
      </c>
      <c r="STI1" t="s">
        <v>18901</v>
      </c>
      <c r="STJ1" t="s">
        <v>18902</v>
      </c>
      <c r="STK1" t="s">
        <v>18903</v>
      </c>
      <c r="STL1" t="s">
        <v>18904</v>
      </c>
      <c r="STM1" t="s">
        <v>18905</v>
      </c>
      <c r="STN1" t="s">
        <v>18906</v>
      </c>
      <c r="STO1" t="s">
        <v>18907</v>
      </c>
      <c r="STP1" t="s">
        <v>18908</v>
      </c>
      <c r="STQ1" t="s">
        <v>18909</v>
      </c>
      <c r="STR1" t="s">
        <v>18910</v>
      </c>
      <c r="STS1" t="s">
        <v>18911</v>
      </c>
      <c r="STT1" t="s">
        <v>18912</v>
      </c>
      <c r="STU1" t="s">
        <v>18913</v>
      </c>
      <c r="STV1" t="s">
        <v>18914</v>
      </c>
      <c r="STW1" t="s">
        <v>18915</v>
      </c>
      <c r="STX1" t="s">
        <v>18916</v>
      </c>
      <c r="STY1" t="s">
        <v>18917</v>
      </c>
      <c r="STZ1" t="s">
        <v>18918</v>
      </c>
      <c r="SUA1" t="s">
        <v>18919</v>
      </c>
      <c r="SUB1" t="s">
        <v>18920</v>
      </c>
      <c r="SUC1" t="s">
        <v>18921</v>
      </c>
      <c r="SUD1" t="s">
        <v>18922</v>
      </c>
      <c r="SUE1" t="s">
        <v>18923</v>
      </c>
      <c r="SUF1" t="s">
        <v>18924</v>
      </c>
      <c r="SUG1" t="s">
        <v>18925</v>
      </c>
      <c r="SUH1" t="s">
        <v>18926</v>
      </c>
      <c r="SUI1" t="s">
        <v>18927</v>
      </c>
      <c r="SUJ1" t="s">
        <v>18928</v>
      </c>
      <c r="SUK1" t="s">
        <v>18929</v>
      </c>
      <c r="SUL1" t="s">
        <v>18930</v>
      </c>
      <c r="SUM1" t="s">
        <v>18931</v>
      </c>
      <c r="SUN1" t="s">
        <v>18932</v>
      </c>
      <c r="SUO1" t="s">
        <v>18933</v>
      </c>
      <c r="SUP1" t="s">
        <v>18934</v>
      </c>
      <c r="SUQ1" t="s">
        <v>18935</v>
      </c>
      <c r="SUR1" t="s">
        <v>18936</v>
      </c>
      <c r="SUS1" t="s">
        <v>18937</v>
      </c>
      <c r="SUT1" t="s">
        <v>18938</v>
      </c>
      <c r="SUU1" t="s">
        <v>18939</v>
      </c>
      <c r="SUV1" t="s">
        <v>18940</v>
      </c>
      <c r="SUW1" t="s">
        <v>18941</v>
      </c>
      <c r="SUX1" t="s">
        <v>18942</v>
      </c>
      <c r="SUY1" t="s">
        <v>18943</v>
      </c>
      <c r="SUZ1" t="s">
        <v>18944</v>
      </c>
      <c r="SVA1" t="s">
        <v>18945</v>
      </c>
      <c r="SVB1" t="s">
        <v>18946</v>
      </c>
      <c r="SVC1" t="s">
        <v>18947</v>
      </c>
      <c r="SVD1" t="s">
        <v>18948</v>
      </c>
      <c r="SVE1" t="s">
        <v>18949</v>
      </c>
      <c r="SVF1" t="s">
        <v>18950</v>
      </c>
      <c r="SVG1" t="s">
        <v>18951</v>
      </c>
      <c r="SVH1" t="s">
        <v>18952</v>
      </c>
      <c r="SVI1" t="s">
        <v>18953</v>
      </c>
      <c r="SVJ1" t="s">
        <v>18954</v>
      </c>
      <c r="SVK1" t="s">
        <v>18955</v>
      </c>
      <c r="SVL1" t="s">
        <v>18956</v>
      </c>
      <c r="SVM1" t="s">
        <v>18957</v>
      </c>
      <c r="SVN1" t="s">
        <v>18958</v>
      </c>
      <c r="SVO1" t="s">
        <v>18959</v>
      </c>
      <c r="SVP1" t="s">
        <v>18960</v>
      </c>
      <c r="SVQ1" t="s">
        <v>18961</v>
      </c>
      <c r="SVR1" t="s">
        <v>18962</v>
      </c>
      <c r="SVS1" t="s">
        <v>18963</v>
      </c>
      <c r="SVT1" t="s">
        <v>18964</v>
      </c>
      <c r="SVU1" t="s">
        <v>18965</v>
      </c>
      <c r="SVV1" t="s">
        <v>18966</v>
      </c>
      <c r="SVW1" t="s">
        <v>18967</v>
      </c>
      <c r="SVX1" t="s">
        <v>18968</v>
      </c>
      <c r="SVY1" t="s">
        <v>18969</v>
      </c>
      <c r="SVZ1" t="s">
        <v>18970</v>
      </c>
      <c r="SWA1" t="s">
        <v>18971</v>
      </c>
      <c r="SWB1" t="s">
        <v>18972</v>
      </c>
      <c r="SWC1" t="s">
        <v>18973</v>
      </c>
      <c r="SWD1" t="s">
        <v>18974</v>
      </c>
      <c r="SWE1" t="s">
        <v>18975</v>
      </c>
      <c r="SWF1" t="s">
        <v>18976</v>
      </c>
      <c r="SWG1" t="s">
        <v>18977</v>
      </c>
      <c r="SWH1" t="s">
        <v>18978</v>
      </c>
      <c r="SWI1" t="s">
        <v>18979</v>
      </c>
      <c r="SWJ1" t="s">
        <v>18980</v>
      </c>
      <c r="SWK1" t="s">
        <v>18981</v>
      </c>
      <c r="SWL1" t="s">
        <v>18982</v>
      </c>
      <c r="SWM1" t="s">
        <v>18983</v>
      </c>
      <c r="SWN1" t="s">
        <v>18984</v>
      </c>
      <c r="SWO1" t="s">
        <v>18985</v>
      </c>
      <c r="SWP1" t="s">
        <v>18986</v>
      </c>
      <c r="SWQ1" t="s">
        <v>18987</v>
      </c>
      <c r="SWR1" t="s">
        <v>18988</v>
      </c>
      <c r="SWS1" t="s">
        <v>18989</v>
      </c>
      <c r="SWT1" t="s">
        <v>18990</v>
      </c>
      <c r="SWU1" t="s">
        <v>18991</v>
      </c>
      <c r="SWV1" t="s">
        <v>18992</v>
      </c>
      <c r="SWW1" t="s">
        <v>18993</v>
      </c>
      <c r="SWX1" t="s">
        <v>18994</v>
      </c>
      <c r="SWY1" t="s">
        <v>18995</v>
      </c>
      <c r="SWZ1" t="s">
        <v>18996</v>
      </c>
      <c r="SXA1" t="s">
        <v>18997</v>
      </c>
      <c r="SXB1" t="s">
        <v>18998</v>
      </c>
      <c r="SXC1" t="s">
        <v>18999</v>
      </c>
      <c r="SXD1" t="s">
        <v>19000</v>
      </c>
      <c r="SXE1" t="s">
        <v>19001</v>
      </c>
      <c r="SXF1" t="s">
        <v>19002</v>
      </c>
      <c r="SXG1" t="s">
        <v>19003</v>
      </c>
      <c r="SXH1" t="s">
        <v>19004</v>
      </c>
      <c r="SXI1" t="s">
        <v>19005</v>
      </c>
      <c r="SXJ1" t="s">
        <v>19006</v>
      </c>
      <c r="SXK1" t="s">
        <v>19007</v>
      </c>
      <c r="SXL1" t="s">
        <v>19008</v>
      </c>
      <c r="SXM1" t="s">
        <v>19009</v>
      </c>
      <c r="SXN1" t="s">
        <v>19010</v>
      </c>
      <c r="SXO1" t="s">
        <v>19011</v>
      </c>
      <c r="SXP1" t="s">
        <v>19012</v>
      </c>
      <c r="SXQ1" t="s">
        <v>19013</v>
      </c>
      <c r="SXR1" t="s">
        <v>19014</v>
      </c>
      <c r="SXS1" t="s">
        <v>19015</v>
      </c>
      <c r="SXT1" t="s">
        <v>19016</v>
      </c>
      <c r="SXU1" t="s">
        <v>19017</v>
      </c>
      <c r="SXV1" t="s">
        <v>19018</v>
      </c>
      <c r="SXW1" t="s">
        <v>19019</v>
      </c>
      <c r="SXX1" t="s">
        <v>19020</v>
      </c>
      <c r="SXY1" t="s">
        <v>19021</v>
      </c>
      <c r="SXZ1" t="s">
        <v>19022</v>
      </c>
      <c r="SYA1" t="s">
        <v>19023</v>
      </c>
      <c r="SYB1" t="s">
        <v>19024</v>
      </c>
      <c r="SYC1" t="s">
        <v>19025</v>
      </c>
      <c r="SYD1" t="s">
        <v>19026</v>
      </c>
      <c r="SYE1" t="s">
        <v>19027</v>
      </c>
      <c r="SYF1" t="s">
        <v>19028</v>
      </c>
      <c r="SYG1" t="s">
        <v>19029</v>
      </c>
      <c r="SYH1" t="s">
        <v>19030</v>
      </c>
      <c r="SYI1" t="s">
        <v>19031</v>
      </c>
      <c r="SYJ1" t="s">
        <v>19032</v>
      </c>
      <c r="SYK1" t="s">
        <v>19033</v>
      </c>
      <c r="SYL1" t="s">
        <v>19034</v>
      </c>
      <c r="SYM1" t="s">
        <v>19035</v>
      </c>
      <c r="SYN1" t="s">
        <v>19036</v>
      </c>
      <c r="SYO1" t="s">
        <v>19037</v>
      </c>
      <c r="SYP1" t="s">
        <v>19038</v>
      </c>
      <c r="SYQ1" t="s">
        <v>19039</v>
      </c>
      <c r="SYR1" t="s">
        <v>19040</v>
      </c>
      <c r="SYS1" t="s">
        <v>19041</v>
      </c>
      <c r="SYT1" t="s">
        <v>19042</v>
      </c>
      <c r="SYU1" t="s">
        <v>19043</v>
      </c>
      <c r="SYV1" t="s">
        <v>19044</v>
      </c>
      <c r="SYW1" t="s">
        <v>19045</v>
      </c>
      <c r="SYX1" t="s">
        <v>19046</v>
      </c>
      <c r="SYY1" t="s">
        <v>19047</v>
      </c>
      <c r="SYZ1" t="s">
        <v>19048</v>
      </c>
      <c r="SZA1" t="s">
        <v>19049</v>
      </c>
      <c r="SZB1" t="s">
        <v>19050</v>
      </c>
      <c r="SZC1" t="s">
        <v>19051</v>
      </c>
      <c r="SZD1" t="s">
        <v>19052</v>
      </c>
      <c r="SZE1" t="s">
        <v>19053</v>
      </c>
      <c r="SZF1" t="s">
        <v>19054</v>
      </c>
      <c r="SZG1" t="s">
        <v>19055</v>
      </c>
      <c r="SZH1" t="s">
        <v>19056</v>
      </c>
      <c r="SZI1" t="s">
        <v>19057</v>
      </c>
      <c r="SZJ1" t="s">
        <v>19058</v>
      </c>
      <c r="SZK1" t="s">
        <v>19059</v>
      </c>
      <c r="SZL1" t="s">
        <v>19060</v>
      </c>
      <c r="SZM1" t="s">
        <v>19061</v>
      </c>
      <c r="SZN1" t="s">
        <v>19062</v>
      </c>
      <c r="SZO1" t="s">
        <v>19063</v>
      </c>
      <c r="SZP1" t="s">
        <v>19064</v>
      </c>
      <c r="SZQ1" t="s">
        <v>19065</v>
      </c>
      <c r="SZR1" t="s">
        <v>19066</v>
      </c>
      <c r="SZS1" t="s">
        <v>19067</v>
      </c>
      <c r="SZT1" t="s">
        <v>19068</v>
      </c>
      <c r="SZU1" t="s">
        <v>19069</v>
      </c>
      <c r="SZV1" t="s">
        <v>19070</v>
      </c>
      <c r="SZW1" t="s">
        <v>19071</v>
      </c>
      <c r="SZX1" t="s">
        <v>19072</v>
      </c>
      <c r="SZY1" t="s">
        <v>19073</v>
      </c>
      <c r="SZZ1" t="s">
        <v>19074</v>
      </c>
      <c r="TAA1" t="s">
        <v>19075</v>
      </c>
      <c r="TAB1" t="s">
        <v>19076</v>
      </c>
      <c r="TAC1" t="s">
        <v>19077</v>
      </c>
      <c r="TAD1" t="s">
        <v>19078</v>
      </c>
      <c r="TAE1" t="s">
        <v>19079</v>
      </c>
      <c r="TAF1" t="s">
        <v>19080</v>
      </c>
      <c r="TAG1" t="s">
        <v>19081</v>
      </c>
      <c r="TAH1" t="s">
        <v>19082</v>
      </c>
      <c r="TAI1" t="s">
        <v>19083</v>
      </c>
      <c r="TAJ1" t="s">
        <v>19084</v>
      </c>
      <c r="TAK1" t="s">
        <v>19085</v>
      </c>
      <c r="TAL1" t="s">
        <v>19086</v>
      </c>
      <c r="TAM1" t="s">
        <v>19087</v>
      </c>
      <c r="TAN1" t="s">
        <v>19088</v>
      </c>
      <c r="TAO1" t="s">
        <v>19089</v>
      </c>
      <c r="TAP1" t="s">
        <v>19090</v>
      </c>
      <c r="TAQ1" t="s">
        <v>19091</v>
      </c>
      <c r="TAR1" t="s">
        <v>19092</v>
      </c>
      <c r="TAS1" t="s">
        <v>19093</v>
      </c>
      <c r="TAT1" t="s">
        <v>19094</v>
      </c>
      <c r="TAU1" t="s">
        <v>19095</v>
      </c>
      <c r="TAV1" t="s">
        <v>19096</v>
      </c>
      <c r="TAW1" t="s">
        <v>19097</v>
      </c>
      <c r="TAX1" t="s">
        <v>19098</v>
      </c>
      <c r="TAY1" t="s">
        <v>19099</v>
      </c>
      <c r="TAZ1" t="s">
        <v>19100</v>
      </c>
      <c r="TBA1" t="s">
        <v>19101</v>
      </c>
      <c r="TBB1" t="s">
        <v>19102</v>
      </c>
      <c r="TBC1" t="s">
        <v>19103</v>
      </c>
      <c r="TBD1" t="s">
        <v>19104</v>
      </c>
      <c r="TBE1" t="s">
        <v>19105</v>
      </c>
      <c r="TBF1" t="s">
        <v>19106</v>
      </c>
      <c r="TBG1" t="s">
        <v>19107</v>
      </c>
      <c r="TBH1" t="s">
        <v>19108</v>
      </c>
      <c r="TBI1" t="s">
        <v>19109</v>
      </c>
      <c r="TBJ1" t="s">
        <v>19110</v>
      </c>
      <c r="TBK1" t="s">
        <v>19111</v>
      </c>
      <c r="TBL1" t="s">
        <v>19112</v>
      </c>
      <c r="TBM1" t="s">
        <v>19113</v>
      </c>
      <c r="TBN1" t="s">
        <v>19114</v>
      </c>
      <c r="TBO1" t="s">
        <v>19115</v>
      </c>
      <c r="TBP1" t="s">
        <v>19116</v>
      </c>
      <c r="TBQ1" t="s">
        <v>19117</v>
      </c>
      <c r="TBR1" t="s">
        <v>19118</v>
      </c>
      <c r="TBS1" t="s">
        <v>19119</v>
      </c>
      <c r="TBT1" t="s">
        <v>19120</v>
      </c>
      <c r="TBU1" t="s">
        <v>19121</v>
      </c>
      <c r="TBV1" t="s">
        <v>19122</v>
      </c>
      <c r="TBW1" t="s">
        <v>19123</v>
      </c>
      <c r="TBX1" t="s">
        <v>19124</v>
      </c>
      <c r="TBY1" t="s">
        <v>19125</v>
      </c>
      <c r="TBZ1" t="s">
        <v>19126</v>
      </c>
      <c r="TCA1" t="s">
        <v>19127</v>
      </c>
      <c r="TCB1" t="s">
        <v>19128</v>
      </c>
      <c r="TCC1" t="s">
        <v>19129</v>
      </c>
      <c r="TCD1" t="s">
        <v>19130</v>
      </c>
      <c r="TCE1" t="s">
        <v>19131</v>
      </c>
      <c r="TCF1" t="s">
        <v>19132</v>
      </c>
      <c r="TCG1" t="s">
        <v>19133</v>
      </c>
      <c r="TCH1" t="s">
        <v>19134</v>
      </c>
      <c r="TCI1" t="s">
        <v>19135</v>
      </c>
      <c r="TCJ1" t="s">
        <v>19136</v>
      </c>
      <c r="TCK1" t="s">
        <v>19137</v>
      </c>
      <c r="TCL1" t="s">
        <v>19138</v>
      </c>
      <c r="TCM1" t="s">
        <v>19139</v>
      </c>
      <c r="TCN1" t="s">
        <v>19140</v>
      </c>
      <c r="TCO1" t="s">
        <v>19141</v>
      </c>
      <c r="TCP1" t="s">
        <v>19142</v>
      </c>
      <c r="TCQ1" t="s">
        <v>19143</v>
      </c>
      <c r="TCR1" t="s">
        <v>19144</v>
      </c>
      <c r="TCS1" t="s">
        <v>19145</v>
      </c>
      <c r="TCT1" t="s">
        <v>19146</v>
      </c>
      <c r="TCU1" t="s">
        <v>19147</v>
      </c>
      <c r="TCV1" t="s">
        <v>19148</v>
      </c>
      <c r="TCW1" t="s">
        <v>19149</v>
      </c>
      <c r="TCX1" t="s">
        <v>19150</v>
      </c>
      <c r="TCY1" t="s">
        <v>19151</v>
      </c>
      <c r="TCZ1" t="s">
        <v>19152</v>
      </c>
      <c r="TDA1" t="s">
        <v>19153</v>
      </c>
      <c r="TDB1" t="s">
        <v>19154</v>
      </c>
      <c r="TDC1" t="s">
        <v>19155</v>
      </c>
      <c r="TDD1" t="s">
        <v>19156</v>
      </c>
      <c r="TDE1" t="s">
        <v>19157</v>
      </c>
      <c r="TDF1" t="s">
        <v>19158</v>
      </c>
      <c r="TDG1" t="s">
        <v>19159</v>
      </c>
      <c r="TDH1" t="s">
        <v>19160</v>
      </c>
      <c r="TDI1" t="s">
        <v>19161</v>
      </c>
      <c r="TDJ1" t="s">
        <v>19162</v>
      </c>
      <c r="TDK1" t="s">
        <v>19163</v>
      </c>
      <c r="TDL1" t="s">
        <v>19164</v>
      </c>
      <c r="TDM1" t="s">
        <v>19165</v>
      </c>
      <c r="TDN1" t="s">
        <v>19166</v>
      </c>
      <c r="TDO1" t="s">
        <v>19167</v>
      </c>
      <c r="TDP1" t="s">
        <v>19168</v>
      </c>
      <c r="TDQ1" t="s">
        <v>19169</v>
      </c>
      <c r="TDR1" t="s">
        <v>19170</v>
      </c>
      <c r="TDS1" t="s">
        <v>19171</v>
      </c>
      <c r="TDT1" t="s">
        <v>19172</v>
      </c>
      <c r="TDU1" t="s">
        <v>19173</v>
      </c>
      <c r="TDV1" t="s">
        <v>19174</v>
      </c>
      <c r="TDW1" t="s">
        <v>19175</v>
      </c>
      <c r="TDX1" t="s">
        <v>19176</v>
      </c>
      <c r="TDY1" t="s">
        <v>19177</v>
      </c>
      <c r="TDZ1" t="s">
        <v>19178</v>
      </c>
      <c r="TEA1" t="s">
        <v>19179</v>
      </c>
      <c r="TEB1" t="s">
        <v>19180</v>
      </c>
      <c r="TEC1" t="s">
        <v>19181</v>
      </c>
      <c r="TED1" t="s">
        <v>19182</v>
      </c>
      <c r="TEE1" t="s">
        <v>19183</v>
      </c>
      <c r="TEF1" t="s">
        <v>19184</v>
      </c>
      <c r="TEG1" t="s">
        <v>19185</v>
      </c>
      <c r="TEH1" t="s">
        <v>19186</v>
      </c>
      <c r="TEI1" t="s">
        <v>19187</v>
      </c>
      <c r="TEJ1" t="s">
        <v>19188</v>
      </c>
      <c r="TEK1" t="s">
        <v>19189</v>
      </c>
      <c r="TEL1" t="s">
        <v>19190</v>
      </c>
      <c r="TEM1" t="s">
        <v>19191</v>
      </c>
      <c r="TEN1" t="s">
        <v>19192</v>
      </c>
      <c r="TEO1" t="s">
        <v>19193</v>
      </c>
      <c r="TEP1" t="s">
        <v>19194</v>
      </c>
      <c r="TEQ1" t="s">
        <v>19195</v>
      </c>
      <c r="TER1" t="s">
        <v>19196</v>
      </c>
      <c r="TES1" t="s">
        <v>19197</v>
      </c>
      <c r="TET1" t="s">
        <v>19198</v>
      </c>
      <c r="TEU1" t="s">
        <v>19199</v>
      </c>
      <c r="TEV1" t="s">
        <v>19200</v>
      </c>
      <c r="TEW1" t="s">
        <v>19201</v>
      </c>
      <c r="TEX1" t="s">
        <v>19202</v>
      </c>
      <c r="TEY1" t="s">
        <v>19203</v>
      </c>
      <c r="TEZ1" t="s">
        <v>19204</v>
      </c>
      <c r="TFA1" t="s">
        <v>19205</v>
      </c>
      <c r="TFB1" t="s">
        <v>19206</v>
      </c>
      <c r="TFC1" t="s">
        <v>19207</v>
      </c>
      <c r="TFD1" t="s">
        <v>19208</v>
      </c>
      <c r="TFE1" t="s">
        <v>19209</v>
      </c>
      <c r="TFF1" t="s">
        <v>19210</v>
      </c>
      <c r="TFG1" t="s">
        <v>19211</v>
      </c>
      <c r="TFH1" t="s">
        <v>19212</v>
      </c>
      <c r="TFI1" t="s">
        <v>19213</v>
      </c>
      <c r="TFJ1" t="s">
        <v>19214</v>
      </c>
      <c r="TFK1" t="s">
        <v>19215</v>
      </c>
      <c r="TFL1" t="s">
        <v>19216</v>
      </c>
      <c r="TFM1" t="s">
        <v>19217</v>
      </c>
      <c r="TFN1" t="s">
        <v>19218</v>
      </c>
      <c r="TFO1" t="s">
        <v>19219</v>
      </c>
      <c r="TFP1" t="s">
        <v>19220</v>
      </c>
      <c r="TFQ1" t="s">
        <v>19221</v>
      </c>
      <c r="TFR1" t="s">
        <v>19222</v>
      </c>
      <c r="TFS1" t="s">
        <v>19223</v>
      </c>
      <c r="TFT1" t="s">
        <v>19224</v>
      </c>
      <c r="TFU1" t="s">
        <v>19225</v>
      </c>
      <c r="TFV1" t="s">
        <v>19226</v>
      </c>
      <c r="TFW1" t="s">
        <v>19227</v>
      </c>
      <c r="TFX1" t="s">
        <v>19228</v>
      </c>
      <c r="TFY1" t="s">
        <v>19229</v>
      </c>
      <c r="TFZ1" t="s">
        <v>19230</v>
      </c>
      <c r="TGA1" t="s">
        <v>19231</v>
      </c>
      <c r="TGB1" t="s">
        <v>19232</v>
      </c>
      <c r="TGC1" t="s">
        <v>19233</v>
      </c>
      <c r="TGD1" t="s">
        <v>19234</v>
      </c>
      <c r="TGE1" t="s">
        <v>19235</v>
      </c>
      <c r="TGF1" t="s">
        <v>19236</v>
      </c>
      <c r="TGG1" t="s">
        <v>19237</v>
      </c>
      <c r="TGH1" t="s">
        <v>19238</v>
      </c>
      <c r="TGI1" t="s">
        <v>19239</v>
      </c>
      <c r="TGJ1" t="s">
        <v>19240</v>
      </c>
      <c r="TGK1" t="s">
        <v>19241</v>
      </c>
      <c r="TGL1" t="s">
        <v>19242</v>
      </c>
      <c r="TGM1" t="s">
        <v>19243</v>
      </c>
      <c r="TGN1" t="s">
        <v>19244</v>
      </c>
      <c r="TGO1" t="s">
        <v>19245</v>
      </c>
      <c r="TGP1" t="s">
        <v>19246</v>
      </c>
      <c r="TGQ1" t="s">
        <v>19247</v>
      </c>
      <c r="TGR1" t="s">
        <v>19248</v>
      </c>
      <c r="TGS1" t="s">
        <v>19249</v>
      </c>
      <c r="TGT1" t="s">
        <v>19250</v>
      </c>
      <c r="TGU1" t="s">
        <v>19251</v>
      </c>
      <c r="TGV1" t="s">
        <v>19252</v>
      </c>
      <c r="TGW1" t="s">
        <v>19253</v>
      </c>
      <c r="TGX1" t="s">
        <v>19254</v>
      </c>
      <c r="TGY1" t="s">
        <v>19255</v>
      </c>
      <c r="TGZ1" t="s">
        <v>19256</v>
      </c>
      <c r="THA1" t="s">
        <v>19257</v>
      </c>
      <c r="THB1" t="s">
        <v>19258</v>
      </c>
      <c r="THC1" t="s">
        <v>19259</v>
      </c>
      <c r="THD1" t="s">
        <v>19260</v>
      </c>
      <c r="THE1" t="s">
        <v>19261</v>
      </c>
      <c r="THF1" t="s">
        <v>19262</v>
      </c>
      <c r="THG1" t="s">
        <v>19263</v>
      </c>
      <c r="THH1" t="s">
        <v>19264</v>
      </c>
      <c r="THI1" t="s">
        <v>19265</v>
      </c>
      <c r="THJ1" t="s">
        <v>19266</v>
      </c>
      <c r="THK1" t="s">
        <v>19267</v>
      </c>
      <c r="THL1" t="s">
        <v>19268</v>
      </c>
      <c r="THM1" t="s">
        <v>19269</v>
      </c>
      <c r="THN1" t="s">
        <v>19270</v>
      </c>
      <c r="THO1" t="s">
        <v>19271</v>
      </c>
      <c r="THP1" t="s">
        <v>19272</v>
      </c>
      <c r="THQ1" t="s">
        <v>19273</v>
      </c>
      <c r="THR1" t="s">
        <v>19274</v>
      </c>
      <c r="THS1" t="s">
        <v>19275</v>
      </c>
      <c r="THT1" t="s">
        <v>19276</v>
      </c>
      <c r="THU1" t="s">
        <v>19277</v>
      </c>
      <c r="THV1" t="s">
        <v>19278</v>
      </c>
      <c r="THW1" t="s">
        <v>19279</v>
      </c>
      <c r="THX1" t="s">
        <v>19280</v>
      </c>
      <c r="THY1" t="s">
        <v>19281</v>
      </c>
      <c r="THZ1" t="s">
        <v>19282</v>
      </c>
      <c r="TIA1" t="s">
        <v>19283</v>
      </c>
      <c r="TIB1" t="s">
        <v>19284</v>
      </c>
      <c r="TIC1" t="s">
        <v>19285</v>
      </c>
      <c r="TID1" t="s">
        <v>19286</v>
      </c>
      <c r="TIE1" t="s">
        <v>19287</v>
      </c>
      <c r="TIF1" t="s">
        <v>19288</v>
      </c>
      <c r="TIG1" t="s">
        <v>19289</v>
      </c>
      <c r="TIH1" t="s">
        <v>19290</v>
      </c>
      <c r="TII1" t="s">
        <v>19291</v>
      </c>
      <c r="TIJ1" t="s">
        <v>19292</v>
      </c>
      <c r="TIK1" t="s">
        <v>19293</v>
      </c>
      <c r="TIL1" t="s">
        <v>19294</v>
      </c>
      <c r="TIM1" t="s">
        <v>19295</v>
      </c>
      <c r="TIN1" t="s">
        <v>19296</v>
      </c>
      <c r="TIO1" t="s">
        <v>19297</v>
      </c>
      <c r="TIP1" t="s">
        <v>19298</v>
      </c>
      <c r="TIQ1" t="s">
        <v>19299</v>
      </c>
      <c r="TIR1" t="s">
        <v>19300</v>
      </c>
      <c r="TIS1" t="s">
        <v>19301</v>
      </c>
      <c r="TIT1" t="s">
        <v>19302</v>
      </c>
      <c r="TIU1" t="s">
        <v>19303</v>
      </c>
      <c r="TIV1" t="s">
        <v>19304</v>
      </c>
      <c r="TIW1" t="s">
        <v>19305</v>
      </c>
      <c r="TIX1" t="s">
        <v>19306</v>
      </c>
      <c r="TIY1" t="s">
        <v>19307</v>
      </c>
      <c r="TIZ1" t="s">
        <v>19308</v>
      </c>
      <c r="TJA1" t="s">
        <v>19309</v>
      </c>
      <c r="TJB1" t="s">
        <v>19310</v>
      </c>
      <c r="TJC1" t="s">
        <v>19311</v>
      </c>
      <c r="TJD1" t="s">
        <v>19312</v>
      </c>
      <c r="TJE1" t="s">
        <v>19313</v>
      </c>
      <c r="TJF1" t="s">
        <v>19314</v>
      </c>
      <c r="TJG1" t="s">
        <v>19315</v>
      </c>
      <c r="TJH1" t="s">
        <v>19316</v>
      </c>
      <c r="TJI1" t="s">
        <v>19317</v>
      </c>
      <c r="TJJ1" t="s">
        <v>19318</v>
      </c>
      <c r="TJK1" t="s">
        <v>19319</v>
      </c>
      <c r="TJL1" t="s">
        <v>19320</v>
      </c>
      <c r="TJM1" t="s">
        <v>19321</v>
      </c>
      <c r="TJN1" t="s">
        <v>19322</v>
      </c>
      <c r="TJO1" t="s">
        <v>19323</v>
      </c>
      <c r="TJP1" t="s">
        <v>19324</v>
      </c>
      <c r="TJQ1" t="s">
        <v>19325</v>
      </c>
      <c r="TJR1" t="s">
        <v>19326</v>
      </c>
      <c r="TJS1" t="s">
        <v>19327</v>
      </c>
      <c r="TJT1" t="s">
        <v>19328</v>
      </c>
      <c r="TJU1" t="s">
        <v>19329</v>
      </c>
      <c r="TJV1" t="s">
        <v>19330</v>
      </c>
      <c r="TJW1" t="s">
        <v>19331</v>
      </c>
      <c r="TJX1" t="s">
        <v>19332</v>
      </c>
      <c r="TJY1" t="s">
        <v>19333</v>
      </c>
      <c r="TJZ1" t="s">
        <v>19334</v>
      </c>
      <c r="TKA1" t="s">
        <v>19335</v>
      </c>
      <c r="TKB1" t="s">
        <v>19336</v>
      </c>
      <c r="TKC1" t="s">
        <v>19337</v>
      </c>
      <c r="TKD1" t="s">
        <v>19338</v>
      </c>
      <c r="TKE1" t="s">
        <v>19339</v>
      </c>
      <c r="TKF1" t="s">
        <v>19340</v>
      </c>
      <c r="TKG1" t="s">
        <v>19341</v>
      </c>
      <c r="TKH1" t="s">
        <v>19342</v>
      </c>
      <c r="TKI1" t="s">
        <v>19343</v>
      </c>
      <c r="TKJ1" t="s">
        <v>19344</v>
      </c>
      <c r="TKK1" t="s">
        <v>19345</v>
      </c>
      <c r="TKL1" t="s">
        <v>19346</v>
      </c>
      <c r="TKM1" t="s">
        <v>19347</v>
      </c>
      <c r="TKN1" t="s">
        <v>19348</v>
      </c>
      <c r="TKO1" t="s">
        <v>19349</v>
      </c>
      <c r="TKP1" t="s">
        <v>19350</v>
      </c>
      <c r="TKQ1" t="s">
        <v>19351</v>
      </c>
      <c r="TKR1" t="s">
        <v>19352</v>
      </c>
      <c r="TKS1" t="s">
        <v>19353</v>
      </c>
      <c r="TKT1" t="s">
        <v>19354</v>
      </c>
      <c r="TKU1" t="s">
        <v>19355</v>
      </c>
      <c r="TKV1" t="s">
        <v>19356</v>
      </c>
      <c r="TKW1" t="s">
        <v>19357</v>
      </c>
      <c r="TKX1" t="s">
        <v>19358</v>
      </c>
      <c r="TKY1" t="s">
        <v>19359</v>
      </c>
      <c r="TKZ1" t="s">
        <v>19360</v>
      </c>
      <c r="TLA1" t="s">
        <v>19361</v>
      </c>
      <c r="TLB1" t="s">
        <v>19362</v>
      </c>
      <c r="TLC1" t="s">
        <v>19363</v>
      </c>
      <c r="TLD1" t="s">
        <v>19364</v>
      </c>
      <c r="TLE1" t="s">
        <v>19365</v>
      </c>
      <c r="TLF1" t="s">
        <v>19366</v>
      </c>
      <c r="TLG1" t="s">
        <v>19367</v>
      </c>
      <c r="TLH1" t="s">
        <v>19368</v>
      </c>
      <c r="TLI1" t="s">
        <v>19369</v>
      </c>
      <c r="TLJ1" t="s">
        <v>19370</v>
      </c>
      <c r="TLK1" t="s">
        <v>19371</v>
      </c>
      <c r="TLL1" t="s">
        <v>19372</v>
      </c>
      <c r="TLM1" t="s">
        <v>19373</v>
      </c>
      <c r="TLN1" t="s">
        <v>19374</v>
      </c>
      <c r="TLO1" t="s">
        <v>19375</v>
      </c>
      <c r="TLP1" t="s">
        <v>19376</v>
      </c>
      <c r="TLQ1" t="s">
        <v>19377</v>
      </c>
      <c r="TLR1" t="s">
        <v>19378</v>
      </c>
      <c r="TLS1" t="s">
        <v>19379</v>
      </c>
      <c r="TLT1" t="s">
        <v>19380</v>
      </c>
      <c r="TLU1" t="s">
        <v>19381</v>
      </c>
      <c r="TLV1" t="s">
        <v>19382</v>
      </c>
      <c r="TLW1" t="s">
        <v>19383</v>
      </c>
      <c r="TLX1" t="s">
        <v>19384</v>
      </c>
      <c r="TLY1" t="s">
        <v>19385</v>
      </c>
      <c r="TLZ1" t="s">
        <v>19386</v>
      </c>
      <c r="TMA1" t="s">
        <v>19387</v>
      </c>
      <c r="TMB1" t="s">
        <v>19388</v>
      </c>
      <c r="TMC1" t="s">
        <v>19389</v>
      </c>
      <c r="TMD1" t="s">
        <v>19390</v>
      </c>
      <c r="TME1" t="s">
        <v>19391</v>
      </c>
      <c r="TMF1" t="s">
        <v>19392</v>
      </c>
      <c r="TMG1" t="s">
        <v>19393</v>
      </c>
      <c r="TMH1" t="s">
        <v>19394</v>
      </c>
      <c r="TMI1" t="s">
        <v>19395</v>
      </c>
      <c r="TMJ1" t="s">
        <v>19396</v>
      </c>
      <c r="TMK1" t="s">
        <v>19397</v>
      </c>
      <c r="TML1" t="s">
        <v>19398</v>
      </c>
      <c r="TMM1" t="s">
        <v>19399</v>
      </c>
      <c r="TMN1" t="s">
        <v>19400</v>
      </c>
      <c r="TMO1" t="s">
        <v>19401</v>
      </c>
      <c r="TMP1" t="s">
        <v>19402</v>
      </c>
      <c r="TMQ1" t="s">
        <v>19403</v>
      </c>
      <c r="TMR1" t="s">
        <v>19404</v>
      </c>
      <c r="TMS1" t="s">
        <v>19405</v>
      </c>
      <c r="TMT1" t="s">
        <v>19406</v>
      </c>
      <c r="TMU1" t="s">
        <v>19407</v>
      </c>
      <c r="TMV1" t="s">
        <v>19408</v>
      </c>
      <c r="TMW1" t="s">
        <v>19409</v>
      </c>
      <c r="TMX1" t="s">
        <v>19410</v>
      </c>
      <c r="TMY1" t="s">
        <v>19411</v>
      </c>
      <c r="TMZ1" t="s">
        <v>19412</v>
      </c>
      <c r="TNA1" t="s">
        <v>19413</v>
      </c>
      <c r="TNB1" t="s">
        <v>19414</v>
      </c>
      <c r="TNC1" t="s">
        <v>19415</v>
      </c>
      <c r="TND1" t="s">
        <v>19416</v>
      </c>
      <c r="TNE1" t="s">
        <v>19417</v>
      </c>
      <c r="TNF1" t="s">
        <v>19418</v>
      </c>
      <c r="TNG1" t="s">
        <v>19419</v>
      </c>
      <c r="TNH1" t="s">
        <v>19420</v>
      </c>
      <c r="TNI1" t="s">
        <v>19421</v>
      </c>
      <c r="TNJ1" t="s">
        <v>19422</v>
      </c>
      <c r="TNK1" t="s">
        <v>19423</v>
      </c>
      <c r="TNL1" t="s">
        <v>19424</v>
      </c>
      <c r="TNM1" t="s">
        <v>19425</v>
      </c>
      <c r="TNN1" t="s">
        <v>19426</v>
      </c>
      <c r="TNO1" t="s">
        <v>19427</v>
      </c>
      <c r="TNP1" t="s">
        <v>19428</v>
      </c>
      <c r="TNQ1" t="s">
        <v>19429</v>
      </c>
      <c r="TNR1" t="s">
        <v>19430</v>
      </c>
      <c r="TNS1" t="s">
        <v>19431</v>
      </c>
      <c r="TNT1" t="s">
        <v>19432</v>
      </c>
      <c r="TNU1" t="s">
        <v>19433</v>
      </c>
      <c r="TNV1" t="s">
        <v>19434</v>
      </c>
      <c r="TNW1" t="s">
        <v>19435</v>
      </c>
      <c r="TNX1" t="s">
        <v>19436</v>
      </c>
      <c r="TNY1" t="s">
        <v>19437</v>
      </c>
      <c r="TNZ1" t="s">
        <v>19438</v>
      </c>
      <c r="TOA1" t="s">
        <v>19439</v>
      </c>
      <c r="TOB1" t="s">
        <v>19440</v>
      </c>
      <c r="TOC1" t="s">
        <v>19441</v>
      </c>
      <c r="TOD1" t="s">
        <v>19442</v>
      </c>
      <c r="TOE1" t="s">
        <v>19443</v>
      </c>
      <c r="TOF1" t="s">
        <v>19444</v>
      </c>
      <c r="TOG1" t="s">
        <v>19445</v>
      </c>
      <c r="TOH1" t="s">
        <v>19446</v>
      </c>
      <c r="TOI1" t="s">
        <v>19447</v>
      </c>
      <c r="TOJ1" t="s">
        <v>19448</v>
      </c>
      <c r="TOK1" t="s">
        <v>19449</v>
      </c>
      <c r="TOL1" t="s">
        <v>19450</v>
      </c>
      <c r="TOM1" t="s">
        <v>19451</v>
      </c>
      <c r="TON1" t="s">
        <v>19452</v>
      </c>
      <c r="TOO1" t="s">
        <v>19453</v>
      </c>
      <c r="TOP1" t="s">
        <v>19454</v>
      </c>
      <c r="TOQ1" t="s">
        <v>19455</v>
      </c>
      <c r="TOR1" t="s">
        <v>19456</v>
      </c>
      <c r="TOS1" t="s">
        <v>19457</v>
      </c>
      <c r="TOT1" t="s">
        <v>19458</v>
      </c>
      <c r="TOU1" t="s">
        <v>19459</v>
      </c>
      <c r="TOV1" t="s">
        <v>19460</v>
      </c>
      <c r="TOW1" t="s">
        <v>19461</v>
      </c>
      <c r="TOX1" t="s">
        <v>19462</v>
      </c>
      <c r="TOY1" t="s">
        <v>19463</v>
      </c>
      <c r="TOZ1" t="s">
        <v>19464</v>
      </c>
      <c r="TPA1" t="s">
        <v>19465</v>
      </c>
      <c r="TPB1" t="s">
        <v>19466</v>
      </c>
      <c r="TPC1" t="s">
        <v>19467</v>
      </c>
      <c r="TPD1" t="s">
        <v>19468</v>
      </c>
      <c r="TPE1" t="s">
        <v>19469</v>
      </c>
      <c r="TPF1" t="s">
        <v>19470</v>
      </c>
      <c r="TPG1" t="s">
        <v>19471</v>
      </c>
      <c r="TPH1" t="s">
        <v>19472</v>
      </c>
      <c r="TPI1" t="s">
        <v>19473</v>
      </c>
      <c r="TPJ1" t="s">
        <v>19474</v>
      </c>
      <c r="TPK1" t="s">
        <v>19475</v>
      </c>
      <c r="TPL1" t="s">
        <v>19476</v>
      </c>
      <c r="TPM1" t="s">
        <v>19477</v>
      </c>
      <c r="TPN1" t="s">
        <v>19478</v>
      </c>
      <c r="TPO1" t="s">
        <v>19479</v>
      </c>
      <c r="TPP1" t="s">
        <v>19480</v>
      </c>
      <c r="TPQ1" t="s">
        <v>19481</v>
      </c>
      <c r="TPR1" t="s">
        <v>19482</v>
      </c>
      <c r="TPS1" t="s">
        <v>19483</v>
      </c>
      <c r="TPT1" t="s">
        <v>19484</v>
      </c>
      <c r="TPU1" t="s">
        <v>19485</v>
      </c>
      <c r="TPV1" t="s">
        <v>19486</v>
      </c>
      <c r="TPW1" t="s">
        <v>19487</v>
      </c>
      <c r="TPX1" t="s">
        <v>19488</v>
      </c>
      <c r="TPY1" t="s">
        <v>19489</v>
      </c>
      <c r="TPZ1" t="s">
        <v>19490</v>
      </c>
      <c r="TQA1" t="s">
        <v>19491</v>
      </c>
      <c r="TQB1" t="s">
        <v>19492</v>
      </c>
      <c r="TQC1" t="s">
        <v>19493</v>
      </c>
      <c r="TQD1" t="s">
        <v>19494</v>
      </c>
      <c r="TQE1" t="s">
        <v>19495</v>
      </c>
      <c r="TQF1" t="s">
        <v>19496</v>
      </c>
      <c r="TQG1" t="s">
        <v>19497</v>
      </c>
      <c r="TQH1" t="s">
        <v>19498</v>
      </c>
      <c r="TQI1" t="s">
        <v>19499</v>
      </c>
      <c r="TQJ1" t="s">
        <v>19500</v>
      </c>
      <c r="TQK1" t="s">
        <v>19501</v>
      </c>
      <c r="TQL1" t="s">
        <v>19502</v>
      </c>
      <c r="TQM1" t="s">
        <v>19503</v>
      </c>
      <c r="TQN1" t="s">
        <v>19504</v>
      </c>
      <c r="TQO1" t="s">
        <v>19505</v>
      </c>
      <c r="TQP1" t="s">
        <v>19506</v>
      </c>
      <c r="TQQ1" t="s">
        <v>19507</v>
      </c>
      <c r="TQR1" t="s">
        <v>19508</v>
      </c>
      <c r="TQS1" t="s">
        <v>19509</v>
      </c>
      <c r="TQT1" t="s">
        <v>19510</v>
      </c>
      <c r="TQU1" t="s">
        <v>19511</v>
      </c>
      <c r="TQV1" t="s">
        <v>19512</v>
      </c>
      <c r="TQW1" t="s">
        <v>19513</v>
      </c>
      <c r="TQX1" t="s">
        <v>19514</v>
      </c>
      <c r="TQY1" t="s">
        <v>19515</v>
      </c>
      <c r="TQZ1" t="s">
        <v>19516</v>
      </c>
      <c r="TRA1" t="s">
        <v>19517</v>
      </c>
      <c r="TRB1" t="s">
        <v>19518</v>
      </c>
      <c r="TRC1" t="s">
        <v>19519</v>
      </c>
      <c r="TRD1" t="s">
        <v>19520</v>
      </c>
      <c r="TRE1" t="s">
        <v>19521</v>
      </c>
      <c r="TRF1" t="s">
        <v>19522</v>
      </c>
      <c r="TRG1" t="s">
        <v>19523</v>
      </c>
      <c r="TRH1" t="s">
        <v>19524</v>
      </c>
      <c r="TRI1" t="s">
        <v>19525</v>
      </c>
      <c r="TRJ1" t="s">
        <v>19526</v>
      </c>
      <c r="TRK1" t="s">
        <v>19527</v>
      </c>
      <c r="TRL1" t="s">
        <v>19528</v>
      </c>
      <c r="TRM1" t="s">
        <v>19529</v>
      </c>
      <c r="TRN1" t="s">
        <v>19530</v>
      </c>
      <c r="TRO1" t="s">
        <v>19531</v>
      </c>
      <c r="TRP1" t="s">
        <v>19532</v>
      </c>
      <c r="TRQ1" t="s">
        <v>19533</v>
      </c>
      <c r="TRR1" t="s">
        <v>19534</v>
      </c>
      <c r="TRS1" t="s">
        <v>19535</v>
      </c>
      <c r="TRT1" t="s">
        <v>19536</v>
      </c>
      <c r="TRU1" t="s">
        <v>19537</v>
      </c>
      <c r="TRV1" t="s">
        <v>19538</v>
      </c>
      <c r="TRW1" t="s">
        <v>19539</v>
      </c>
      <c r="TRX1" t="s">
        <v>19540</v>
      </c>
      <c r="TRY1" t="s">
        <v>19541</v>
      </c>
      <c r="TRZ1" t="s">
        <v>19542</v>
      </c>
      <c r="TSA1" t="s">
        <v>19543</v>
      </c>
      <c r="TSB1" t="s">
        <v>19544</v>
      </c>
      <c r="TSC1" t="s">
        <v>19545</v>
      </c>
      <c r="TSD1" t="s">
        <v>19546</v>
      </c>
      <c r="TSE1" t="s">
        <v>19547</v>
      </c>
      <c r="TSF1" t="s">
        <v>19548</v>
      </c>
      <c r="TSG1" t="s">
        <v>19549</v>
      </c>
      <c r="TSH1" t="s">
        <v>19550</v>
      </c>
      <c r="TSI1" t="s">
        <v>19551</v>
      </c>
      <c r="TSJ1" t="s">
        <v>19552</v>
      </c>
      <c r="TSK1" t="s">
        <v>19553</v>
      </c>
      <c r="TSL1" t="s">
        <v>19554</v>
      </c>
      <c r="TSM1" t="s">
        <v>19555</v>
      </c>
      <c r="TSN1" t="s">
        <v>19556</v>
      </c>
      <c r="TSO1" t="s">
        <v>19557</v>
      </c>
      <c r="TSP1" t="s">
        <v>19558</v>
      </c>
      <c r="TSQ1" t="s">
        <v>19559</v>
      </c>
      <c r="TSR1" t="s">
        <v>19560</v>
      </c>
      <c r="TSS1" t="s">
        <v>19561</v>
      </c>
      <c r="TST1" t="s">
        <v>19562</v>
      </c>
      <c r="TSU1" t="s">
        <v>19563</v>
      </c>
      <c r="TSV1" t="s">
        <v>19564</v>
      </c>
      <c r="TSW1" t="s">
        <v>19565</v>
      </c>
      <c r="TSX1" t="s">
        <v>19566</v>
      </c>
      <c r="TSY1" t="s">
        <v>19567</v>
      </c>
      <c r="TSZ1" t="s">
        <v>19568</v>
      </c>
      <c r="TTA1" t="s">
        <v>19569</v>
      </c>
      <c r="TTB1" t="s">
        <v>19570</v>
      </c>
      <c r="TTC1" t="s">
        <v>19571</v>
      </c>
      <c r="TTD1" t="s">
        <v>19572</v>
      </c>
      <c r="TTE1" t="s">
        <v>19573</v>
      </c>
      <c r="TTF1" t="s">
        <v>19574</v>
      </c>
      <c r="TTG1" t="s">
        <v>19575</v>
      </c>
      <c r="TTH1" t="s">
        <v>19576</v>
      </c>
      <c r="TTI1" t="s">
        <v>19577</v>
      </c>
      <c r="TTJ1" t="s">
        <v>19578</v>
      </c>
      <c r="TTK1" t="s">
        <v>19579</v>
      </c>
      <c r="TTL1" t="s">
        <v>19580</v>
      </c>
      <c r="TTM1" t="s">
        <v>19581</v>
      </c>
      <c r="TTN1" t="s">
        <v>19582</v>
      </c>
      <c r="TTO1" t="s">
        <v>19583</v>
      </c>
      <c r="TTP1" t="s">
        <v>19584</v>
      </c>
      <c r="TTQ1" t="s">
        <v>19585</v>
      </c>
      <c r="TTR1" t="s">
        <v>19586</v>
      </c>
      <c r="TTS1" t="s">
        <v>19587</v>
      </c>
      <c r="TTT1" t="s">
        <v>19588</v>
      </c>
      <c r="TTU1" t="s">
        <v>19589</v>
      </c>
      <c r="TTV1" t="s">
        <v>19590</v>
      </c>
      <c r="TTW1" t="s">
        <v>19591</v>
      </c>
      <c r="TTX1" t="s">
        <v>19592</v>
      </c>
      <c r="TTY1" t="s">
        <v>19593</v>
      </c>
      <c r="TTZ1" t="s">
        <v>19594</v>
      </c>
      <c r="TUA1" t="s">
        <v>19595</v>
      </c>
      <c r="TUB1" t="s">
        <v>19596</v>
      </c>
      <c r="TUC1" t="s">
        <v>19597</v>
      </c>
      <c r="TUD1" t="s">
        <v>19598</v>
      </c>
      <c r="TUE1" t="s">
        <v>19599</v>
      </c>
      <c r="TUF1" t="s">
        <v>19600</v>
      </c>
      <c r="TUG1" t="s">
        <v>19601</v>
      </c>
      <c r="TUH1" t="s">
        <v>19602</v>
      </c>
      <c r="TUI1" t="s">
        <v>19603</v>
      </c>
      <c r="TUJ1" t="s">
        <v>19604</v>
      </c>
      <c r="TUK1" t="s">
        <v>19605</v>
      </c>
      <c r="TUL1" t="s">
        <v>19606</v>
      </c>
      <c r="TUM1" t="s">
        <v>19607</v>
      </c>
      <c r="TUN1" t="s">
        <v>19608</v>
      </c>
      <c r="TUO1" t="s">
        <v>19609</v>
      </c>
      <c r="TUP1" t="s">
        <v>19610</v>
      </c>
      <c r="TUQ1" t="s">
        <v>19611</v>
      </c>
      <c r="TUR1" t="s">
        <v>19612</v>
      </c>
      <c r="TUS1" t="s">
        <v>19613</v>
      </c>
      <c r="TUT1" t="s">
        <v>19614</v>
      </c>
      <c r="TUU1" t="s">
        <v>19615</v>
      </c>
      <c r="TUV1" t="s">
        <v>19616</v>
      </c>
      <c r="TUW1" t="s">
        <v>19617</v>
      </c>
      <c r="TUX1" t="s">
        <v>19618</v>
      </c>
      <c r="TUY1" t="s">
        <v>19619</v>
      </c>
      <c r="TUZ1" t="s">
        <v>19620</v>
      </c>
      <c r="TVA1" t="s">
        <v>19621</v>
      </c>
      <c r="TVB1" t="s">
        <v>19622</v>
      </c>
      <c r="TVC1" t="s">
        <v>19623</v>
      </c>
      <c r="TVD1" t="s">
        <v>19624</v>
      </c>
      <c r="TVE1" t="s">
        <v>19625</v>
      </c>
      <c r="TVF1" t="s">
        <v>19626</v>
      </c>
      <c r="TVG1" t="s">
        <v>19627</v>
      </c>
      <c r="TVH1" t="s">
        <v>19628</v>
      </c>
      <c r="TVI1" t="s">
        <v>19629</v>
      </c>
      <c r="TVJ1" t="s">
        <v>19630</v>
      </c>
      <c r="TVK1" t="s">
        <v>19631</v>
      </c>
      <c r="TVL1" t="s">
        <v>19632</v>
      </c>
      <c r="TVM1" t="s">
        <v>19633</v>
      </c>
      <c r="TVN1" t="s">
        <v>19634</v>
      </c>
      <c r="TVO1" t="s">
        <v>19635</v>
      </c>
      <c r="TVP1" t="s">
        <v>19636</v>
      </c>
      <c r="TVQ1" t="s">
        <v>19637</v>
      </c>
      <c r="TVR1" t="s">
        <v>19638</v>
      </c>
      <c r="TVS1" t="s">
        <v>19639</v>
      </c>
      <c r="TVT1" t="s">
        <v>19640</v>
      </c>
      <c r="TVU1" t="s">
        <v>19641</v>
      </c>
      <c r="TVV1" t="s">
        <v>19642</v>
      </c>
      <c r="TVW1" t="s">
        <v>19643</v>
      </c>
      <c r="TVX1" t="s">
        <v>19644</v>
      </c>
      <c r="TVY1" t="s">
        <v>19645</v>
      </c>
      <c r="TVZ1" t="s">
        <v>19646</v>
      </c>
      <c r="TWA1" t="s">
        <v>19647</v>
      </c>
      <c r="TWB1" t="s">
        <v>19648</v>
      </c>
      <c r="TWC1" t="s">
        <v>19649</v>
      </c>
      <c r="TWD1" t="s">
        <v>19650</v>
      </c>
      <c r="TWE1" t="s">
        <v>19651</v>
      </c>
      <c r="TWF1" t="s">
        <v>19652</v>
      </c>
      <c r="TWG1" t="s">
        <v>19653</v>
      </c>
      <c r="TWH1" t="s">
        <v>19654</v>
      </c>
      <c r="TWI1" t="s">
        <v>19655</v>
      </c>
      <c r="TWJ1" t="s">
        <v>19656</v>
      </c>
      <c r="TWK1" t="s">
        <v>19657</v>
      </c>
      <c r="TWL1" t="s">
        <v>19658</v>
      </c>
      <c r="TWM1" t="s">
        <v>19659</v>
      </c>
      <c r="TWN1" t="s">
        <v>19660</v>
      </c>
      <c r="TWO1" t="s">
        <v>19661</v>
      </c>
      <c r="TWP1" t="s">
        <v>19662</v>
      </c>
      <c r="TWQ1" t="s">
        <v>19663</v>
      </c>
      <c r="TWR1" t="s">
        <v>19664</v>
      </c>
      <c r="TWS1" t="s">
        <v>19665</v>
      </c>
      <c r="TWT1" t="s">
        <v>19666</v>
      </c>
      <c r="TWU1" t="s">
        <v>19667</v>
      </c>
      <c r="TWV1" t="s">
        <v>19668</v>
      </c>
      <c r="TWW1" t="s">
        <v>19669</v>
      </c>
      <c r="TWX1" t="s">
        <v>19670</v>
      </c>
      <c r="TWY1" t="s">
        <v>19671</v>
      </c>
      <c r="TWZ1" t="s">
        <v>19672</v>
      </c>
      <c r="TXA1" t="s">
        <v>19673</v>
      </c>
      <c r="TXB1" t="s">
        <v>19674</v>
      </c>
      <c r="TXC1" t="s">
        <v>19675</v>
      </c>
      <c r="TXD1" t="s">
        <v>19676</v>
      </c>
      <c r="TXE1" t="s">
        <v>19677</v>
      </c>
      <c r="TXF1" t="s">
        <v>19678</v>
      </c>
      <c r="TXG1" t="s">
        <v>19679</v>
      </c>
      <c r="TXH1" t="s">
        <v>19680</v>
      </c>
      <c r="TXI1" t="s">
        <v>19681</v>
      </c>
      <c r="TXJ1" t="s">
        <v>19682</v>
      </c>
      <c r="TXK1" t="s">
        <v>19683</v>
      </c>
      <c r="TXL1" t="s">
        <v>19684</v>
      </c>
      <c r="TXM1" t="s">
        <v>19685</v>
      </c>
      <c r="TXN1" t="s">
        <v>19686</v>
      </c>
      <c r="TXO1" t="s">
        <v>19687</v>
      </c>
      <c r="TXP1" t="s">
        <v>19688</v>
      </c>
      <c r="TXQ1" t="s">
        <v>19689</v>
      </c>
      <c r="TXR1" t="s">
        <v>19690</v>
      </c>
      <c r="TXS1" t="s">
        <v>19691</v>
      </c>
      <c r="TXT1" t="s">
        <v>19692</v>
      </c>
      <c r="TXU1" t="s">
        <v>19693</v>
      </c>
      <c r="TXV1" t="s">
        <v>19694</v>
      </c>
      <c r="TXW1" t="s">
        <v>19695</v>
      </c>
      <c r="TXX1" t="s">
        <v>19696</v>
      </c>
      <c r="TXY1" t="s">
        <v>19697</v>
      </c>
      <c r="TXZ1" t="s">
        <v>19698</v>
      </c>
      <c r="TYA1" t="s">
        <v>19699</v>
      </c>
      <c r="TYB1" t="s">
        <v>19700</v>
      </c>
      <c r="TYC1" t="s">
        <v>19701</v>
      </c>
      <c r="TYD1" t="s">
        <v>19702</v>
      </c>
      <c r="TYE1" t="s">
        <v>19703</v>
      </c>
      <c r="TYF1" t="s">
        <v>19704</v>
      </c>
      <c r="TYG1" t="s">
        <v>19705</v>
      </c>
      <c r="TYH1" t="s">
        <v>19706</v>
      </c>
      <c r="TYI1" t="s">
        <v>19707</v>
      </c>
      <c r="TYJ1" t="s">
        <v>19708</v>
      </c>
      <c r="TYK1" t="s">
        <v>19709</v>
      </c>
      <c r="TYL1" t="s">
        <v>19710</v>
      </c>
      <c r="TYM1" t="s">
        <v>19711</v>
      </c>
      <c r="TYN1" t="s">
        <v>19712</v>
      </c>
      <c r="TYO1" t="s">
        <v>19713</v>
      </c>
      <c r="TYP1" t="s">
        <v>19714</v>
      </c>
      <c r="TYQ1" t="s">
        <v>19715</v>
      </c>
      <c r="TYR1" t="s">
        <v>19716</v>
      </c>
      <c r="TYS1" t="s">
        <v>19717</v>
      </c>
      <c r="TYT1" t="s">
        <v>19718</v>
      </c>
      <c r="TYU1" t="s">
        <v>19719</v>
      </c>
      <c r="TYV1" t="s">
        <v>19720</v>
      </c>
      <c r="TYW1" t="s">
        <v>19721</v>
      </c>
      <c r="TYX1" t="s">
        <v>19722</v>
      </c>
      <c r="TYY1" t="s">
        <v>19723</v>
      </c>
      <c r="TYZ1" t="s">
        <v>19724</v>
      </c>
      <c r="TZA1" t="s">
        <v>19725</v>
      </c>
      <c r="TZB1" t="s">
        <v>19726</v>
      </c>
      <c r="TZC1" t="s">
        <v>19727</v>
      </c>
      <c r="TZD1" t="s">
        <v>19728</v>
      </c>
      <c r="TZE1" t="s">
        <v>19729</v>
      </c>
      <c r="TZF1" t="s">
        <v>19730</v>
      </c>
      <c r="TZG1" t="s">
        <v>19731</v>
      </c>
      <c r="TZH1" t="s">
        <v>19732</v>
      </c>
      <c r="TZI1" t="s">
        <v>19733</v>
      </c>
      <c r="TZJ1" t="s">
        <v>19734</v>
      </c>
      <c r="TZK1" t="s">
        <v>19735</v>
      </c>
      <c r="TZL1" t="s">
        <v>19736</v>
      </c>
      <c r="TZM1" t="s">
        <v>19737</v>
      </c>
      <c r="TZN1" t="s">
        <v>19738</v>
      </c>
      <c r="TZO1" t="s">
        <v>19739</v>
      </c>
      <c r="TZP1" t="s">
        <v>19740</v>
      </c>
      <c r="TZQ1" t="s">
        <v>19741</v>
      </c>
      <c r="TZR1" t="s">
        <v>19742</v>
      </c>
      <c r="TZS1" t="s">
        <v>19743</v>
      </c>
      <c r="TZT1" t="s">
        <v>19744</v>
      </c>
      <c r="TZU1" t="s">
        <v>19745</v>
      </c>
      <c r="TZV1" t="s">
        <v>19746</v>
      </c>
      <c r="TZW1" t="s">
        <v>19747</v>
      </c>
      <c r="TZX1" t="s">
        <v>19748</v>
      </c>
      <c r="TZY1" t="s">
        <v>19749</v>
      </c>
      <c r="TZZ1" t="s">
        <v>19750</v>
      </c>
      <c r="UAA1" t="s">
        <v>19751</v>
      </c>
      <c r="UAB1" t="s">
        <v>19752</v>
      </c>
      <c r="UAC1" t="s">
        <v>19753</v>
      </c>
      <c r="UAD1" t="s">
        <v>19754</v>
      </c>
      <c r="UAE1" t="s">
        <v>19755</v>
      </c>
      <c r="UAF1" t="s">
        <v>19756</v>
      </c>
      <c r="UAG1" t="s">
        <v>19757</v>
      </c>
      <c r="UAH1" t="s">
        <v>19758</v>
      </c>
      <c r="UAI1" t="s">
        <v>19759</v>
      </c>
      <c r="UAJ1" t="s">
        <v>19760</v>
      </c>
      <c r="UAK1" t="s">
        <v>19761</v>
      </c>
      <c r="UAL1" t="s">
        <v>19762</v>
      </c>
      <c r="UAM1" t="s">
        <v>19763</v>
      </c>
      <c r="UAN1" t="s">
        <v>19764</v>
      </c>
      <c r="UAO1" t="s">
        <v>19765</v>
      </c>
      <c r="UAP1" t="s">
        <v>19766</v>
      </c>
      <c r="UAQ1" t="s">
        <v>19767</v>
      </c>
      <c r="UAR1" t="s">
        <v>19768</v>
      </c>
      <c r="UAS1" t="s">
        <v>19769</v>
      </c>
      <c r="UAT1" t="s">
        <v>19770</v>
      </c>
      <c r="UAU1" t="s">
        <v>19771</v>
      </c>
      <c r="UAV1" t="s">
        <v>19772</v>
      </c>
      <c r="UAW1" t="s">
        <v>19773</v>
      </c>
      <c r="UAX1" t="s">
        <v>19774</v>
      </c>
      <c r="UAY1" t="s">
        <v>19775</v>
      </c>
      <c r="UAZ1" t="s">
        <v>19776</v>
      </c>
      <c r="UBA1" t="s">
        <v>19777</v>
      </c>
      <c r="UBB1" t="s">
        <v>19778</v>
      </c>
      <c r="UBC1" t="s">
        <v>19779</v>
      </c>
      <c r="UBD1" t="s">
        <v>19780</v>
      </c>
      <c r="UBE1" t="s">
        <v>19781</v>
      </c>
      <c r="UBF1" t="s">
        <v>19782</v>
      </c>
      <c r="UBG1" t="s">
        <v>19783</v>
      </c>
      <c r="UBH1" t="s">
        <v>19784</v>
      </c>
      <c r="UBI1" t="s">
        <v>19785</v>
      </c>
      <c r="UBJ1" t="s">
        <v>19786</v>
      </c>
      <c r="UBK1" t="s">
        <v>19787</v>
      </c>
      <c r="UBL1" t="s">
        <v>19788</v>
      </c>
      <c r="UBM1" t="s">
        <v>19789</v>
      </c>
      <c r="UBN1" t="s">
        <v>19790</v>
      </c>
      <c r="UBO1" t="s">
        <v>19791</v>
      </c>
      <c r="UBP1" t="s">
        <v>19792</v>
      </c>
      <c r="UBQ1" t="s">
        <v>19793</v>
      </c>
      <c r="UBR1" t="s">
        <v>19794</v>
      </c>
      <c r="UBS1" t="s">
        <v>19795</v>
      </c>
      <c r="UBT1" t="s">
        <v>19796</v>
      </c>
      <c r="UBU1" t="s">
        <v>19797</v>
      </c>
      <c r="UBV1" t="s">
        <v>19798</v>
      </c>
      <c r="UBW1" t="s">
        <v>19799</v>
      </c>
      <c r="UBX1" t="s">
        <v>19800</v>
      </c>
      <c r="UBY1" t="s">
        <v>19801</v>
      </c>
      <c r="UBZ1" t="s">
        <v>19802</v>
      </c>
      <c r="UCA1" t="s">
        <v>19803</v>
      </c>
      <c r="UCB1" t="s">
        <v>19804</v>
      </c>
      <c r="UCC1" t="s">
        <v>19805</v>
      </c>
      <c r="UCD1" t="s">
        <v>19806</v>
      </c>
      <c r="UCE1" t="s">
        <v>19807</v>
      </c>
      <c r="UCF1" t="s">
        <v>19808</v>
      </c>
      <c r="UCG1" t="s">
        <v>19809</v>
      </c>
      <c r="UCH1" t="s">
        <v>19810</v>
      </c>
      <c r="UCI1" t="s">
        <v>19811</v>
      </c>
      <c r="UCJ1" t="s">
        <v>19812</v>
      </c>
      <c r="UCK1" t="s">
        <v>19813</v>
      </c>
      <c r="UCL1" t="s">
        <v>19814</v>
      </c>
      <c r="UCM1" t="s">
        <v>19815</v>
      </c>
      <c r="UCN1" t="s">
        <v>19816</v>
      </c>
      <c r="UCO1" t="s">
        <v>19817</v>
      </c>
      <c r="UCP1" t="s">
        <v>19818</v>
      </c>
      <c r="UCQ1" t="s">
        <v>19819</v>
      </c>
      <c r="UCR1" t="s">
        <v>19820</v>
      </c>
      <c r="UCS1" t="s">
        <v>19821</v>
      </c>
      <c r="UCT1" t="s">
        <v>19822</v>
      </c>
      <c r="UCU1" t="s">
        <v>19823</v>
      </c>
      <c r="UCV1" t="s">
        <v>19824</v>
      </c>
      <c r="UCW1" t="s">
        <v>19825</v>
      </c>
      <c r="UCX1" t="s">
        <v>19826</v>
      </c>
      <c r="UCY1" t="s">
        <v>19827</v>
      </c>
      <c r="UCZ1" t="s">
        <v>19828</v>
      </c>
      <c r="UDA1" t="s">
        <v>19829</v>
      </c>
      <c r="UDB1" t="s">
        <v>19830</v>
      </c>
      <c r="UDC1" t="s">
        <v>19831</v>
      </c>
      <c r="UDD1" t="s">
        <v>19832</v>
      </c>
      <c r="UDE1" t="s">
        <v>19833</v>
      </c>
      <c r="UDF1" t="s">
        <v>19834</v>
      </c>
      <c r="UDG1" t="s">
        <v>19835</v>
      </c>
      <c r="UDH1" t="s">
        <v>19836</v>
      </c>
      <c r="UDI1" t="s">
        <v>19837</v>
      </c>
      <c r="UDJ1" t="s">
        <v>19838</v>
      </c>
      <c r="UDK1" t="s">
        <v>19839</v>
      </c>
      <c r="UDL1" t="s">
        <v>19840</v>
      </c>
      <c r="UDM1" t="s">
        <v>19841</v>
      </c>
      <c r="UDN1" t="s">
        <v>19842</v>
      </c>
      <c r="UDO1" t="s">
        <v>19843</v>
      </c>
      <c r="UDP1" t="s">
        <v>19844</v>
      </c>
      <c r="UDQ1" t="s">
        <v>19845</v>
      </c>
      <c r="UDR1" t="s">
        <v>19846</v>
      </c>
      <c r="UDS1" t="s">
        <v>19847</v>
      </c>
      <c r="UDT1" t="s">
        <v>19848</v>
      </c>
      <c r="UDU1" t="s">
        <v>19849</v>
      </c>
      <c r="UDV1" t="s">
        <v>19850</v>
      </c>
      <c r="UDW1" t="s">
        <v>19851</v>
      </c>
      <c r="UDX1" t="s">
        <v>19852</v>
      </c>
      <c r="UDY1" t="s">
        <v>19853</v>
      </c>
      <c r="UDZ1" t="s">
        <v>19854</v>
      </c>
      <c r="UEA1" t="s">
        <v>19855</v>
      </c>
      <c r="UEB1" t="s">
        <v>19856</v>
      </c>
      <c r="UEC1" t="s">
        <v>19857</v>
      </c>
      <c r="UED1" t="s">
        <v>19858</v>
      </c>
      <c r="UEE1" t="s">
        <v>19859</v>
      </c>
      <c r="UEF1" t="s">
        <v>19860</v>
      </c>
      <c r="UEG1" t="s">
        <v>19861</v>
      </c>
      <c r="UEH1" t="s">
        <v>19862</v>
      </c>
      <c r="UEI1" t="s">
        <v>19863</v>
      </c>
      <c r="UEJ1" t="s">
        <v>19864</v>
      </c>
      <c r="UEK1" t="s">
        <v>19865</v>
      </c>
      <c r="UEL1" t="s">
        <v>19866</v>
      </c>
      <c r="UEM1" t="s">
        <v>19867</v>
      </c>
      <c r="UEN1" t="s">
        <v>19868</v>
      </c>
      <c r="UEO1" t="s">
        <v>19869</v>
      </c>
      <c r="UEP1" t="s">
        <v>19870</v>
      </c>
      <c r="UEQ1" t="s">
        <v>19871</v>
      </c>
      <c r="UER1" t="s">
        <v>19872</v>
      </c>
      <c r="UES1" t="s">
        <v>19873</v>
      </c>
      <c r="UET1" t="s">
        <v>19874</v>
      </c>
      <c r="UEU1" t="s">
        <v>19875</v>
      </c>
      <c r="UEV1" t="s">
        <v>19876</v>
      </c>
      <c r="UEW1" t="s">
        <v>19877</v>
      </c>
      <c r="UEX1" t="s">
        <v>19878</v>
      </c>
      <c r="UEY1" t="s">
        <v>19879</v>
      </c>
      <c r="UEZ1" t="s">
        <v>19880</v>
      </c>
      <c r="UFA1" t="s">
        <v>19881</v>
      </c>
      <c r="UFB1" t="s">
        <v>19882</v>
      </c>
      <c r="UFC1" t="s">
        <v>19883</v>
      </c>
      <c r="UFD1" t="s">
        <v>19884</v>
      </c>
      <c r="UFE1" t="s">
        <v>19885</v>
      </c>
      <c r="UFF1" t="s">
        <v>19886</v>
      </c>
      <c r="UFG1" t="s">
        <v>19887</v>
      </c>
      <c r="UFH1" t="s">
        <v>19888</v>
      </c>
      <c r="UFI1" t="s">
        <v>19889</v>
      </c>
      <c r="UFJ1" t="s">
        <v>19890</v>
      </c>
      <c r="UFK1" t="s">
        <v>19891</v>
      </c>
      <c r="UFL1" t="s">
        <v>19892</v>
      </c>
      <c r="UFM1" t="s">
        <v>19893</v>
      </c>
      <c r="UFN1" t="s">
        <v>19894</v>
      </c>
      <c r="UFO1" t="s">
        <v>19895</v>
      </c>
      <c r="UFP1" t="s">
        <v>19896</v>
      </c>
      <c r="UFQ1" t="s">
        <v>19897</v>
      </c>
      <c r="UFR1" t="s">
        <v>19898</v>
      </c>
      <c r="UFS1" t="s">
        <v>19899</v>
      </c>
      <c r="UFT1" t="s">
        <v>19900</v>
      </c>
      <c r="UFU1" t="s">
        <v>19901</v>
      </c>
      <c r="UFV1" t="s">
        <v>19902</v>
      </c>
      <c r="UFW1" t="s">
        <v>19903</v>
      </c>
      <c r="UFX1" t="s">
        <v>19904</v>
      </c>
      <c r="UFY1" t="s">
        <v>19905</v>
      </c>
      <c r="UFZ1" t="s">
        <v>19906</v>
      </c>
      <c r="UGA1" t="s">
        <v>19907</v>
      </c>
      <c r="UGB1" t="s">
        <v>19908</v>
      </c>
      <c r="UGC1" t="s">
        <v>19909</v>
      </c>
      <c r="UGD1" t="s">
        <v>19910</v>
      </c>
      <c r="UGE1" t="s">
        <v>19911</v>
      </c>
      <c r="UGF1" t="s">
        <v>19912</v>
      </c>
      <c r="UGG1" t="s">
        <v>19913</v>
      </c>
      <c r="UGH1" t="s">
        <v>19914</v>
      </c>
      <c r="UGI1" t="s">
        <v>19915</v>
      </c>
      <c r="UGJ1" t="s">
        <v>19916</v>
      </c>
      <c r="UGK1" t="s">
        <v>19917</v>
      </c>
      <c r="UGL1" t="s">
        <v>19918</v>
      </c>
      <c r="UGM1" t="s">
        <v>19919</v>
      </c>
      <c r="UGN1" t="s">
        <v>19920</v>
      </c>
      <c r="UGO1" t="s">
        <v>19921</v>
      </c>
      <c r="UGP1" t="s">
        <v>19922</v>
      </c>
      <c r="UGQ1" t="s">
        <v>19923</v>
      </c>
      <c r="UGR1" t="s">
        <v>19924</v>
      </c>
      <c r="UGS1" t="s">
        <v>19925</v>
      </c>
      <c r="UGT1" t="s">
        <v>19926</v>
      </c>
      <c r="UGU1" t="s">
        <v>19927</v>
      </c>
      <c r="UGV1" t="s">
        <v>19928</v>
      </c>
      <c r="UGW1" t="s">
        <v>19929</v>
      </c>
      <c r="UGX1" t="s">
        <v>19930</v>
      </c>
      <c r="UGY1" t="s">
        <v>19931</v>
      </c>
      <c r="UGZ1" t="s">
        <v>19932</v>
      </c>
      <c r="UHA1" t="s">
        <v>19933</v>
      </c>
      <c r="UHB1" t="s">
        <v>19934</v>
      </c>
      <c r="UHC1" t="s">
        <v>19935</v>
      </c>
      <c r="UHD1" t="s">
        <v>19936</v>
      </c>
      <c r="UHE1" t="s">
        <v>19937</v>
      </c>
      <c r="UHF1" t="s">
        <v>19938</v>
      </c>
      <c r="UHG1" t="s">
        <v>19939</v>
      </c>
      <c r="UHH1" t="s">
        <v>19940</v>
      </c>
      <c r="UHI1" t="s">
        <v>19941</v>
      </c>
      <c r="UHJ1" t="s">
        <v>19942</v>
      </c>
      <c r="UHK1" t="s">
        <v>19943</v>
      </c>
      <c r="UHL1" t="s">
        <v>19944</v>
      </c>
      <c r="UHM1" t="s">
        <v>19945</v>
      </c>
      <c r="UHN1" t="s">
        <v>19946</v>
      </c>
      <c r="UHO1" t="s">
        <v>19947</v>
      </c>
      <c r="UHP1" t="s">
        <v>19948</v>
      </c>
      <c r="UHQ1" t="s">
        <v>19949</v>
      </c>
      <c r="UHR1" t="s">
        <v>19950</v>
      </c>
      <c r="UHS1" t="s">
        <v>19951</v>
      </c>
      <c r="UHT1" t="s">
        <v>19952</v>
      </c>
      <c r="UHU1" t="s">
        <v>19953</v>
      </c>
      <c r="UHV1" t="s">
        <v>19954</v>
      </c>
      <c r="UHW1" t="s">
        <v>19955</v>
      </c>
      <c r="UHX1" t="s">
        <v>19956</v>
      </c>
      <c r="UHY1" t="s">
        <v>19957</v>
      </c>
      <c r="UHZ1" t="s">
        <v>19958</v>
      </c>
      <c r="UIA1" t="s">
        <v>19959</v>
      </c>
      <c r="UIB1" t="s">
        <v>19960</v>
      </c>
      <c r="UIC1" t="s">
        <v>19961</v>
      </c>
      <c r="UID1" t="s">
        <v>19962</v>
      </c>
      <c r="UIE1" t="s">
        <v>19963</v>
      </c>
      <c r="UIF1" t="s">
        <v>19964</v>
      </c>
      <c r="UIG1" t="s">
        <v>19965</v>
      </c>
      <c r="UIH1" t="s">
        <v>19966</v>
      </c>
      <c r="UII1" t="s">
        <v>19967</v>
      </c>
      <c r="UIJ1" t="s">
        <v>19968</v>
      </c>
      <c r="UIK1" t="s">
        <v>19969</v>
      </c>
      <c r="UIL1" t="s">
        <v>19970</v>
      </c>
      <c r="UIM1" t="s">
        <v>19971</v>
      </c>
      <c r="UIN1" t="s">
        <v>19972</v>
      </c>
      <c r="UIO1" t="s">
        <v>19973</v>
      </c>
      <c r="UIP1" t="s">
        <v>19974</v>
      </c>
      <c r="UIQ1" t="s">
        <v>19975</v>
      </c>
      <c r="UIR1" t="s">
        <v>19976</v>
      </c>
      <c r="UIS1" t="s">
        <v>19977</v>
      </c>
      <c r="UIT1" t="s">
        <v>19978</v>
      </c>
      <c r="UIU1" t="s">
        <v>19979</v>
      </c>
      <c r="UIV1" t="s">
        <v>19980</v>
      </c>
      <c r="UIW1" t="s">
        <v>19981</v>
      </c>
      <c r="UIX1" t="s">
        <v>19982</v>
      </c>
      <c r="UIY1" t="s">
        <v>19983</v>
      </c>
      <c r="UIZ1" t="s">
        <v>19984</v>
      </c>
      <c r="UJA1" t="s">
        <v>19985</v>
      </c>
      <c r="UJB1" t="s">
        <v>19986</v>
      </c>
      <c r="UJC1" t="s">
        <v>19987</v>
      </c>
      <c r="UJD1" t="s">
        <v>19988</v>
      </c>
      <c r="UJE1" t="s">
        <v>19989</v>
      </c>
      <c r="UJF1" t="s">
        <v>19990</v>
      </c>
      <c r="UJG1" t="s">
        <v>19991</v>
      </c>
      <c r="UJH1" t="s">
        <v>19992</v>
      </c>
      <c r="UJI1" t="s">
        <v>19993</v>
      </c>
      <c r="UJJ1" t="s">
        <v>19994</v>
      </c>
      <c r="UJK1" t="s">
        <v>19995</v>
      </c>
      <c r="UJL1" t="s">
        <v>19996</v>
      </c>
      <c r="UJM1" t="s">
        <v>19997</v>
      </c>
      <c r="UJN1" t="s">
        <v>19998</v>
      </c>
      <c r="UJO1" t="s">
        <v>19999</v>
      </c>
      <c r="UJP1" t="s">
        <v>20000</v>
      </c>
      <c r="UJQ1" t="s">
        <v>20001</v>
      </c>
      <c r="UJR1" t="s">
        <v>20002</v>
      </c>
      <c r="UJS1" t="s">
        <v>20003</v>
      </c>
      <c r="UJT1" t="s">
        <v>20004</v>
      </c>
      <c r="UJU1" t="s">
        <v>20005</v>
      </c>
      <c r="UJV1" t="s">
        <v>20006</v>
      </c>
      <c r="UJW1" t="s">
        <v>20007</v>
      </c>
      <c r="UJX1" t="s">
        <v>20008</v>
      </c>
      <c r="UJY1" t="s">
        <v>20009</v>
      </c>
      <c r="UJZ1" t="s">
        <v>20010</v>
      </c>
      <c r="UKA1" t="s">
        <v>20011</v>
      </c>
      <c r="UKB1" t="s">
        <v>20012</v>
      </c>
      <c r="UKC1" t="s">
        <v>20013</v>
      </c>
      <c r="UKD1" t="s">
        <v>20014</v>
      </c>
      <c r="UKE1" t="s">
        <v>20015</v>
      </c>
      <c r="UKF1" t="s">
        <v>20016</v>
      </c>
      <c r="UKG1" t="s">
        <v>20017</v>
      </c>
      <c r="UKH1" t="s">
        <v>20018</v>
      </c>
      <c r="UKI1" t="s">
        <v>20019</v>
      </c>
      <c r="UKJ1" t="s">
        <v>20020</v>
      </c>
      <c r="UKK1" t="s">
        <v>20021</v>
      </c>
      <c r="UKL1" t="s">
        <v>20022</v>
      </c>
      <c r="UKM1" t="s">
        <v>20023</v>
      </c>
      <c r="UKN1" t="s">
        <v>20024</v>
      </c>
      <c r="UKO1" t="s">
        <v>20025</v>
      </c>
      <c r="UKP1" t="s">
        <v>20026</v>
      </c>
      <c r="UKQ1" t="s">
        <v>20027</v>
      </c>
      <c r="UKR1" t="s">
        <v>20028</v>
      </c>
      <c r="UKS1" t="s">
        <v>20029</v>
      </c>
      <c r="UKT1" t="s">
        <v>20030</v>
      </c>
      <c r="UKU1" t="s">
        <v>20031</v>
      </c>
      <c r="UKV1" t="s">
        <v>20032</v>
      </c>
      <c r="UKW1" t="s">
        <v>20033</v>
      </c>
      <c r="UKX1" t="s">
        <v>20034</v>
      </c>
      <c r="UKY1" t="s">
        <v>20035</v>
      </c>
      <c r="UKZ1" t="s">
        <v>20036</v>
      </c>
      <c r="ULA1" t="s">
        <v>20037</v>
      </c>
      <c r="ULB1" t="s">
        <v>20038</v>
      </c>
      <c r="ULC1" t="s">
        <v>20039</v>
      </c>
      <c r="ULD1" t="s">
        <v>20040</v>
      </c>
      <c r="ULE1" t="s">
        <v>20041</v>
      </c>
      <c r="ULF1" t="s">
        <v>20042</v>
      </c>
      <c r="ULG1" t="s">
        <v>20043</v>
      </c>
      <c r="ULH1" t="s">
        <v>20044</v>
      </c>
      <c r="ULI1" t="s">
        <v>20045</v>
      </c>
      <c r="ULJ1" t="s">
        <v>20046</v>
      </c>
      <c r="ULK1" t="s">
        <v>20047</v>
      </c>
      <c r="ULL1" t="s">
        <v>20048</v>
      </c>
      <c r="ULM1" t="s">
        <v>20049</v>
      </c>
      <c r="ULN1" t="s">
        <v>20050</v>
      </c>
      <c r="ULO1" t="s">
        <v>20051</v>
      </c>
      <c r="ULP1" t="s">
        <v>20052</v>
      </c>
      <c r="ULQ1" t="s">
        <v>20053</v>
      </c>
      <c r="ULR1" t="s">
        <v>20054</v>
      </c>
      <c r="ULS1" t="s">
        <v>20055</v>
      </c>
      <c r="ULT1" t="s">
        <v>20056</v>
      </c>
      <c r="ULU1" t="s">
        <v>20057</v>
      </c>
      <c r="ULV1" t="s">
        <v>20058</v>
      </c>
      <c r="ULW1" t="s">
        <v>20059</v>
      </c>
      <c r="ULX1" t="s">
        <v>20060</v>
      </c>
      <c r="ULY1" t="s">
        <v>20061</v>
      </c>
      <c r="ULZ1" t="s">
        <v>20062</v>
      </c>
      <c r="UMA1" t="s">
        <v>20063</v>
      </c>
      <c r="UMB1" t="s">
        <v>20064</v>
      </c>
      <c r="UMC1" t="s">
        <v>20065</v>
      </c>
      <c r="UMD1" t="s">
        <v>20066</v>
      </c>
      <c r="UME1" t="s">
        <v>20067</v>
      </c>
      <c r="UMF1" t="s">
        <v>20068</v>
      </c>
      <c r="UMG1" t="s">
        <v>20069</v>
      </c>
      <c r="UMH1" t="s">
        <v>20070</v>
      </c>
      <c r="UMI1" t="s">
        <v>20071</v>
      </c>
      <c r="UMJ1" t="s">
        <v>20072</v>
      </c>
      <c r="UMK1" t="s">
        <v>20073</v>
      </c>
      <c r="UML1" t="s">
        <v>20074</v>
      </c>
      <c r="UMM1" t="s">
        <v>20075</v>
      </c>
      <c r="UMN1" t="s">
        <v>20076</v>
      </c>
      <c r="UMO1" t="s">
        <v>20077</v>
      </c>
      <c r="UMP1" t="s">
        <v>20078</v>
      </c>
      <c r="UMQ1" t="s">
        <v>20079</v>
      </c>
      <c r="UMR1" t="s">
        <v>20080</v>
      </c>
      <c r="UMS1" t="s">
        <v>20081</v>
      </c>
      <c r="UMT1" t="s">
        <v>20082</v>
      </c>
      <c r="UMU1" t="s">
        <v>20083</v>
      </c>
      <c r="UMV1" t="s">
        <v>20084</v>
      </c>
      <c r="UMW1" t="s">
        <v>20085</v>
      </c>
      <c r="UMX1" t="s">
        <v>20086</v>
      </c>
      <c r="UMY1" t="s">
        <v>20087</v>
      </c>
      <c r="UMZ1" t="s">
        <v>20088</v>
      </c>
      <c r="UNA1" t="s">
        <v>20089</v>
      </c>
      <c r="UNB1" t="s">
        <v>20090</v>
      </c>
      <c r="UNC1" t="s">
        <v>20091</v>
      </c>
      <c r="UND1" t="s">
        <v>20092</v>
      </c>
      <c r="UNE1" t="s">
        <v>20093</v>
      </c>
      <c r="UNF1" t="s">
        <v>20094</v>
      </c>
      <c r="UNG1" t="s">
        <v>20095</v>
      </c>
      <c r="UNH1" t="s">
        <v>20096</v>
      </c>
      <c r="UNI1" t="s">
        <v>20097</v>
      </c>
      <c r="UNJ1" t="s">
        <v>20098</v>
      </c>
      <c r="UNK1" t="s">
        <v>20099</v>
      </c>
      <c r="UNL1" t="s">
        <v>20100</v>
      </c>
      <c r="UNM1" t="s">
        <v>20101</v>
      </c>
      <c r="UNN1" t="s">
        <v>20102</v>
      </c>
      <c r="UNO1" t="s">
        <v>20103</v>
      </c>
      <c r="UNP1" t="s">
        <v>20104</v>
      </c>
      <c r="UNQ1" t="s">
        <v>20105</v>
      </c>
      <c r="UNR1" t="s">
        <v>20106</v>
      </c>
      <c r="UNS1" t="s">
        <v>20107</v>
      </c>
      <c r="UNT1" t="s">
        <v>20108</v>
      </c>
      <c r="UNU1" t="s">
        <v>20109</v>
      </c>
      <c r="UNV1" t="s">
        <v>20110</v>
      </c>
      <c r="UNW1" t="s">
        <v>20111</v>
      </c>
      <c r="UNX1" t="s">
        <v>20112</v>
      </c>
      <c r="UNY1" t="s">
        <v>20113</v>
      </c>
      <c r="UNZ1" t="s">
        <v>20114</v>
      </c>
      <c r="UOA1" t="s">
        <v>20115</v>
      </c>
      <c r="UOB1" t="s">
        <v>20116</v>
      </c>
      <c r="UOC1" t="s">
        <v>20117</v>
      </c>
      <c r="UOD1" t="s">
        <v>20118</v>
      </c>
      <c r="UOE1" t="s">
        <v>20119</v>
      </c>
      <c r="UOF1" t="s">
        <v>20120</v>
      </c>
      <c r="UOG1" t="s">
        <v>20121</v>
      </c>
      <c r="UOH1" t="s">
        <v>20122</v>
      </c>
      <c r="UOI1" t="s">
        <v>20123</v>
      </c>
      <c r="UOJ1" t="s">
        <v>20124</v>
      </c>
      <c r="UOK1" t="s">
        <v>20125</v>
      </c>
      <c r="UOL1" t="s">
        <v>20126</v>
      </c>
      <c r="UOM1" t="s">
        <v>20127</v>
      </c>
      <c r="UON1" t="s">
        <v>20128</v>
      </c>
      <c r="UOO1" t="s">
        <v>20129</v>
      </c>
      <c r="UOP1" t="s">
        <v>20130</v>
      </c>
      <c r="UOQ1" t="s">
        <v>20131</v>
      </c>
      <c r="UOR1" t="s">
        <v>20132</v>
      </c>
      <c r="UOS1" t="s">
        <v>20133</v>
      </c>
      <c r="UOT1" t="s">
        <v>20134</v>
      </c>
      <c r="UOU1" t="s">
        <v>20135</v>
      </c>
      <c r="UOV1" t="s">
        <v>20136</v>
      </c>
      <c r="UOW1" t="s">
        <v>20137</v>
      </c>
      <c r="UOX1" t="s">
        <v>20138</v>
      </c>
      <c r="UOY1" t="s">
        <v>20139</v>
      </c>
      <c r="UOZ1" t="s">
        <v>20140</v>
      </c>
      <c r="UPA1" t="s">
        <v>20141</v>
      </c>
      <c r="UPB1" t="s">
        <v>20142</v>
      </c>
      <c r="UPC1" t="s">
        <v>20143</v>
      </c>
      <c r="UPD1" t="s">
        <v>20144</v>
      </c>
      <c r="UPE1" t="s">
        <v>20145</v>
      </c>
      <c r="UPF1" t="s">
        <v>20146</v>
      </c>
      <c r="UPG1" t="s">
        <v>20147</v>
      </c>
      <c r="UPH1" t="s">
        <v>20148</v>
      </c>
      <c r="UPI1" t="s">
        <v>20149</v>
      </c>
      <c r="UPJ1" t="s">
        <v>20150</v>
      </c>
      <c r="UPK1" t="s">
        <v>20151</v>
      </c>
      <c r="UPL1" t="s">
        <v>20152</v>
      </c>
      <c r="UPM1" t="s">
        <v>20153</v>
      </c>
      <c r="UPN1" t="s">
        <v>20154</v>
      </c>
      <c r="UPO1" t="s">
        <v>20155</v>
      </c>
      <c r="UPP1" t="s">
        <v>20156</v>
      </c>
      <c r="UPQ1" t="s">
        <v>20157</v>
      </c>
      <c r="UPR1" t="s">
        <v>20158</v>
      </c>
      <c r="UPS1" t="s">
        <v>20159</v>
      </c>
      <c r="UPT1" t="s">
        <v>20160</v>
      </c>
      <c r="UPU1" t="s">
        <v>20161</v>
      </c>
      <c r="UPV1" t="s">
        <v>20162</v>
      </c>
      <c r="UPW1" t="s">
        <v>20163</v>
      </c>
      <c r="UPX1" t="s">
        <v>20164</v>
      </c>
      <c r="UPY1" t="s">
        <v>20165</v>
      </c>
      <c r="UPZ1" t="s">
        <v>20166</v>
      </c>
      <c r="UQA1" t="s">
        <v>20167</v>
      </c>
      <c r="UQB1" t="s">
        <v>20168</v>
      </c>
      <c r="UQC1" t="s">
        <v>20169</v>
      </c>
      <c r="UQD1" t="s">
        <v>20170</v>
      </c>
      <c r="UQE1" t="s">
        <v>20171</v>
      </c>
      <c r="UQF1" t="s">
        <v>20172</v>
      </c>
      <c r="UQG1" t="s">
        <v>20173</v>
      </c>
      <c r="UQH1" t="s">
        <v>20174</v>
      </c>
      <c r="UQI1" t="s">
        <v>20175</v>
      </c>
      <c r="UQJ1" t="s">
        <v>20176</v>
      </c>
      <c r="UQK1" t="s">
        <v>20177</v>
      </c>
      <c r="UQL1" t="s">
        <v>20178</v>
      </c>
      <c r="UQM1" t="s">
        <v>20179</v>
      </c>
      <c r="UQN1" t="s">
        <v>20180</v>
      </c>
      <c r="UQO1" t="s">
        <v>20181</v>
      </c>
      <c r="UQP1" t="s">
        <v>20182</v>
      </c>
      <c r="UQQ1" t="s">
        <v>20183</v>
      </c>
      <c r="UQR1" t="s">
        <v>20184</v>
      </c>
      <c r="UQS1" t="s">
        <v>20185</v>
      </c>
      <c r="UQT1" t="s">
        <v>20186</v>
      </c>
      <c r="UQU1" t="s">
        <v>20187</v>
      </c>
      <c r="UQV1" t="s">
        <v>20188</v>
      </c>
      <c r="UQW1" t="s">
        <v>20189</v>
      </c>
      <c r="UQX1" t="s">
        <v>20190</v>
      </c>
      <c r="UQY1" t="s">
        <v>20191</v>
      </c>
      <c r="UQZ1" t="s">
        <v>20192</v>
      </c>
      <c r="URA1" t="s">
        <v>20193</v>
      </c>
      <c r="URB1" t="s">
        <v>20194</v>
      </c>
      <c r="URC1" t="s">
        <v>20195</v>
      </c>
      <c r="URD1" t="s">
        <v>20196</v>
      </c>
      <c r="URE1" t="s">
        <v>20197</v>
      </c>
      <c r="URF1" t="s">
        <v>20198</v>
      </c>
      <c r="URG1" t="s">
        <v>20199</v>
      </c>
      <c r="URH1" t="s">
        <v>20200</v>
      </c>
      <c r="URI1" t="s">
        <v>20201</v>
      </c>
      <c r="URJ1" t="s">
        <v>20202</v>
      </c>
      <c r="URK1" t="s">
        <v>20203</v>
      </c>
      <c r="URL1" t="s">
        <v>20204</v>
      </c>
      <c r="URM1" t="s">
        <v>20205</v>
      </c>
      <c r="URN1" t="s">
        <v>20206</v>
      </c>
      <c r="URO1" t="s">
        <v>20207</v>
      </c>
      <c r="URP1" t="s">
        <v>20208</v>
      </c>
      <c r="URQ1" t="s">
        <v>20209</v>
      </c>
      <c r="URR1" t="s">
        <v>20210</v>
      </c>
      <c r="URS1" t="s">
        <v>20211</v>
      </c>
      <c r="URT1" t="s">
        <v>20212</v>
      </c>
      <c r="URU1" t="s">
        <v>20213</v>
      </c>
      <c r="URV1" t="s">
        <v>20214</v>
      </c>
      <c r="URW1" t="s">
        <v>20215</v>
      </c>
      <c r="URX1" t="s">
        <v>20216</v>
      </c>
      <c r="URY1" t="s">
        <v>20217</v>
      </c>
      <c r="URZ1" t="s">
        <v>20218</v>
      </c>
      <c r="USA1" t="s">
        <v>20219</v>
      </c>
      <c r="USB1" t="s">
        <v>20220</v>
      </c>
      <c r="USC1" t="s">
        <v>20221</v>
      </c>
      <c r="USD1" t="s">
        <v>20222</v>
      </c>
      <c r="USE1" t="s">
        <v>20223</v>
      </c>
      <c r="USF1" t="s">
        <v>20224</v>
      </c>
      <c r="USG1" t="s">
        <v>20225</v>
      </c>
      <c r="USH1" t="s">
        <v>20226</v>
      </c>
      <c r="USI1" t="s">
        <v>20227</v>
      </c>
      <c r="USJ1" t="s">
        <v>20228</v>
      </c>
      <c r="USK1" t="s">
        <v>20229</v>
      </c>
      <c r="USL1" t="s">
        <v>20230</v>
      </c>
      <c r="USM1" t="s">
        <v>20231</v>
      </c>
      <c r="USN1" t="s">
        <v>20232</v>
      </c>
      <c r="USO1" t="s">
        <v>20233</v>
      </c>
      <c r="USP1" t="s">
        <v>20234</v>
      </c>
      <c r="USQ1" t="s">
        <v>20235</v>
      </c>
      <c r="USR1" t="s">
        <v>20236</v>
      </c>
      <c r="USS1" t="s">
        <v>20237</v>
      </c>
      <c r="UST1" t="s">
        <v>20238</v>
      </c>
      <c r="USU1" t="s">
        <v>20239</v>
      </c>
      <c r="USV1" t="s">
        <v>20240</v>
      </c>
      <c r="USW1" t="s">
        <v>20241</v>
      </c>
      <c r="USX1" t="s">
        <v>20242</v>
      </c>
      <c r="USY1" t="s">
        <v>20243</v>
      </c>
      <c r="USZ1" t="s">
        <v>20244</v>
      </c>
      <c r="UTA1" t="s">
        <v>20245</v>
      </c>
      <c r="UTB1" t="s">
        <v>20246</v>
      </c>
      <c r="UTC1" t="s">
        <v>20247</v>
      </c>
      <c r="UTD1" t="s">
        <v>20248</v>
      </c>
      <c r="UTE1" t="s">
        <v>20249</v>
      </c>
      <c r="UTF1" t="s">
        <v>20250</v>
      </c>
      <c r="UTG1" t="s">
        <v>20251</v>
      </c>
      <c r="UTH1" t="s">
        <v>20252</v>
      </c>
      <c r="UTI1" t="s">
        <v>20253</v>
      </c>
      <c r="UTJ1" t="s">
        <v>20254</v>
      </c>
      <c r="UTK1" t="s">
        <v>20255</v>
      </c>
      <c r="UTL1" t="s">
        <v>20256</v>
      </c>
      <c r="UTM1" t="s">
        <v>20257</v>
      </c>
      <c r="UTN1" t="s">
        <v>20258</v>
      </c>
      <c r="UTO1" t="s">
        <v>20259</v>
      </c>
      <c r="UTP1" t="s">
        <v>20260</v>
      </c>
      <c r="UTQ1" t="s">
        <v>20261</v>
      </c>
      <c r="UTR1" t="s">
        <v>20262</v>
      </c>
      <c r="UTS1" t="s">
        <v>20263</v>
      </c>
      <c r="UTT1" t="s">
        <v>20264</v>
      </c>
      <c r="UTU1" t="s">
        <v>20265</v>
      </c>
      <c r="UTV1" t="s">
        <v>20266</v>
      </c>
      <c r="UTW1" t="s">
        <v>20267</v>
      </c>
      <c r="UTX1" t="s">
        <v>20268</v>
      </c>
      <c r="UTY1" t="s">
        <v>20269</v>
      </c>
      <c r="UTZ1" t="s">
        <v>20270</v>
      </c>
      <c r="UUA1" t="s">
        <v>20271</v>
      </c>
      <c r="UUB1" t="s">
        <v>20272</v>
      </c>
      <c r="UUC1" t="s">
        <v>20273</v>
      </c>
      <c r="UUD1" t="s">
        <v>20274</v>
      </c>
      <c r="UUE1" t="s">
        <v>20275</v>
      </c>
      <c r="UUF1" t="s">
        <v>20276</v>
      </c>
      <c r="UUG1" t="s">
        <v>20277</v>
      </c>
      <c r="UUH1" t="s">
        <v>20278</v>
      </c>
      <c r="UUI1" t="s">
        <v>20279</v>
      </c>
      <c r="UUJ1" t="s">
        <v>20280</v>
      </c>
      <c r="UUK1" t="s">
        <v>20281</v>
      </c>
      <c r="UUL1" t="s">
        <v>20282</v>
      </c>
      <c r="UUM1" t="s">
        <v>20283</v>
      </c>
      <c r="UUN1" t="s">
        <v>20284</v>
      </c>
      <c r="UUO1" t="s">
        <v>20285</v>
      </c>
      <c r="UUP1" t="s">
        <v>20286</v>
      </c>
      <c r="UUQ1" t="s">
        <v>20287</v>
      </c>
      <c r="UUR1" t="s">
        <v>20288</v>
      </c>
      <c r="UUS1" t="s">
        <v>20289</v>
      </c>
      <c r="UUT1" t="s">
        <v>20290</v>
      </c>
      <c r="UUU1" t="s">
        <v>20291</v>
      </c>
      <c r="UUV1" t="s">
        <v>20292</v>
      </c>
      <c r="UUW1" t="s">
        <v>20293</v>
      </c>
      <c r="UUX1" t="s">
        <v>20294</v>
      </c>
      <c r="UUY1" t="s">
        <v>20295</v>
      </c>
      <c r="UUZ1" t="s">
        <v>20296</v>
      </c>
      <c r="UVA1" t="s">
        <v>20297</v>
      </c>
      <c r="UVB1" t="s">
        <v>20298</v>
      </c>
      <c r="UVC1" t="s">
        <v>20299</v>
      </c>
      <c r="UVD1" t="s">
        <v>20300</v>
      </c>
      <c r="UVE1" t="s">
        <v>20301</v>
      </c>
      <c r="UVF1" t="s">
        <v>20302</v>
      </c>
      <c r="UVG1" t="s">
        <v>20303</v>
      </c>
      <c r="UVH1" t="s">
        <v>20304</v>
      </c>
      <c r="UVI1" t="s">
        <v>20305</v>
      </c>
      <c r="UVJ1" t="s">
        <v>20306</v>
      </c>
      <c r="UVK1" t="s">
        <v>20307</v>
      </c>
      <c r="UVL1" t="s">
        <v>20308</v>
      </c>
      <c r="UVM1" t="s">
        <v>20309</v>
      </c>
      <c r="UVN1" t="s">
        <v>20310</v>
      </c>
      <c r="UVO1" t="s">
        <v>20311</v>
      </c>
      <c r="UVP1" t="s">
        <v>20312</v>
      </c>
      <c r="UVQ1" t="s">
        <v>20313</v>
      </c>
      <c r="UVR1" t="s">
        <v>20314</v>
      </c>
      <c r="UVS1" t="s">
        <v>20315</v>
      </c>
      <c r="UVT1" t="s">
        <v>20316</v>
      </c>
      <c r="UVU1" t="s">
        <v>20317</v>
      </c>
      <c r="UVV1" t="s">
        <v>20318</v>
      </c>
      <c r="UVW1" t="s">
        <v>20319</v>
      </c>
      <c r="UVX1" t="s">
        <v>20320</v>
      </c>
      <c r="UVY1" t="s">
        <v>20321</v>
      </c>
      <c r="UVZ1" t="s">
        <v>20322</v>
      </c>
      <c r="UWA1" t="s">
        <v>20323</v>
      </c>
      <c r="UWB1" t="s">
        <v>20324</v>
      </c>
      <c r="UWC1" t="s">
        <v>20325</v>
      </c>
      <c r="UWD1" t="s">
        <v>20326</v>
      </c>
      <c r="UWE1" t="s">
        <v>20327</v>
      </c>
      <c r="UWF1" t="s">
        <v>20328</v>
      </c>
      <c r="UWG1" t="s">
        <v>20329</v>
      </c>
      <c r="UWH1" t="s">
        <v>20330</v>
      </c>
      <c r="UWI1" t="s">
        <v>20331</v>
      </c>
      <c r="UWJ1" t="s">
        <v>20332</v>
      </c>
      <c r="UWK1" t="s">
        <v>20333</v>
      </c>
      <c r="UWL1" t="s">
        <v>20334</v>
      </c>
      <c r="UWM1" t="s">
        <v>20335</v>
      </c>
      <c r="UWN1" t="s">
        <v>20336</v>
      </c>
      <c r="UWO1" t="s">
        <v>20337</v>
      </c>
      <c r="UWP1" t="s">
        <v>20338</v>
      </c>
      <c r="UWQ1" t="s">
        <v>20339</v>
      </c>
      <c r="UWR1" t="s">
        <v>20340</v>
      </c>
      <c r="UWS1" t="s">
        <v>20341</v>
      </c>
      <c r="UWT1" t="s">
        <v>20342</v>
      </c>
      <c r="UWU1" t="s">
        <v>20343</v>
      </c>
      <c r="UWV1" t="s">
        <v>20344</v>
      </c>
      <c r="UWW1" t="s">
        <v>20345</v>
      </c>
      <c r="UWX1" t="s">
        <v>20346</v>
      </c>
      <c r="UWY1" t="s">
        <v>20347</v>
      </c>
      <c r="UWZ1" t="s">
        <v>20348</v>
      </c>
      <c r="UXA1" t="s">
        <v>20349</v>
      </c>
      <c r="UXB1" t="s">
        <v>20350</v>
      </c>
      <c r="UXC1" t="s">
        <v>20351</v>
      </c>
      <c r="UXD1" t="s">
        <v>20352</v>
      </c>
      <c r="UXE1" t="s">
        <v>20353</v>
      </c>
      <c r="UXF1" t="s">
        <v>20354</v>
      </c>
      <c r="UXG1" t="s">
        <v>20355</v>
      </c>
      <c r="UXH1" t="s">
        <v>20356</v>
      </c>
      <c r="UXI1" t="s">
        <v>20357</v>
      </c>
      <c r="UXJ1" t="s">
        <v>20358</v>
      </c>
      <c r="UXK1" t="s">
        <v>20359</v>
      </c>
      <c r="UXL1" t="s">
        <v>20360</v>
      </c>
      <c r="UXM1" t="s">
        <v>20361</v>
      </c>
      <c r="UXN1" t="s">
        <v>20362</v>
      </c>
      <c r="UXO1" t="s">
        <v>20363</v>
      </c>
      <c r="UXP1" t="s">
        <v>20364</v>
      </c>
      <c r="UXQ1" t="s">
        <v>20365</v>
      </c>
      <c r="UXR1" t="s">
        <v>20366</v>
      </c>
      <c r="UXS1" t="s">
        <v>20367</v>
      </c>
      <c r="UXT1" t="s">
        <v>20368</v>
      </c>
      <c r="UXU1" t="s">
        <v>20369</v>
      </c>
      <c r="UXV1" t="s">
        <v>20370</v>
      </c>
      <c r="UXW1" t="s">
        <v>20371</v>
      </c>
      <c r="UXX1" t="s">
        <v>20372</v>
      </c>
      <c r="UXY1" t="s">
        <v>20373</v>
      </c>
      <c r="UXZ1" t="s">
        <v>20374</v>
      </c>
      <c r="UYA1" t="s">
        <v>20375</v>
      </c>
      <c r="UYB1" t="s">
        <v>20376</v>
      </c>
      <c r="UYC1" t="s">
        <v>20377</v>
      </c>
      <c r="UYD1" t="s">
        <v>20378</v>
      </c>
      <c r="UYE1" t="s">
        <v>20379</v>
      </c>
      <c r="UYF1" t="s">
        <v>20380</v>
      </c>
      <c r="UYG1" t="s">
        <v>20381</v>
      </c>
      <c r="UYH1" t="s">
        <v>20382</v>
      </c>
      <c r="UYI1" t="s">
        <v>20383</v>
      </c>
      <c r="UYJ1" t="s">
        <v>20384</v>
      </c>
      <c r="UYK1" t="s">
        <v>20385</v>
      </c>
      <c r="UYL1" t="s">
        <v>20386</v>
      </c>
      <c r="UYM1" t="s">
        <v>20387</v>
      </c>
      <c r="UYN1" t="s">
        <v>20388</v>
      </c>
      <c r="UYO1" t="s">
        <v>20389</v>
      </c>
      <c r="UYP1" t="s">
        <v>20390</v>
      </c>
      <c r="UYQ1" t="s">
        <v>20391</v>
      </c>
      <c r="UYR1" t="s">
        <v>20392</v>
      </c>
      <c r="UYS1" t="s">
        <v>20393</v>
      </c>
      <c r="UYT1" t="s">
        <v>20394</v>
      </c>
      <c r="UYU1" t="s">
        <v>20395</v>
      </c>
      <c r="UYV1" t="s">
        <v>20396</v>
      </c>
      <c r="UYW1" t="s">
        <v>20397</v>
      </c>
      <c r="UYX1" t="s">
        <v>20398</v>
      </c>
      <c r="UYY1" t="s">
        <v>20399</v>
      </c>
      <c r="UYZ1" t="s">
        <v>20400</v>
      </c>
      <c r="UZA1" t="s">
        <v>20401</v>
      </c>
      <c r="UZB1" t="s">
        <v>20402</v>
      </c>
      <c r="UZC1" t="s">
        <v>20403</v>
      </c>
      <c r="UZD1" t="s">
        <v>20404</v>
      </c>
      <c r="UZE1" t="s">
        <v>20405</v>
      </c>
      <c r="UZF1" t="s">
        <v>20406</v>
      </c>
      <c r="UZG1" t="s">
        <v>20407</v>
      </c>
      <c r="UZH1" t="s">
        <v>20408</v>
      </c>
      <c r="UZI1" t="s">
        <v>20409</v>
      </c>
      <c r="UZJ1" t="s">
        <v>20410</v>
      </c>
      <c r="UZK1" t="s">
        <v>20411</v>
      </c>
      <c r="UZL1" t="s">
        <v>20412</v>
      </c>
      <c r="UZM1" t="s">
        <v>20413</v>
      </c>
      <c r="UZN1" t="s">
        <v>20414</v>
      </c>
      <c r="UZO1" t="s">
        <v>20415</v>
      </c>
      <c r="UZP1" t="s">
        <v>20416</v>
      </c>
      <c r="UZQ1" t="s">
        <v>20417</v>
      </c>
      <c r="UZR1" t="s">
        <v>20418</v>
      </c>
      <c r="UZS1" t="s">
        <v>20419</v>
      </c>
      <c r="UZT1" t="s">
        <v>20420</v>
      </c>
      <c r="UZU1" t="s">
        <v>20421</v>
      </c>
      <c r="UZV1" t="s">
        <v>20422</v>
      </c>
      <c r="UZW1" t="s">
        <v>20423</v>
      </c>
      <c r="UZX1" t="s">
        <v>20424</v>
      </c>
      <c r="UZY1" t="s">
        <v>20425</v>
      </c>
      <c r="UZZ1" t="s">
        <v>20426</v>
      </c>
      <c r="VAA1" t="s">
        <v>20427</v>
      </c>
      <c r="VAB1" t="s">
        <v>20428</v>
      </c>
      <c r="VAC1" t="s">
        <v>20429</v>
      </c>
      <c r="VAD1" t="s">
        <v>20430</v>
      </c>
      <c r="VAE1" t="s">
        <v>20431</v>
      </c>
      <c r="VAF1" t="s">
        <v>20432</v>
      </c>
      <c r="VAG1" t="s">
        <v>20433</v>
      </c>
      <c r="VAH1" t="s">
        <v>20434</v>
      </c>
      <c r="VAI1" t="s">
        <v>20435</v>
      </c>
      <c r="VAJ1" t="s">
        <v>20436</v>
      </c>
      <c r="VAK1" t="s">
        <v>20437</v>
      </c>
      <c r="VAL1" t="s">
        <v>20438</v>
      </c>
      <c r="VAM1" t="s">
        <v>20439</v>
      </c>
      <c r="VAN1" t="s">
        <v>20440</v>
      </c>
      <c r="VAO1" t="s">
        <v>20441</v>
      </c>
      <c r="VAP1" t="s">
        <v>20442</v>
      </c>
      <c r="VAQ1" t="s">
        <v>20443</v>
      </c>
      <c r="VAR1" t="s">
        <v>20444</v>
      </c>
      <c r="VAS1" t="s">
        <v>20445</v>
      </c>
      <c r="VAT1" t="s">
        <v>20446</v>
      </c>
      <c r="VAU1" t="s">
        <v>20447</v>
      </c>
      <c r="VAV1" t="s">
        <v>20448</v>
      </c>
      <c r="VAW1" t="s">
        <v>20449</v>
      </c>
      <c r="VAX1" t="s">
        <v>20450</v>
      </c>
      <c r="VAY1" t="s">
        <v>20451</v>
      </c>
      <c r="VAZ1" t="s">
        <v>20452</v>
      </c>
      <c r="VBA1" t="s">
        <v>20453</v>
      </c>
      <c r="VBB1" t="s">
        <v>20454</v>
      </c>
      <c r="VBC1" t="s">
        <v>20455</v>
      </c>
      <c r="VBD1" t="s">
        <v>20456</v>
      </c>
      <c r="VBE1" t="s">
        <v>20457</v>
      </c>
      <c r="VBF1" t="s">
        <v>20458</v>
      </c>
      <c r="VBG1" t="s">
        <v>20459</v>
      </c>
      <c r="VBH1" t="s">
        <v>20460</v>
      </c>
      <c r="VBI1" t="s">
        <v>20461</v>
      </c>
      <c r="VBJ1" t="s">
        <v>20462</v>
      </c>
      <c r="VBK1" t="s">
        <v>20463</v>
      </c>
      <c r="VBL1" t="s">
        <v>20464</v>
      </c>
      <c r="VBM1" t="s">
        <v>20465</v>
      </c>
      <c r="VBN1" t="s">
        <v>20466</v>
      </c>
      <c r="VBO1" t="s">
        <v>20467</v>
      </c>
      <c r="VBP1" t="s">
        <v>20468</v>
      </c>
      <c r="VBQ1" t="s">
        <v>20469</v>
      </c>
      <c r="VBR1" t="s">
        <v>20470</v>
      </c>
      <c r="VBS1" t="s">
        <v>20471</v>
      </c>
      <c r="VBT1" t="s">
        <v>20472</v>
      </c>
      <c r="VBU1" t="s">
        <v>20473</v>
      </c>
      <c r="VBV1" t="s">
        <v>20474</v>
      </c>
      <c r="VBW1" t="s">
        <v>20475</v>
      </c>
      <c r="VBX1" t="s">
        <v>20476</v>
      </c>
      <c r="VBY1" t="s">
        <v>20477</v>
      </c>
      <c r="VBZ1" t="s">
        <v>20478</v>
      </c>
      <c r="VCA1" t="s">
        <v>20479</v>
      </c>
      <c r="VCB1" t="s">
        <v>20480</v>
      </c>
      <c r="VCC1" t="s">
        <v>20481</v>
      </c>
      <c r="VCD1" t="s">
        <v>20482</v>
      </c>
      <c r="VCE1" t="s">
        <v>20483</v>
      </c>
      <c r="VCF1" t="s">
        <v>20484</v>
      </c>
      <c r="VCG1" t="s">
        <v>20485</v>
      </c>
      <c r="VCH1" t="s">
        <v>20486</v>
      </c>
      <c r="VCI1" t="s">
        <v>20487</v>
      </c>
      <c r="VCJ1" t="s">
        <v>20488</v>
      </c>
      <c r="VCK1" t="s">
        <v>20489</v>
      </c>
      <c r="VCL1" t="s">
        <v>20490</v>
      </c>
      <c r="VCM1" t="s">
        <v>20491</v>
      </c>
      <c r="VCN1" t="s">
        <v>20492</v>
      </c>
      <c r="VCO1" t="s">
        <v>20493</v>
      </c>
      <c r="VCP1" t="s">
        <v>20494</v>
      </c>
      <c r="VCQ1" t="s">
        <v>20495</v>
      </c>
      <c r="VCR1" t="s">
        <v>20496</v>
      </c>
      <c r="VCS1" t="s">
        <v>20497</v>
      </c>
      <c r="VCT1" t="s">
        <v>20498</v>
      </c>
      <c r="VCU1" t="s">
        <v>20499</v>
      </c>
      <c r="VCV1" t="s">
        <v>20500</v>
      </c>
      <c r="VCW1" t="s">
        <v>20501</v>
      </c>
      <c r="VCX1" t="s">
        <v>20502</v>
      </c>
      <c r="VCY1" t="s">
        <v>20503</v>
      </c>
      <c r="VCZ1" t="s">
        <v>20504</v>
      </c>
      <c r="VDA1" t="s">
        <v>20505</v>
      </c>
      <c r="VDB1" t="s">
        <v>20506</v>
      </c>
      <c r="VDC1" t="s">
        <v>20507</v>
      </c>
      <c r="VDD1" t="s">
        <v>20508</v>
      </c>
      <c r="VDE1" t="s">
        <v>20509</v>
      </c>
      <c r="VDF1" t="s">
        <v>20510</v>
      </c>
      <c r="VDG1" t="s">
        <v>20511</v>
      </c>
      <c r="VDH1" t="s">
        <v>20512</v>
      </c>
      <c r="VDI1" t="s">
        <v>20513</v>
      </c>
      <c r="VDJ1" t="s">
        <v>20514</v>
      </c>
      <c r="VDK1" t="s">
        <v>20515</v>
      </c>
      <c r="VDL1" t="s">
        <v>20516</v>
      </c>
      <c r="VDM1" t="s">
        <v>20517</v>
      </c>
      <c r="VDN1" t="s">
        <v>20518</v>
      </c>
      <c r="VDO1" t="s">
        <v>20519</v>
      </c>
      <c r="VDP1" t="s">
        <v>20520</v>
      </c>
      <c r="VDQ1" t="s">
        <v>20521</v>
      </c>
      <c r="VDR1" t="s">
        <v>20522</v>
      </c>
      <c r="VDS1" t="s">
        <v>20523</v>
      </c>
      <c r="VDT1" t="s">
        <v>20524</v>
      </c>
      <c r="VDU1" t="s">
        <v>20525</v>
      </c>
      <c r="VDV1" t="s">
        <v>20526</v>
      </c>
      <c r="VDW1" t="s">
        <v>20527</v>
      </c>
      <c r="VDX1" t="s">
        <v>20528</v>
      </c>
      <c r="VDY1" t="s">
        <v>20529</v>
      </c>
      <c r="VDZ1" t="s">
        <v>20530</v>
      </c>
      <c r="VEA1" t="s">
        <v>20531</v>
      </c>
      <c r="VEB1" t="s">
        <v>20532</v>
      </c>
      <c r="VEC1" t="s">
        <v>20533</v>
      </c>
      <c r="VED1" t="s">
        <v>20534</v>
      </c>
      <c r="VEE1" t="s">
        <v>20535</v>
      </c>
      <c r="VEF1" t="s">
        <v>20536</v>
      </c>
      <c r="VEG1" t="s">
        <v>20537</v>
      </c>
      <c r="VEH1" t="s">
        <v>20538</v>
      </c>
      <c r="VEI1" t="s">
        <v>20539</v>
      </c>
      <c r="VEJ1" t="s">
        <v>20540</v>
      </c>
      <c r="VEK1" t="s">
        <v>20541</v>
      </c>
      <c r="VEL1" t="s">
        <v>20542</v>
      </c>
      <c r="VEM1" t="s">
        <v>20543</v>
      </c>
      <c r="VEN1" t="s">
        <v>20544</v>
      </c>
      <c r="VEO1" t="s">
        <v>20545</v>
      </c>
      <c r="VEP1" t="s">
        <v>20546</v>
      </c>
      <c r="VEQ1" t="s">
        <v>20547</v>
      </c>
      <c r="VER1" t="s">
        <v>20548</v>
      </c>
      <c r="VES1" t="s">
        <v>20549</v>
      </c>
      <c r="VET1" t="s">
        <v>20550</v>
      </c>
      <c r="VEU1" t="s">
        <v>20551</v>
      </c>
      <c r="VEV1" t="s">
        <v>20552</v>
      </c>
      <c r="VEW1" t="s">
        <v>20553</v>
      </c>
      <c r="VEX1" t="s">
        <v>20554</v>
      </c>
      <c r="VEY1" t="s">
        <v>20555</v>
      </c>
      <c r="VEZ1" t="s">
        <v>20556</v>
      </c>
      <c r="VFA1" t="s">
        <v>20557</v>
      </c>
      <c r="VFB1" t="s">
        <v>20558</v>
      </c>
      <c r="VFC1" t="s">
        <v>20559</v>
      </c>
      <c r="VFD1" t="s">
        <v>20560</v>
      </c>
      <c r="VFE1" t="s">
        <v>20561</v>
      </c>
      <c r="VFF1" t="s">
        <v>20562</v>
      </c>
      <c r="VFG1" t="s">
        <v>20563</v>
      </c>
      <c r="VFH1" t="s">
        <v>20564</v>
      </c>
      <c r="VFI1" t="s">
        <v>20565</v>
      </c>
      <c r="VFJ1" t="s">
        <v>20566</v>
      </c>
      <c r="VFK1" t="s">
        <v>20567</v>
      </c>
      <c r="VFL1" t="s">
        <v>20568</v>
      </c>
      <c r="VFM1" t="s">
        <v>20569</v>
      </c>
      <c r="VFN1" t="s">
        <v>20570</v>
      </c>
      <c r="VFO1" t="s">
        <v>20571</v>
      </c>
      <c r="VFP1" t="s">
        <v>20572</v>
      </c>
      <c r="VFQ1" t="s">
        <v>20573</v>
      </c>
      <c r="VFR1" t="s">
        <v>20574</v>
      </c>
      <c r="VFS1" t="s">
        <v>20575</v>
      </c>
      <c r="VFT1" t="s">
        <v>20576</v>
      </c>
      <c r="VFU1" t="s">
        <v>20577</v>
      </c>
      <c r="VFV1" t="s">
        <v>20578</v>
      </c>
      <c r="VFW1" t="s">
        <v>20579</v>
      </c>
      <c r="VFX1" t="s">
        <v>20580</v>
      </c>
      <c r="VFY1" t="s">
        <v>20581</v>
      </c>
      <c r="VFZ1" t="s">
        <v>20582</v>
      </c>
      <c r="VGA1" t="s">
        <v>20583</v>
      </c>
      <c r="VGB1" t="s">
        <v>20584</v>
      </c>
      <c r="VGC1" t="s">
        <v>20585</v>
      </c>
      <c r="VGD1" t="s">
        <v>20586</v>
      </c>
      <c r="VGE1" t="s">
        <v>20587</v>
      </c>
      <c r="VGF1" t="s">
        <v>20588</v>
      </c>
      <c r="VGG1" t="s">
        <v>20589</v>
      </c>
      <c r="VGH1" t="s">
        <v>20590</v>
      </c>
      <c r="VGI1" t="s">
        <v>20591</v>
      </c>
      <c r="VGJ1" t="s">
        <v>20592</v>
      </c>
      <c r="VGK1" t="s">
        <v>20593</v>
      </c>
      <c r="VGL1" t="s">
        <v>20594</v>
      </c>
      <c r="VGM1" t="s">
        <v>20595</v>
      </c>
      <c r="VGN1" t="s">
        <v>20596</v>
      </c>
      <c r="VGO1" t="s">
        <v>20597</v>
      </c>
      <c r="VGP1" t="s">
        <v>20598</v>
      </c>
      <c r="VGQ1" t="s">
        <v>20599</v>
      </c>
      <c r="VGR1" t="s">
        <v>20600</v>
      </c>
      <c r="VGS1" t="s">
        <v>20601</v>
      </c>
      <c r="VGT1" t="s">
        <v>20602</v>
      </c>
      <c r="VGU1" t="s">
        <v>20603</v>
      </c>
      <c r="VGV1" t="s">
        <v>20604</v>
      </c>
      <c r="VGW1" t="s">
        <v>20605</v>
      </c>
      <c r="VGX1" t="s">
        <v>20606</v>
      </c>
      <c r="VGY1" t="s">
        <v>20607</v>
      </c>
      <c r="VGZ1" t="s">
        <v>20608</v>
      </c>
      <c r="VHA1" t="s">
        <v>20609</v>
      </c>
      <c r="VHB1" t="s">
        <v>20610</v>
      </c>
      <c r="VHC1" t="s">
        <v>20611</v>
      </c>
      <c r="VHD1" t="s">
        <v>20612</v>
      </c>
      <c r="VHE1" t="s">
        <v>20613</v>
      </c>
      <c r="VHF1" t="s">
        <v>20614</v>
      </c>
      <c r="VHG1" t="s">
        <v>20615</v>
      </c>
      <c r="VHH1" t="s">
        <v>20616</v>
      </c>
      <c r="VHI1" t="s">
        <v>20617</v>
      </c>
      <c r="VHJ1" t="s">
        <v>20618</v>
      </c>
      <c r="VHK1" t="s">
        <v>20619</v>
      </c>
      <c r="VHL1" t="s">
        <v>20620</v>
      </c>
      <c r="VHM1" t="s">
        <v>20621</v>
      </c>
      <c r="VHN1" t="s">
        <v>20622</v>
      </c>
      <c r="VHO1" t="s">
        <v>20623</v>
      </c>
      <c r="VHP1" t="s">
        <v>20624</v>
      </c>
      <c r="VHQ1" t="s">
        <v>20625</v>
      </c>
      <c r="VHR1" t="s">
        <v>20626</v>
      </c>
      <c r="VHS1" t="s">
        <v>20627</v>
      </c>
      <c r="VHT1" t="s">
        <v>20628</v>
      </c>
      <c r="VHU1" t="s">
        <v>20629</v>
      </c>
      <c r="VHV1" t="s">
        <v>20630</v>
      </c>
      <c r="VHW1" t="s">
        <v>20631</v>
      </c>
      <c r="VHX1" t="s">
        <v>20632</v>
      </c>
      <c r="VHY1" t="s">
        <v>20633</v>
      </c>
      <c r="VHZ1" t="s">
        <v>20634</v>
      </c>
      <c r="VIA1" t="s">
        <v>20635</v>
      </c>
      <c r="VIB1" t="s">
        <v>20636</v>
      </c>
      <c r="VIC1" t="s">
        <v>20637</v>
      </c>
      <c r="VID1" t="s">
        <v>20638</v>
      </c>
      <c r="VIE1" t="s">
        <v>20639</v>
      </c>
      <c r="VIF1" t="s">
        <v>20640</v>
      </c>
      <c r="VIG1" t="s">
        <v>20641</v>
      </c>
      <c r="VIH1" t="s">
        <v>20642</v>
      </c>
      <c r="VII1" t="s">
        <v>20643</v>
      </c>
      <c r="VIJ1" t="s">
        <v>20644</v>
      </c>
      <c r="VIK1" t="s">
        <v>20645</v>
      </c>
      <c r="VIL1" t="s">
        <v>20646</v>
      </c>
      <c r="VIM1" t="s">
        <v>20647</v>
      </c>
      <c r="VIN1" t="s">
        <v>20648</v>
      </c>
      <c r="VIO1" t="s">
        <v>20649</v>
      </c>
      <c r="VIP1" t="s">
        <v>20650</v>
      </c>
      <c r="VIQ1" t="s">
        <v>20651</v>
      </c>
      <c r="VIR1" t="s">
        <v>20652</v>
      </c>
      <c r="VIS1" t="s">
        <v>20653</v>
      </c>
      <c r="VIT1" t="s">
        <v>20654</v>
      </c>
      <c r="VIU1" t="s">
        <v>20655</v>
      </c>
      <c r="VIV1" t="s">
        <v>20656</v>
      </c>
      <c r="VIW1" t="s">
        <v>20657</v>
      </c>
      <c r="VIX1" t="s">
        <v>20658</v>
      </c>
      <c r="VIY1" t="s">
        <v>20659</v>
      </c>
      <c r="VIZ1" t="s">
        <v>20660</v>
      </c>
      <c r="VJA1" t="s">
        <v>20661</v>
      </c>
      <c r="VJB1" t="s">
        <v>20662</v>
      </c>
      <c r="VJC1" t="s">
        <v>20663</v>
      </c>
      <c r="VJD1" t="s">
        <v>20664</v>
      </c>
      <c r="VJE1" t="s">
        <v>20665</v>
      </c>
      <c r="VJF1" t="s">
        <v>20666</v>
      </c>
      <c r="VJG1" t="s">
        <v>20667</v>
      </c>
      <c r="VJH1" t="s">
        <v>20668</v>
      </c>
      <c r="VJI1" t="s">
        <v>20669</v>
      </c>
      <c r="VJJ1" t="s">
        <v>20670</v>
      </c>
      <c r="VJK1" t="s">
        <v>20671</v>
      </c>
      <c r="VJL1" t="s">
        <v>20672</v>
      </c>
      <c r="VJM1" t="s">
        <v>20673</v>
      </c>
      <c r="VJN1" t="s">
        <v>20674</v>
      </c>
      <c r="VJO1" t="s">
        <v>20675</v>
      </c>
      <c r="VJP1" t="s">
        <v>20676</v>
      </c>
      <c r="VJQ1" t="s">
        <v>20677</v>
      </c>
      <c r="VJR1" t="s">
        <v>20678</v>
      </c>
      <c r="VJS1" t="s">
        <v>20679</v>
      </c>
      <c r="VJT1" t="s">
        <v>20680</v>
      </c>
      <c r="VJU1" t="s">
        <v>20681</v>
      </c>
      <c r="VJV1" t="s">
        <v>20682</v>
      </c>
      <c r="VJW1" t="s">
        <v>20683</v>
      </c>
      <c r="VJX1" t="s">
        <v>20684</v>
      </c>
      <c r="VJY1" t="s">
        <v>20685</v>
      </c>
      <c r="VJZ1" t="s">
        <v>20686</v>
      </c>
      <c r="VKA1" t="s">
        <v>20687</v>
      </c>
      <c r="VKB1" t="s">
        <v>20688</v>
      </c>
      <c r="VKC1" t="s">
        <v>20689</v>
      </c>
      <c r="VKD1" t="s">
        <v>20690</v>
      </c>
      <c r="VKE1" t="s">
        <v>20691</v>
      </c>
      <c r="VKF1" t="s">
        <v>20692</v>
      </c>
      <c r="VKG1" t="s">
        <v>20693</v>
      </c>
      <c r="VKH1" t="s">
        <v>20694</v>
      </c>
      <c r="VKI1" t="s">
        <v>20695</v>
      </c>
      <c r="VKJ1" t="s">
        <v>20696</v>
      </c>
      <c r="VKK1" t="s">
        <v>20697</v>
      </c>
      <c r="VKL1" t="s">
        <v>20698</v>
      </c>
      <c r="VKM1" t="s">
        <v>20699</v>
      </c>
      <c r="VKN1" t="s">
        <v>20700</v>
      </c>
      <c r="VKO1" t="s">
        <v>20701</v>
      </c>
      <c r="VKP1" t="s">
        <v>20702</v>
      </c>
      <c r="VKQ1" t="s">
        <v>20703</v>
      </c>
      <c r="VKR1" t="s">
        <v>20704</v>
      </c>
      <c r="VKS1" t="s">
        <v>20705</v>
      </c>
      <c r="VKT1" t="s">
        <v>20706</v>
      </c>
      <c r="VKU1" t="s">
        <v>20707</v>
      </c>
      <c r="VKV1" t="s">
        <v>20708</v>
      </c>
      <c r="VKW1" t="s">
        <v>20709</v>
      </c>
      <c r="VKX1" t="s">
        <v>20710</v>
      </c>
      <c r="VKY1" t="s">
        <v>20711</v>
      </c>
      <c r="VKZ1" t="s">
        <v>20712</v>
      </c>
      <c r="VLA1" t="s">
        <v>20713</v>
      </c>
      <c r="VLB1" t="s">
        <v>20714</v>
      </c>
      <c r="VLC1" t="s">
        <v>20715</v>
      </c>
      <c r="VLD1" t="s">
        <v>20716</v>
      </c>
      <c r="VLE1" t="s">
        <v>20717</v>
      </c>
      <c r="VLF1" t="s">
        <v>20718</v>
      </c>
      <c r="VLG1" t="s">
        <v>20719</v>
      </c>
      <c r="VLH1" t="s">
        <v>20720</v>
      </c>
      <c r="VLI1" t="s">
        <v>20721</v>
      </c>
      <c r="VLJ1" t="s">
        <v>20722</v>
      </c>
      <c r="VLK1" t="s">
        <v>20723</v>
      </c>
      <c r="VLL1" t="s">
        <v>20724</v>
      </c>
      <c r="VLM1" t="s">
        <v>20725</v>
      </c>
      <c r="VLN1" t="s">
        <v>20726</v>
      </c>
      <c r="VLO1" t="s">
        <v>20727</v>
      </c>
      <c r="VLP1" t="s">
        <v>20728</v>
      </c>
      <c r="VLQ1" t="s">
        <v>20729</v>
      </c>
      <c r="VLR1" t="s">
        <v>20730</v>
      </c>
      <c r="VLS1" t="s">
        <v>20731</v>
      </c>
      <c r="VLT1" t="s">
        <v>20732</v>
      </c>
      <c r="VLU1" t="s">
        <v>20733</v>
      </c>
      <c r="VLV1" t="s">
        <v>20734</v>
      </c>
      <c r="VLW1" t="s">
        <v>20735</v>
      </c>
      <c r="VLX1" t="s">
        <v>20736</v>
      </c>
      <c r="VLY1" t="s">
        <v>20737</v>
      </c>
      <c r="VLZ1" t="s">
        <v>20738</v>
      </c>
      <c r="VMA1" t="s">
        <v>20739</v>
      </c>
      <c r="VMB1" t="s">
        <v>20740</v>
      </c>
      <c r="VMC1" t="s">
        <v>20741</v>
      </c>
      <c r="VMD1" t="s">
        <v>20742</v>
      </c>
      <c r="VME1" t="s">
        <v>20743</v>
      </c>
      <c r="VMF1" t="s">
        <v>20744</v>
      </c>
      <c r="VMG1" t="s">
        <v>20745</v>
      </c>
      <c r="VMH1" t="s">
        <v>20746</v>
      </c>
      <c r="VMI1" t="s">
        <v>20747</v>
      </c>
      <c r="VMJ1" t="s">
        <v>20748</v>
      </c>
      <c r="VMK1" t="s">
        <v>20749</v>
      </c>
      <c r="VML1" t="s">
        <v>20750</v>
      </c>
      <c r="VMM1" t="s">
        <v>20751</v>
      </c>
      <c r="VMN1" t="s">
        <v>20752</v>
      </c>
      <c r="VMO1" t="s">
        <v>20753</v>
      </c>
      <c r="VMP1" t="s">
        <v>20754</v>
      </c>
      <c r="VMQ1" t="s">
        <v>20755</v>
      </c>
      <c r="VMR1" t="s">
        <v>20756</v>
      </c>
      <c r="VMS1" t="s">
        <v>20757</v>
      </c>
      <c r="VMT1" t="s">
        <v>20758</v>
      </c>
      <c r="VMU1" t="s">
        <v>20759</v>
      </c>
      <c r="VMV1" t="s">
        <v>20760</v>
      </c>
      <c r="VMW1" t="s">
        <v>20761</v>
      </c>
      <c r="VMX1" t="s">
        <v>20762</v>
      </c>
      <c r="VMY1" t="s">
        <v>20763</v>
      </c>
      <c r="VMZ1" t="s">
        <v>20764</v>
      </c>
      <c r="VNA1" t="s">
        <v>20765</v>
      </c>
      <c r="VNB1" t="s">
        <v>20766</v>
      </c>
      <c r="VNC1" t="s">
        <v>20767</v>
      </c>
      <c r="VND1" t="s">
        <v>20768</v>
      </c>
      <c r="VNE1" t="s">
        <v>20769</v>
      </c>
      <c r="VNF1" t="s">
        <v>20770</v>
      </c>
      <c r="VNG1" t="s">
        <v>20771</v>
      </c>
      <c r="VNH1" t="s">
        <v>20772</v>
      </c>
      <c r="VNI1" t="s">
        <v>20773</v>
      </c>
      <c r="VNJ1" t="s">
        <v>20774</v>
      </c>
      <c r="VNK1" t="s">
        <v>20775</v>
      </c>
      <c r="VNL1" t="s">
        <v>20776</v>
      </c>
      <c r="VNM1" t="s">
        <v>20777</v>
      </c>
      <c r="VNN1" t="s">
        <v>20778</v>
      </c>
      <c r="VNO1" t="s">
        <v>20779</v>
      </c>
      <c r="VNP1" t="s">
        <v>20780</v>
      </c>
      <c r="VNQ1" t="s">
        <v>20781</v>
      </c>
      <c r="VNR1" t="s">
        <v>20782</v>
      </c>
      <c r="VNS1" t="s">
        <v>20783</v>
      </c>
      <c r="VNT1" t="s">
        <v>20784</v>
      </c>
      <c r="VNU1" t="s">
        <v>20785</v>
      </c>
      <c r="VNV1" t="s">
        <v>20786</v>
      </c>
      <c r="VNW1" t="s">
        <v>20787</v>
      </c>
      <c r="VNX1" t="s">
        <v>20788</v>
      </c>
      <c r="VNY1" t="s">
        <v>20789</v>
      </c>
      <c r="VNZ1" t="s">
        <v>20790</v>
      </c>
      <c r="VOA1" t="s">
        <v>20791</v>
      </c>
      <c r="VOB1" t="s">
        <v>20792</v>
      </c>
      <c r="VOC1" t="s">
        <v>20793</v>
      </c>
      <c r="VOD1" t="s">
        <v>20794</v>
      </c>
      <c r="VOE1" t="s">
        <v>20795</v>
      </c>
      <c r="VOF1" t="s">
        <v>20796</v>
      </c>
      <c r="VOG1" t="s">
        <v>20797</v>
      </c>
      <c r="VOH1" t="s">
        <v>20798</v>
      </c>
      <c r="VOI1" t="s">
        <v>20799</v>
      </c>
      <c r="VOJ1" t="s">
        <v>20800</v>
      </c>
      <c r="VOK1" t="s">
        <v>20801</v>
      </c>
      <c r="VOL1" t="s">
        <v>20802</v>
      </c>
      <c r="VOM1" t="s">
        <v>20803</v>
      </c>
      <c r="VON1" t="s">
        <v>20804</v>
      </c>
      <c r="VOO1" t="s">
        <v>20805</v>
      </c>
      <c r="VOP1" t="s">
        <v>20806</v>
      </c>
      <c r="VOQ1" t="s">
        <v>20807</v>
      </c>
      <c r="VOR1" t="s">
        <v>20808</v>
      </c>
      <c r="VOS1" t="s">
        <v>20809</v>
      </c>
      <c r="VOT1" t="s">
        <v>20810</v>
      </c>
      <c r="VOU1" t="s">
        <v>20811</v>
      </c>
      <c r="VOV1" t="s">
        <v>20812</v>
      </c>
      <c r="VOW1" t="s">
        <v>20813</v>
      </c>
      <c r="VOX1" t="s">
        <v>20814</v>
      </c>
      <c r="VOY1" t="s">
        <v>20815</v>
      </c>
      <c r="VOZ1" t="s">
        <v>20816</v>
      </c>
      <c r="VPA1" t="s">
        <v>20817</v>
      </c>
      <c r="VPB1" t="s">
        <v>20818</v>
      </c>
      <c r="VPC1" t="s">
        <v>20819</v>
      </c>
      <c r="VPD1" t="s">
        <v>20820</v>
      </c>
      <c r="VPE1" t="s">
        <v>20821</v>
      </c>
      <c r="VPF1" t="s">
        <v>20822</v>
      </c>
      <c r="VPG1" t="s">
        <v>20823</v>
      </c>
      <c r="VPH1" t="s">
        <v>20824</v>
      </c>
      <c r="VPI1" t="s">
        <v>20825</v>
      </c>
      <c r="VPJ1" t="s">
        <v>20826</v>
      </c>
      <c r="VPK1" t="s">
        <v>20827</v>
      </c>
      <c r="VPL1" t="s">
        <v>20828</v>
      </c>
      <c r="VPM1" t="s">
        <v>20829</v>
      </c>
      <c r="VPN1" t="s">
        <v>20830</v>
      </c>
      <c r="VPO1" t="s">
        <v>20831</v>
      </c>
      <c r="VPP1" t="s">
        <v>20832</v>
      </c>
      <c r="VPQ1" t="s">
        <v>20833</v>
      </c>
      <c r="VPR1" t="s">
        <v>20834</v>
      </c>
      <c r="VPS1" t="s">
        <v>20835</v>
      </c>
      <c r="VPT1" t="s">
        <v>20836</v>
      </c>
      <c r="VPU1" t="s">
        <v>20837</v>
      </c>
      <c r="VPV1" t="s">
        <v>20838</v>
      </c>
      <c r="VPW1" t="s">
        <v>20839</v>
      </c>
      <c r="VPX1" t="s">
        <v>20840</v>
      </c>
      <c r="VPY1" t="s">
        <v>20841</v>
      </c>
      <c r="VPZ1" t="s">
        <v>20842</v>
      </c>
      <c r="VQA1" t="s">
        <v>20843</v>
      </c>
      <c r="VQB1" t="s">
        <v>20844</v>
      </c>
      <c r="VQC1" t="s">
        <v>20845</v>
      </c>
      <c r="VQD1" t="s">
        <v>20846</v>
      </c>
      <c r="VQE1" t="s">
        <v>20847</v>
      </c>
      <c r="VQF1" t="s">
        <v>20848</v>
      </c>
      <c r="VQG1" t="s">
        <v>20849</v>
      </c>
      <c r="VQH1" t="s">
        <v>20850</v>
      </c>
      <c r="VQI1" t="s">
        <v>20851</v>
      </c>
      <c r="VQJ1" t="s">
        <v>20852</v>
      </c>
      <c r="VQK1" t="s">
        <v>20853</v>
      </c>
      <c r="VQL1" t="s">
        <v>20854</v>
      </c>
      <c r="VQM1" t="s">
        <v>20855</v>
      </c>
      <c r="VQN1" t="s">
        <v>20856</v>
      </c>
      <c r="VQO1" t="s">
        <v>20857</v>
      </c>
      <c r="VQP1" t="s">
        <v>20858</v>
      </c>
      <c r="VQQ1" t="s">
        <v>20859</v>
      </c>
      <c r="VQR1" t="s">
        <v>20860</v>
      </c>
      <c r="VQS1" t="s">
        <v>20861</v>
      </c>
      <c r="VQT1" t="s">
        <v>20862</v>
      </c>
      <c r="VQU1" t="s">
        <v>20863</v>
      </c>
      <c r="VQV1" t="s">
        <v>20864</v>
      </c>
      <c r="VQW1" t="s">
        <v>20865</v>
      </c>
      <c r="VQX1" t="s">
        <v>20866</v>
      </c>
      <c r="VQY1" t="s">
        <v>20867</v>
      </c>
      <c r="VQZ1" t="s">
        <v>20868</v>
      </c>
      <c r="VRA1" t="s">
        <v>20869</v>
      </c>
      <c r="VRB1" t="s">
        <v>20870</v>
      </c>
      <c r="VRC1" t="s">
        <v>20871</v>
      </c>
      <c r="VRD1" t="s">
        <v>20872</v>
      </c>
      <c r="VRE1" t="s">
        <v>20873</v>
      </c>
      <c r="VRF1" t="s">
        <v>20874</v>
      </c>
      <c r="VRG1" t="s">
        <v>20875</v>
      </c>
      <c r="VRH1" t="s">
        <v>20876</v>
      </c>
      <c r="VRI1" t="s">
        <v>20877</v>
      </c>
      <c r="VRJ1" t="s">
        <v>20878</v>
      </c>
      <c r="VRK1" t="s">
        <v>20879</v>
      </c>
      <c r="VRL1" t="s">
        <v>20880</v>
      </c>
      <c r="VRM1" t="s">
        <v>20881</v>
      </c>
      <c r="VRN1" t="s">
        <v>20882</v>
      </c>
      <c r="VRO1" t="s">
        <v>20883</v>
      </c>
      <c r="VRP1" t="s">
        <v>20884</v>
      </c>
      <c r="VRQ1" t="s">
        <v>20885</v>
      </c>
      <c r="VRR1" t="s">
        <v>20886</v>
      </c>
      <c r="VRS1" t="s">
        <v>20887</v>
      </c>
      <c r="VRT1" t="s">
        <v>20888</v>
      </c>
      <c r="VRU1" t="s">
        <v>20889</v>
      </c>
      <c r="VRV1" t="s">
        <v>20890</v>
      </c>
      <c r="VRW1" t="s">
        <v>20891</v>
      </c>
      <c r="VRX1" t="s">
        <v>20892</v>
      </c>
      <c r="VRY1" t="s">
        <v>20893</v>
      </c>
      <c r="VRZ1" t="s">
        <v>20894</v>
      </c>
      <c r="VSA1" t="s">
        <v>20895</v>
      </c>
      <c r="VSB1" t="s">
        <v>20896</v>
      </c>
      <c r="VSC1" t="s">
        <v>20897</v>
      </c>
      <c r="VSD1" t="s">
        <v>20898</v>
      </c>
      <c r="VSE1" t="s">
        <v>20899</v>
      </c>
      <c r="VSF1" t="s">
        <v>20900</v>
      </c>
      <c r="VSG1" t="s">
        <v>20901</v>
      </c>
      <c r="VSH1" t="s">
        <v>20902</v>
      </c>
      <c r="VSI1" t="s">
        <v>20903</v>
      </c>
      <c r="VSJ1" t="s">
        <v>20904</v>
      </c>
      <c r="VSK1" t="s">
        <v>20905</v>
      </c>
      <c r="VSL1" t="s">
        <v>20906</v>
      </c>
      <c r="VSM1" t="s">
        <v>20907</v>
      </c>
      <c r="VSN1" t="s">
        <v>20908</v>
      </c>
      <c r="VSO1" t="s">
        <v>20909</v>
      </c>
      <c r="VSP1" t="s">
        <v>20910</v>
      </c>
      <c r="VSQ1" t="s">
        <v>20911</v>
      </c>
      <c r="VSR1" t="s">
        <v>20912</v>
      </c>
      <c r="VSS1" t="s">
        <v>20913</v>
      </c>
      <c r="VST1" t="s">
        <v>20914</v>
      </c>
      <c r="VSU1" t="s">
        <v>20915</v>
      </c>
      <c r="VSV1" t="s">
        <v>20916</v>
      </c>
      <c r="VSW1" t="s">
        <v>20917</v>
      </c>
      <c r="VSX1" t="s">
        <v>20918</v>
      </c>
      <c r="VSY1" t="s">
        <v>20919</v>
      </c>
      <c r="VSZ1" t="s">
        <v>20920</v>
      </c>
      <c r="VTA1" t="s">
        <v>20921</v>
      </c>
      <c r="VTB1" t="s">
        <v>20922</v>
      </c>
      <c r="VTC1" t="s">
        <v>20923</v>
      </c>
      <c r="VTD1" t="s">
        <v>20924</v>
      </c>
      <c r="VTE1" t="s">
        <v>20925</v>
      </c>
      <c r="VTF1" t="s">
        <v>20926</v>
      </c>
      <c r="VTG1" t="s">
        <v>20927</v>
      </c>
      <c r="VTH1" t="s">
        <v>20928</v>
      </c>
      <c r="VTI1" t="s">
        <v>20929</v>
      </c>
      <c r="VTJ1" t="s">
        <v>20930</v>
      </c>
      <c r="VTK1" t="s">
        <v>20931</v>
      </c>
      <c r="VTL1" t="s">
        <v>20932</v>
      </c>
      <c r="VTM1" t="s">
        <v>20933</v>
      </c>
      <c r="VTN1" t="s">
        <v>20934</v>
      </c>
      <c r="VTO1" t="s">
        <v>20935</v>
      </c>
      <c r="VTP1" t="s">
        <v>20936</v>
      </c>
      <c r="VTQ1" t="s">
        <v>20937</v>
      </c>
      <c r="VTR1" t="s">
        <v>20938</v>
      </c>
      <c r="VTS1" t="s">
        <v>20939</v>
      </c>
      <c r="VTT1" t="s">
        <v>20940</v>
      </c>
      <c r="VTU1" t="s">
        <v>20941</v>
      </c>
      <c r="VTV1" t="s">
        <v>20942</v>
      </c>
      <c r="VTW1" t="s">
        <v>20943</v>
      </c>
      <c r="VTX1" t="s">
        <v>20944</v>
      </c>
      <c r="VTY1" t="s">
        <v>20945</v>
      </c>
      <c r="VTZ1" t="s">
        <v>20946</v>
      </c>
      <c r="VUA1" t="s">
        <v>20947</v>
      </c>
      <c r="VUB1" t="s">
        <v>20948</v>
      </c>
      <c r="VUC1" t="s">
        <v>20949</v>
      </c>
      <c r="VUD1" t="s">
        <v>20950</v>
      </c>
      <c r="VUE1" t="s">
        <v>20951</v>
      </c>
      <c r="VUF1" t="s">
        <v>20952</v>
      </c>
      <c r="VUG1" t="s">
        <v>20953</v>
      </c>
      <c r="VUH1" t="s">
        <v>20954</v>
      </c>
      <c r="VUI1" t="s">
        <v>20955</v>
      </c>
      <c r="VUJ1" t="s">
        <v>20956</v>
      </c>
      <c r="VUK1" t="s">
        <v>20957</v>
      </c>
      <c r="VUL1" t="s">
        <v>20958</v>
      </c>
      <c r="VUM1" t="s">
        <v>20959</v>
      </c>
      <c r="VUN1" t="s">
        <v>20960</v>
      </c>
      <c r="VUO1" t="s">
        <v>20961</v>
      </c>
      <c r="VUP1" t="s">
        <v>20962</v>
      </c>
      <c r="VUQ1" t="s">
        <v>20963</v>
      </c>
      <c r="VUR1" t="s">
        <v>20964</v>
      </c>
      <c r="VUS1" t="s">
        <v>20965</v>
      </c>
      <c r="VUT1" t="s">
        <v>20966</v>
      </c>
      <c r="VUU1" t="s">
        <v>20967</v>
      </c>
      <c r="VUV1" t="s">
        <v>20968</v>
      </c>
      <c r="VUW1" t="s">
        <v>20969</v>
      </c>
      <c r="VUX1" t="s">
        <v>20970</v>
      </c>
      <c r="VUY1" t="s">
        <v>20971</v>
      </c>
      <c r="VUZ1" t="s">
        <v>20972</v>
      </c>
      <c r="VVA1" t="s">
        <v>20973</v>
      </c>
      <c r="VVB1" t="s">
        <v>20974</v>
      </c>
      <c r="VVC1" t="s">
        <v>20975</v>
      </c>
      <c r="VVD1" t="s">
        <v>20976</v>
      </c>
      <c r="VVE1" t="s">
        <v>20977</v>
      </c>
      <c r="VVF1" t="s">
        <v>20978</v>
      </c>
      <c r="VVG1" t="s">
        <v>20979</v>
      </c>
      <c r="VVH1" t="s">
        <v>20980</v>
      </c>
      <c r="VVI1" t="s">
        <v>20981</v>
      </c>
      <c r="VVJ1" t="s">
        <v>20982</v>
      </c>
      <c r="VVK1" t="s">
        <v>20983</v>
      </c>
      <c r="VVL1" t="s">
        <v>20984</v>
      </c>
      <c r="VVM1" t="s">
        <v>20985</v>
      </c>
      <c r="VVN1" t="s">
        <v>20986</v>
      </c>
      <c r="VVO1" t="s">
        <v>20987</v>
      </c>
      <c r="VVP1" t="s">
        <v>20988</v>
      </c>
      <c r="VVQ1" t="s">
        <v>20989</v>
      </c>
      <c r="VVR1" t="s">
        <v>20990</v>
      </c>
      <c r="VVS1" t="s">
        <v>20991</v>
      </c>
      <c r="VVT1" t="s">
        <v>20992</v>
      </c>
      <c r="VVU1" t="s">
        <v>20993</v>
      </c>
      <c r="VVV1" t="s">
        <v>20994</v>
      </c>
      <c r="VVW1" t="s">
        <v>20995</v>
      </c>
      <c r="VVX1" t="s">
        <v>20996</v>
      </c>
      <c r="VVY1" t="s">
        <v>20997</v>
      </c>
      <c r="VVZ1" t="s">
        <v>20998</v>
      </c>
      <c r="VWA1" t="s">
        <v>20999</v>
      </c>
      <c r="VWB1" t="s">
        <v>21000</v>
      </c>
      <c r="VWC1" t="s">
        <v>21001</v>
      </c>
      <c r="VWD1" t="s">
        <v>21002</v>
      </c>
      <c r="VWE1" t="s">
        <v>21003</v>
      </c>
      <c r="VWF1" t="s">
        <v>21004</v>
      </c>
      <c r="VWG1" t="s">
        <v>21005</v>
      </c>
      <c r="VWH1" t="s">
        <v>21006</v>
      </c>
      <c r="VWI1" t="s">
        <v>21007</v>
      </c>
      <c r="VWJ1" t="s">
        <v>21008</v>
      </c>
      <c r="VWK1" t="s">
        <v>21009</v>
      </c>
      <c r="VWL1" t="s">
        <v>21010</v>
      </c>
      <c r="VWM1" t="s">
        <v>21011</v>
      </c>
      <c r="VWN1" t="s">
        <v>21012</v>
      </c>
      <c r="VWO1" t="s">
        <v>21013</v>
      </c>
      <c r="VWP1" t="s">
        <v>21014</v>
      </c>
      <c r="VWQ1" t="s">
        <v>21015</v>
      </c>
      <c r="VWR1" t="s">
        <v>21016</v>
      </c>
      <c r="VWS1" t="s">
        <v>21017</v>
      </c>
      <c r="VWT1" t="s">
        <v>21018</v>
      </c>
      <c r="VWU1" t="s">
        <v>21019</v>
      </c>
      <c r="VWV1" t="s">
        <v>21020</v>
      </c>
      <c r="VWW1" t="s">
        <v>21021</v>
      </c>
      <c r="VWX1" t="s">
        <v>21022</v>
      </c>
      <c r="VWY1" t="s">
        <v>21023</v>
      </c>
      <c r="VWZ1" t="s">
        <v>21024</v>
      </c>
      <c r="VXA1" t="s">
        <v>21025</v>
      </c>
      <c r="VXB1" t="s">
        <v>21026</v>
      </c>
      <c r="VXC1" t="s">
        <v>21027</v>
      </c>
      <c r="VXD1" t="s">
        <v>21028</v>
      </c>
      <c r="VXE1" t="s">
        <v>21029</v>
      </c>
      <c r="VXF1" t="s">
        <v>21030</v>
      </c>
      <c r="VXG1" t="s">
        <v>21031</v>
      </c>
      <c r="VXH1" t="s">
        <v>21032</v>
      </c>
      <c r="VXI1" t="s">
        <v>21033</v>
      </c>
      <c r="VXJ1" t="s">
        <v>21034</v>
      </c>
      <c r="VXK1" t="s">
        <v>21035</v>
      </c>
      <c r="VXL1" t="s">
        <v>21036</v>
      </c>
      <c r="VXM1" t="s">
        <v>21037</v>
      </c>
      <c r="VXN1" t="s">
        <v>21038</v>
      </c>
      <c r="VXO1" t="s">
        <v>21039</v>
      </c>
      <c r="VXP1" t="s">
        <v>21040</v>
      </c>
      <c r="VXQ1" t="s">
        <v>21041</v>
      </c>
      <c r="VXR1" t="s">
        <v>21042</v>
      </c>
      <c r="VXS1" t="s">
        <v>21043</v>
      </c>
      <c r="VXT1" t="s">
        <v>21044</v>
      </c>
      <c r="VXU1" t="s">
        <v>21045</v>
      </c>
      <c r="VXV1" t="s">
        <v>21046</v>
      </c>
      <c r="VXW1" t="s">
        <v>21047</v>
      </c>
      <c r="VXX1" t="s">
        <v>21048</v>
      </c>
      <c r="VXY1" t="s">
        <v>21049</v>
      </c>
      <c r="VXZ1" t="s">
        <v>21050</v>
      </c>
      <c r="VYA1" t="s">
        <v>21051</v>
      </c>
      <c r="VYB1" t="s">
        <v>21052</v>
      </c>
      <c r="VYC1" t="s">
        <v>21053</v>
      </c>
      <c r="VYD1" t="s">
        <v>21054</v>
      </c>
      <c r="VYE1" t="s">
        <v>21055</v>
      </c>
      <c r="VYF1" t="s">
        <v>21056</v>
      </c>
      <c r="VYG1" t="s">
        <v>21057</v>
      </c>
      <c r="VYH1" t="s">
        <v>21058</v>
      </c>
      <c r="VYI1" t="s">
        <v>21059</v>
      </c>
      <c r="VYJ1" t="s">
        <v>21060</v>
      </c>
      <c r="VYK1" t="s">
        <v>21061</v>
      </c>
      <c r="VYL1" t="s">
        <v>21062</v>
      </c>
      <c r="VYM1" t="s">
        <v>21063</v>
      </c>
      <c r="VYN1" t="s">
        <v>21064</v>
      </c>
      <c r="VYO1" t="s">
        <v>21065</v>
      </c>
      <c r="VYP1" t="s">
        <v>21066</v>
      </c>
      <c r="VYQ1" t="s">
        <v>21067</v>
      </c>
      <c r="VYR1" t="s">
        <v>21068</v>
      </c>
      <c r="VYS1" t="s">
        <v>21069</v>
      </c>
      <c r="VYT1" t="s">
        <v>21070</v>
      </c>
      <c r="VYU1" t="s">
        <v>21071</v>
      </c>
      <c r="VYV1" t="s">
        <v>21072</v>
      </c>
      <c r="VYW1" t="s">
        <v>21073</v>
      </c>
      <c r="VYX1" t="s">
        <v>21074</v>
      </c>
      <c r="VYY1" t="s">
        <v>21075</v>
      </c>
      <c r="VYZ1" t="s">
        <v>21076</v>
      </c>
      <c r="VZA1" t="s">
        <v>21077</v>
      </c>
      <c r="VZB1" t="s">
        <v>21078</v>
      </c>
      <c r="VZC1" t="s">
        <v>21079</v>
      </c>
      <c r="VZD1" t="s">
        <v>21080</v>
      </c>
      <c r="VZE1" t="s">
        <v>21081</v>
      </c>
      <c r="VZF1" t="s">
        <v>21082</v>
      </c>
      <c r="VZG1" t="s">
        <v>21083</v>
      </c>
      <c r="VZH1" t="s">
        <v>21084</v>
      </c>
      <c r="VZI1" t="s">
        <v>21085</v>
      </c>
      <c r="VZJ1" t="s">
        <v>21086</v>
      </c>
      <c r="VZK1" t="s">
        <v>21087</v>
      </c>
      <c r="VZL1" t="s">
        <v>21088</v>
      </c>
      <c r="VZM1" t="s">
        <v>21089</v>
      </c>
      <c r="VZN1" t="s">
        <v>21090</v>
      </c>
      <c r="VZO1" t="s">
        <v>21091</v>
      </c>
      <c r="VZP1" t="s">
        <v>21092</v>
      </c>
      <c r="VZQ1" t="s">
        <v>21093</v>
      </c>
      <c r="VZR1" t="s">
        <v>21094</v>
      </c>
      <c r="VZS1" t="s">
        <v>21095</v>
      </c>
      <c r="VZT1" t="s">
        <v>21096</v>
      </c>
      <c r="VZU1" t="s">
        <v>21097</v>
      </c>
      <c r="VZV1" t="s">
        <v>21098</v>
      </c>
      <c r="VZW1" t="s">
        <v>21099</v>
      </c>
      <c r="VZX1" t="s">
        <v>21100</v>
      </c>
      <c r="VZY1" t="s">
        <v>21101</v>
      </c>
      <c r="VZZ1" t="s">
        <v>21102</v>
      </c>
      <c r="WAA1" t="s">
        <v>21103</v>
      </c>
      <c r="WAB1" t="s">
        <v>21104</v>
      </c>
      <c r="WAC1" t="s">
        <v>21105</v>
      </c>
      <c r="WAD1" t="s">
        <v>21106</v>
      </c>
      <c r="WAE1" t="s">
        <v>21107</v>
      </c>
      <c r="WAF1" t="s">
        <v>21108</v>
      </c>
      <c r="WAG1" t="s">
        <v>21109</v>
      </c>
      <c r="WAH1" t="s">
        <v>21110</v>
      </c>
      <c r="WAI1" t="s">
        <v>21111</v>
      </c>
      <c r="WAJ1" t="s">
        <v>21112</v>
      </c>
      <c r="WAK1" t="s">
        <v>21113</v>
      </c>
      <c r="WAL1" t="s">
        <v>21114</v>
      </c>
      <c r="WAM1" t="s">
        <v>21115</v>
      </c>
      <c r="WAN1" t="s">
        <v>21116</v>
      </c>
      <c r="WAO1" t="s">
        <v>21117</v>
      </c>
      <c r="WAP1" t="s">
        <v>21118</v>
      </c>
      <c r="WAQ1" t="s">
        <v>21119</v>
      </c>
      <c r="WAR1" t="s">
        <v>21120</v>
      </c>
      <c r="WAS1" t="s">
        <v>21121</v>
      </c>
      <c r="WAT1" t="s">
        <v>21122</v>
      </c>
      <c r="WAU1" t="s">
        <v>21123</v>
      </c>
      <c r="WAV1" t="s">
        <v>21124</v>
      </c>
      <c r="WAW1" t="s">
        <v>21125</v>
      </c>
      <c r="WAX1" t="s">
        <v>21126</v>
      </c>
      <c r="WAY1" t="s">
        <v>21127</v>
      </c>
      <c r="WAZ1" t="s">
        <v>21128</v>
      </c>
      <c r="WBA1" t="s">
        <v>21129</v>
      </c>
      <c r="WBB1" t="s">
        <v>21130</v>
      </c>
      <c r="WBC1" t="s">
        <v>21131</v>
      </c>
      <c r="WBD1" t="s">
        <v>21132</v>
      </c>
      <c r="WBE1" t="s">
        <v>21133</v>
      </c>
      <c r="WBF1" t="s">
        <v>21134</v>
      </c>
      <c r="WBG1" t="s">
        <v>21135</v>
      </c>
      <c r="WBH1" t="s">
        <v>21136</v>
      </c>
      <c r="WBI1" t="s">
        <v>21137</v>
      </c>
      <c r="WBJ1" t="s">
        <v>21138</v>
      </c>
      <c r="WBK1" t="s">
        <v>21139</v>
      </c>
      <c r="WBL1" t="s">
        <v>21140</v>
      </c>
      <c r="WBM1" t="s">
        <v>21141</v>
      </c>
      <c r="WBN1" t="s">
        <v>21142</v>
      </c>
      <c r="WBO1" t="s">
        <v>21143</v>
      </c>
      <c r="WBP1" t="s">
        <v>21144</v>
      </c>
      <c r="WBQ1" t="s">
        <v>21145</v>
      </c>
      <c r="WBR1" t="s">
        <v>21146</v>
      </c>
      <c r="WBS1" t="s">
        <v>21147</v>
      </c>
      <c r="WBT1" t="s">
        <v>21148</v>
      </c>
      <c r="WBU1" t="s">
        <v>21149</v>
      </c>
      <c r="WBV1" t="s">
        <v>21150</v>
      </c>
      <c r="WBW1" t="s">
        <v>21151</v>
      </c>
      <c r="WBX1" t="s">
        <v>21152</v>
      </c>
      <c r="WBY1" t="s">
        <v>21153</v>
      </c>
      <c r="WBZ1" t="s">
        <v>21154</v>
      </c>
      <c r="WCA1" t="s">
        <v>21155</v>
      </c>
      <c r="WCB1" t="s">
        <v>21156</v>
      </c>
      <c r="WCC1" t="s">
        <v>21157</v>
      </c>
      <c r="WCD1" t="s">
        <v>21158</v>
      </c>
      <c r="WCE1" t="s">
        <v>21159</v>
      </c>
      <c r="WCF1" t="s">
        <v>21160</v>
      </c>
      <c r="WCG1" t="s">
        <v>21161</v>
      </c>
      <c r="WCH1" t="s">
        <v>21162</v>
      </c>
      <c r="WCI1" t="s">
        <v>21163</v>
      </c>
      <c r="WCJ1" t="s">
        <v>21164</v>
      </c>
      <c r="WCK1" t="s">
        <v>21165</v>
      </c>
      <c r="WCL1" t="s">
        <v>21166</v>
      </c>
      <c r="WCM1" t="s">
        <v>21167</v>
      </c>
      <c r="WCN1" t="s">
        <v>21168</v>
      </c>
      <c r="WCO1" t="s">
        <v>21169</v>
      </c>
      <c r="WCP1" t="s">
        <v>21170</v>
      </c>
      <c r="WCQ1" t="s">
        <v>21171</v>
      </c>
      <c r="WCR1" t="s">
        <v>21172</v>
      </c>
      <c r="WCS1" t="s">
        <v>21173</v>
      </c>
      <c r="WCT1" t="s">
        <v>21174</v>
      </c>
      <c r="WCU1" t="s">
        <v>21175</v>
      </c>
      <c r="WCV1" t="s">
        <v>21176</v>
      </c>
      <c r="WCW1" t="s">
        <v>21177</v>
      </c>
      <c r="WCX1" t="s">
        <v>21178</v>
      </c>
      <c r="WCY1" t="s">
        <v>21179</v>
      </c>
      <c r="WCZ1" t="s">
        <v>21180</v>
      </c>
      <c r="WDA1" t="s">
        <v>21181</v>
      </c>
      <c r="WDB1" t="s">
        <v>21182</v>
      </c>
      <c r="WDC1" t="s">
        <v>21183</v>
      </c>
      <c r="WDD1" t="s">
        <v>21184</v>
      </c>
      <c r="WDE1" t="s">
        <v>21185</v>
      </c>
      <c r="WDF1" t="s">
        <v>21186</v>
      </c>
      <c r="WDG1" t="s">
        <v>21187</v>
      </c>
      <c r="WDH1" t="s">
        <v>21188</v>
      </c>
      <c r="WDI1" t="s">
        <v>21189</v>
      </c>
      <c r="WDJ1" t="s">
        <v>21190</v>
      </c>
      <c r="WDK1" t="s">
        <v>21191</v>
      </c>
      <c r="WDL1" t="s">
        <v>21192</v>
      </c>
      <c r="WDM1" t="s">
        <v>21193</v>
      </c>
      <c r="WDN1" t="s">
        <v>21194</v>
      </c>
      <c r="WDO1" t="s">
        <v>21195</v>
      </c>
      <c r="WDP1" t="s">
        <v>21196</v>
      </c>
      <c r="WDQ1" t="s">
        <v>21197</v>
      </c>
      <c r="WDR1" t="s">
        <v>21198</v>
      </c>
      <c r="WDS1" t="s">
        <v>21199</v>
      </c>
      <c r="WDT1" t="s">
        <v>21200</v>
      </c>
      <c r="WDU1" t="s">
        <v>21201</v>
      </c>
      <c r="WDV1" t="s">
        <v>21202</v>
      </c>
      <c r="WDW1" t="s">
        <v>21203</v>
      </c>
      <c r="WDX1" t="s">
        <v>21204</v>
      </c>
      <c r="WDY1" t="s">
        <v>21205</v>
      </c>
      <c r="WDZ1" t="s">
        <v>21206</v>
      </c>
      <c r="WEA1" t="s">
        <v>21207</v>
      </c>
      <c r="WEB1" t="s">
        <v>21208</v>
      </c>
      <c r="WEC1" t="s">
        <v>21209</v>
      </c>
      <c r="WED1" t="s">
        <v>21210</v>
      </c>
      <c r="WEE1" t="s">
        <v>21211</v>
      </c>
      <c r="WEF1" t="s">
        <v>21212</v>
      </c>
      <c r="WEG1" t="s">
        <v>21213</v>
      </c>
      <c r="WEH1" t="s">
        <v>21214</v>
      </c>
      <c r="WEI1" t="s">
        <v>21215</v>
      </c>
      <c r="WEJ1" t="s">
        <v>21216</v>
      </c>
      <c r="WEK1" t="s">
        <v>21217</v>
      </c>
      <c r="WEL1" t="s">
        <v>21218</v>
      </c>
      <c r="WEM1" t="s">
        <v>21219</v>
      </c>
      <c r="WEN1" t="s">
        <v>21220</v>
      </c>
      <c r="WEO1" t="s">
        <v>21221</v>
      </c>
      <c r="WEP1" t="s">
        <v>21222</v>
      </c>
      <c r="WEQ1" t="s">
        <v>21223</v>
      </c>
      <c r="WER1" t="s">
        <v>21224</v>
      </c>
      <c r="WES1" t="s">
        <v>21225</v>
      </c>
      <c r="WET1" t="s">
        <v>21226</v>
      </c>
      <c r="WEU1" t="s">
        <v>21227</v>
      </c>
      <c r="WEV1" t="s">
        <v>21228</v>
      </c>
      <c r="WEW1" t="s">
        <v>21229</v>
      </c>
      <c r="WEX1" t="s">
        <v>21230</v>
      </c>
      <c r="WEY1" t="s">
        <v>21231</v>
      </c>
      <c r="WEZ1" t="s">
        <v>21232</v>
      </c>
      <c r="WFA1" t="s">
        <v>21233</v>
      </c>
      <c r="WFB1" t="s">
        <v>21234</v>
      </c>
      <c r="WFC1" t="s">
        <v>21235</v>
      </c>
      <c r="WFD1" t="s">
        <v>21236</v>
      </c>
      <c r="WFE1" t="s">
        <v>21237</v>
      </c>
      <c r="WFF1" t="s">
        <v>21238</v>
      </c>
      <c r="WFG1" t="s">
        <v>21239</v>
      </c>
      <c r="WFH1" t="s">
        <v>21240</v>
      </c>
      <c r="WFI1" t="s">
        <v>21241</v>
      </c>
      <c r="WFJ1" t="s">
        <v>21242</v>
      </c>
      <c r="WFK1" t="s">
        <v>21243</v>
      </c>
      <c r="WFL1" t="s">
        <v>21244</v>
      </c>
      <c r="WFM1" t="s">
        <v>21245</v>
      </c>
      <c r="WFN1" t="s">
        <v>21246</v>
      </c>
      <c r="WFO1" t="s">
        <v>21247</v>
      </c>
      <c r="WFP1" t="s">
        <v>21248</v>
      </c>
      <c r="WFQ1" t="s">
        <v>21249</v>
      </c>
      <c r="WFR1" t="s">
        <v>21250</v>
      </c>
      <c r="WFS1" t="s">
        <v>21251</v>
      </c>
      <c r="WFT1" t="s">
        <v>21252</v>
      </c>
      <c r="WFU1" t="s">
        <v>21253</v>
      </c>
      <c r="WFV1" t="s">
        <v>21254</v>
      </c>
      <c r="WFW1" t="s">
        <v>21255</v>
      </c>
      <c r="WFX1" t="s">
        <v>21256</v>
      </c>
      <c r="WFY1" t="s">
        <v>21257</v>
      </c>
      <c r="WFZ1" t="s">
        <v>21258</v>
      </c>
      <c r="WGA1" t="s">
        <v>21259</v>
      </c>
      <c r="WGB1" t="s">
        <v>21260</v>
      </c>
      <c r="WGC1" t="s">
        <v>21261</v>
      </c>
      <c r="WGD1" t="s">
        <v>21262</v>
      </c>
      <c r="WGE1" t="s">
        <v>21263</v>
      </c>
      <c r="WGF1" t="s">
        <v>21264</v>
      </c>
      <c r="WGG1" t="s">
        <v>21265</v>
      </c>
      <c r="WGH1" t="s">
        <v>21266</v>
      </c>
      <c r="WGI1" t="s">
        <v>21267</v>
      </c>
      <c r="WGJ1" t="s">
        <v>21268</v>
      </c>
      <c r="WGK1" t="s">
        <v>21269</v>
      </c>
      <c r="WGL1" t="s">
        <v>21270</v>
      </c>
      <c r="WGM1" t="s">
        <v>21271</v>
      </c>
      <c r="WGN1" t="s">
        <v>21272</v>
      </c>
      <c r="WGO1" t="s">
        <v>21273</v>
      </c>
      <c r="WGP1" t="s">
        <v>21274</v>
      </c>
      <c r="WGQ1" t="s">
        <v>21275</v>
      </c>
      <c r="WGR1" t="s">
        <v>21276</v>
      </c>
      <c r="WGS1" t="s">
        <v>21277</v>
      </c>
      <c r="WGT1" t="s">
        <v>21278</v>
      </c>
      <c r="WGU1" t="s">
        <v>21279</v>
      </c>
      <c r="WGV1" t="s">
        <v>21280</v>
      </c>
      <c r="WGW1" t="s">
        <v>21281</v>
      </c>
      <c r="WGX1" t="s">
        <v>21282</v>
      </c>
      <c r="WGY1" t="s">
        <v>21283</v>
      </c>
      <c r="WGZ1" t="s">
        <v>21284</v>
      </c>
      <c r="WHA1" t="s">
        <v>21285</v>
      </c>
      <c r="WHB1" t="s">
        <v>21286</v>
      </c>
      <c r="WHC1" t="s">
        <v>21287</v>
      </c>
      <c r="WHD1" t="s">
        <v>21288</v>
      </c>
      <c r="WHE1" t="s">
        <v>21289</v>
      </c>
      <c r="WHF1" t="s">
        <v>21290</v>
      </c>
      <c r="WHG1" t="s">
        <v>21291</v>
      </c>
      <c r="WHH1" t="s">
        <v>21292</v>
      </c>
      <c r="WHI1" t="s">
        <v>21293</v>
      </c>
      <c r="WHJ1" t="s">
        <v>21294</v>
      </c>
      <c r="WHK1" t="s">
        <v>21295</v>
      </c>
      <c r="WHL1" t="s">
        <v>21296</v>
      </c>
      <c r="WHM1" t="s">
        <v>21297</v>
      </c>
      <c r="WHN1" t="s">
        <v>21298</v>
      </c>
      <c r="WHO1" t="s">
        <v>21299</v>
      </c>
      <c r="WHP1" t="s">
        <v>21300</v>
      </c>
      <c r="WHQ1" t="s">
        <v>21301</v>
      </c>
      <c r="WHR1" t="s">
        <v>21302</v>
      </c>
      <c r="WHS1" t="s">
        <v>21303</v>
      </c>
      <c r="WHT1" t="s">
        <v>21304</v>
      </c>
      <c r="WHU1" t="s">
        <v>21305</v>
      </c>
      <c r="WHV1" t="s">
        <v>21306</v>
      </c>
      <c r="WHW1" t="s">
        <v>21307</v>
      </c>
      <c r="WHX1" t="s">
        <v>21308</v>
      </c>
      <c r="WHY1" t="s">
        <v>21309</v>
      </c>
      <c r="WHZ1" t="s">
        <v>21310</v>
      </c>
      <c r="WIA1" t="s">
        <v>21311</v>
      </c>
      <c r="WIB1" t="s">
        <v>21312</v>
      </c>
      <c r="WIC1" t="s">
        <v>21313</v>
      </c>
      <c r="WID1" t="s">
        <v>21314</v>
      </c>
      <c r="WIE1" t="s">
        <v>21315</v>
      </c>
      <c r="WIF1" t="s">
        <v>21316</v>
      </c>
      <c r="WIG1" t="s">
        <v>21317</v>
      </c>
      <c r="WIH1" t="s">
        <v>21318</v>
      </c>
      <c r="WII1" t="s">
        <v>21319</v>
      </c>
      <c r="WIJ1" t="s">
        <v>21320</v>
      </c>
      <c r="WIK1" t="s">
        <v>21321</v>
      </c>
      <c r="WIL1" t="s">
        <v>21322</v>
      </c>
      <c r="WIM1" t="s">
        <v>21323</v>
      </c>
      <c r="WIN1" t="s">
        <v>21324</v>
      </c>
      <c r="WIO1" t="s">
        <v>21325</v>
      </c>
      <c r="WIP1" t="s">
        <v>21326</v>
      </c>
      <c r="WIQ1" t="s">
        <v>21327</v>
      </c>
      <c r="WIR1" t="s">
        <v>21328</v>
      </c>
      <c r="WIS1" t="s">
        <v>21329</v>
      </c>
      <c r="WIT1" t="s">
        <v>21330</v>
      </c>
      <c r="WIU1" t="s">
        <v>21331</v>
      </c>
      <c r="WIV1" t="s">
        <v>21332</v>
      </c>
      <c r="WIW1" t="s">
        <v>21333</v>
      </c>
      <c r="WIX1" t="s">
        <v>21334</v>
      </c>
      <c r="WIY1" t="s">
        <v>21335</v>
      </c>
      <c r="WIZ1" t="s">
        <v>21336</v>
      </c>
      <c r="WJA1" t="s">
        <v>21337</v>
      </c>
      <c r="WJB1" t="s">
        <v>21338</v>
      </c>
      <c r="WJC1" t="s">
        <v>21339</v>
      </c>
      <c r="WJD1" t="s">
        <v>21340</v>
      </c>
      <c r="WJE1" t="s">
        <v>21341</v>
      </c>
      <c r="WJF1" t="s">
        <v>21342</v>
      </c>
      <c r="WJG1" t="s">
        <v>21343</v>
      </c>
      <c r="WJH1" t="s">
        <v>21344</v>
      </c>
      <c r="WJI1" t="s">
        <v>21345</v>
      </c>
      <c r="WJJ1" t="s">
        <v>21346</v>
      </c>
      <c r="WJK1" t="s">
        <v>21347</v>
      </c>
      <c r="WJL1" t="s">
        <v>21348</v>
      </c>
      <c r="WJM1" t="s">
        <v>21349</v>
      </c>
      <c r="WJN1" t="s">
        <v>21350</v>
      </c>
      <c r="WJO1" t="s">
        <v>21351</v>
      </c>
      <c r="WJP1" t="s">
        <v>21352</v>
      </c>
      <c r="WJQ1" t="s">
        <v>21353</v>
      </c>
      <c r="WJR1" t="s">
        <v>21354</v>
      </c>
      <c r="WJS1" t="s">
        <v>21355</v>
      </c>
      <c r="WJT1" t="s">
        <v>21356</v>
      </c>
      <c r="WJU1" t="s">
        <v>21357</v>
      </c>
      <c r="WJV1" t="s">
        <v>21358</v>
      </c>
      <c r="WJW1" t="s">
        <v>21359</v>
      </c>
      <c r="WJX1" t="s">
        <v>21360</v>
      </c>
      <c r="WJY1" t="s">
        <v>21361</v>
      </c>
      <c r="WJZ1" t="s">
        <v>21362</v>
      </c>
      <c r="WKA1" t="s">
        <v>21363</v>
      </c>
      <c r="WKB1" t="s">
        <v>21364</v>
      </c>
      <c r="WKC1" t="s">
        <v>21365</v>
      </c>
      <c r="WKD1" t="s">
        <v>21366</v>
      </c>
      <c r="WKE1" t="s">
        <v>21367</v>
      </c>
      <c r="WKF1" t="s">
        <v>21368</v>
      </c>
      <c r="WKG1" t="s">
        <v>21369</v>
      </c>
      <c r="WKH1" t="s">
        <v>21370</v>
      </c>
      <c r="WKI1" t="s">
        <v>21371</v>
      </c>
      <c r="WKJ1" t="s">
        <v>21372</v>
      </c>
      <c r="WKK1" t="s">
        <v>21373</v>
      </c>
      <c r="WKL1" t="s">
        <v>21374</v>
      </c>
      <c r="WKM1" t="s">
        <v>21375</v>
      </c>
      <c r="WKN1" t="s">
        <v>21376</v>
      </c>
      <c r="WKO1" t="s">
        <v>21377</v>
      </c>
      <c r="WKP1" t="s">
        <v>21378</v>
      </c>
      <c r="WKQ1" t="s">
        <v>21379</v>
      </c>
      <c r="WKR1" t="s">
        <v>21380</v>
      </c>
      <c r="WKS1" t="s">
        <v>21381</v>
      </c>
      <c r="WKT1" t="s">
        <v>21382</v>
      </c>
      <c r="WKU1" t="s">
        <v>21383</v>
      </c>
      <c r="WKV1" t="s">
        <v>21384</v>
      </c>
      <c r="WKW1" t="s">
        <v>21385</v>
      </c>
      <c r="WKX1" t="s">
        <v>21386</v>
      </c>
      <c r="WKY1" t="s">
        <v>21387</v>
      </c>
      <c r="WKZ1" t="s">
        <v>21388</v>
      </c>
      <c r="WLA1" t="s">
        <v>21389</v>
      </c>
      <c r="WLB1" t="s">
        <v>21390</v>
      </c>
      <c r="WLC1" t="s">
        <v>21391</v>
      </c>
      <c r="WLD1" t="s">
        <v>21392</v>
      </c>
      <c r="WLE1" t="s">
        <v>21393</v>
      </c>
      <c r="WLF1" t="s">
        <v>21394</v>
      </c>
      <c r="WLG1" t="s">
        <v>21395</v>
      </c>
      <c r="WLH1" t="s">
        <v>21396</v>
      </c>
      <c r="WLI1" t="s">
        <v>21397</v>
      </c>
      <c r="WLJ1" t="s">
        <v>21398</v>
      </c>
      <c r="WLK1" t="s">
        <v>21399</v>
      </c>
      <c r="WLL1" t="s">
        <v>21400</v>
      </c>
      <c r="WLM1" t="s">
        <v>21401</v>
      </c>
      <c r="WLN1" t="s">
        <v>21402</v>
      </c>
      <c r="WLO1" t="s">
        <v>21403</v>
      </c>
      <c r="WLP1" t="s">
        <v>21404</v>
      </c>
      <c r="WLQ1" t="s">
        <v>21405</v>
      </c>
      <c r="WLR1" t="s">
        <v>21406</v>
      </c>
      <c r="WLS1" t="s">
        <v>21407</v>
      </c>
      <c r="WLT1" t="s">
        <v>21408</v>
      </c>
      <c r="WLU1" t="s">
        <v>21409</v>
      </c>
      <c r="WLV1" t="s">
        <v>21410</v>
      </c>
      <c r="WLW1" t="s">
        <v>21411</v>
      </c>
      <c r="WLX1" t="s">
        <v>21412</v>
      </c>
      <c r="WLY1" t="s">
        <v>21413</v>
      </c>
      <c r="WLZ1" t="s">
        <v>21414</v>
      </c>
      <c r="WMA1" t="s">
        <v>21415</v>
      </c>
      <c r="WMB1" t="s">
        <v>21416</v>
      </c>
      <c r="WMC1" t="s">
        <v>21417</v>
      </c>
      <c r="WMD1" t="s">
        <v>21418</v>
      </c>
      <c r="WME1" t="s">
        <v>21419</v>
      </c>
      <c r="WMF1" t="s">
        <v>21420</v>
      </c>
      <c r="WMG1" t="s">
        <v>21421</v>
      </c>
      <c r="WMH1" t="s">
        <v>21422</v>
      </c>
      <c r="WMI1" t="s">
        <v>21423</v>
      </c>
      <c r="WMJ1" t="s">
        <v>21424</v>
      </c>
      <c r="WMK1" t="s">
        <v>21425</v>
      </c>
      <c r="WML1" t="s">
        <v>21426</v>
      </c>
      <c r="WMM1" t="s">
        <v>21427</v>
      </c>
      <c r="WMN1" t="s">
        <v>21428</v>
      </c>
      <c r="WMO1" t="s">
        <v>21429</v>
      </c>
      <c r="WMP1" t="s">
        <v>21430</v>
      </c>
      <c r="WMQ1" t="s">
        <v>21431</v>
      </c>
      <c r="WMR1" t="s">
        <v>21432</v>
      </c>
      <c r="WMS1" t="s">
        <v>21433</v>
      </c>
      <c r="WMT1" t="s">
        <v>21434</v>
      </c>
      <c r="WMU1" t="s">
        <v>21435</v>
      </c>
      <c r="WMV1" t="s">
        <v>21436</v>
      </c>
      <c r="WMW1" t="s">
        <v>21437</v>
      </c>
      <c r="WMX1" t="s">
        <v>21438</v>
      </c>
      <c r="WMY1" t="s">
        <v>21439</v>
      </c>
      <c r="WMZ1" t="s">
        <v>21440</v>
      </c>
      <c r="WNA1" t="s">
        <v>21441</v>
      </c>
      <c r="WNB1" t="s">
        <v>21442</v>
      </c>
      <c r="WNC1" t="s">
        <v>21443</v>
      </c>
      <c r="WND1" t="s">
        <v>21444</v>
      </c>
      <c r="WNE1" t="s">
        <v>21445</v>
      </c>
      <c r="WNF1" t="s">
        <v>21446</v>
      </c>
      <c r="WNG1" t="s">
        <v>21447</v>
      </c>
      <c r="WNH1" t="s">
        <v>21448</v>
      </c>
      <c r="WNI1" t="s">
        <v>21449</v>
      </c>
      <c r="WNJ1" t="s">
        <v>21450</v>
      </c>
      <c r="WNK1" t="s">
        <v>21451</v>
      </c>
      <c r="WNL1" t="s">
        <v>21452</v>
      </c>
      <c r="WNM1" t="s">
        <v>21453</v>
      </c>
      <c r="WNN1" t="s">
        <v>21454</v>
      </c>
      <c r="WNO1" t="s">
        <v>21455</v>
      </c>
      <c r="WNP1" t="s">
        <v>21456</v>
      </c>
      <c r="WNQ1" t="s">
        <v>21457</v>
      </c>
      <c r="WNR1" t="s">
        <v>21458</v>
      </c>
      <c r="WNS1" t="s">
        <v>21459</v>
      </c>
      <c r="WNT1" t="s">
        <v>21460</v>
      </c>
      <c r="WNU1" t="s">
        <v>21461</v>
      </c>
      <c r="WNV1" t="s">
        <v>21462</v>
      </c>
      <c r="WNW1" t="s">
        <v>21463</v>
      </c>
      <c r="WNX1" t="s">
        <v>21464</v>
      </c>
      <c r="WNY1" t="s">
        <v>21465</v>
      </c>
      <c r="WNZ1" t="s">
        <v>21466</v>
      </c>
      <c r="WOA1" t="s">
        <v>21467</v>
      </c>
      <c r="WOB1" t="s">
        <v>21468</v>
      </c>
      <c r="WOC1" t="s">
        <v>21469</v>
      </c>
      <c r="WOD1" t="s">
        <v>21470</v>
      </c>
      <c r="WOE1" t="s">
        <v>21471</v>
      </c>
      <c r="WOF1" t="s">
        <v>21472</v>
      </c>
      <c r="WOG1" t="s">
        <v>21473</v>
      </c>
      <c r="WOH1" t="s">
        <v>21474</v>
      </c>
      <c r="WOI1" t="s">
        <v>21475</v>
      </c>
      <c r="WOJ1" t="s">
        <v>21476</v>
      </c>
      <c r="WOK1" t="s">
        <v>21477</v>
      </c>
      <c r="WOL1" t="s">
        <v>21478</v>
      </c>
      <c r="WOM1" t="s">
        <v>21479</v>
      </c>
      <c r="WON1" t="s">
        <v>21480</v>
      </c>
      <c r="WOO1" t="s">
        <v>21481</v>
      </c>
      <c r="WOP1" t="s">
        <v>21482</v>
      </c>
      <c r="WOQ1" t="s">
        <v>21483</v>
      </c>
      <c r="WOR1" t="s">
        <v>21484</v>
      </c>
      <c r="WOS1" t="s">
        <v>21485</v>
      </c>
      <c r="WOT1" t="s">
        <v>21486</v>
      </c>
      <c r="WOU1" t="s">
        <v>21487</v>
      </c>
      <c r="WOV1" t="s">
        <v>21488</v>
      </c>
      <c r="WOW1" t="s">
        <v>21489</v>
      </c>
      <c r="WOX1" t="s">
        <v>21490</v>
      </c>
      <c r="WOY1" t="s">
        <v>21491</v>
      </c>
      <c r="WOZ1" t="s">
        <v>21492</v>
      </c>
      <c r="WPA1" t="s">
        <v>21493</v>
      </c>
      <c r="WPB1" t="s">
        <v>21494</v>
      </c>
      <c r="WPC1" t="s">
        <v>21495</v>
      </c>
      <c r="WPD1" t="s">
        <v>21496</v>
      </c>
      <c r="WPE1" t="s">
        <v>21497</v>
      </c>
      <c r="WPF1" t="s">
        <v>21498</v>
      </c>
      <c r="WPG1" t="s">
        <v>21499</v>
      </c>
      <c r="WPH1" t="s">
        <v>21500</v>
      </c>
      <c r="WPI1" t="s">
        <v>21501</v>
      </c>
      <c r="WPJ1" t="s">
        <v>21502</v>
      </c>
      <c r="WPK1" t="s">
        <v>21503</v>
      </c>
      <c r="WPL1" t="s">
        <v>21504</v>
      </c>
      <c r="WPM1" t="s">
        <v>21505</v>
      </c>
      <c r="WPN1" t="s">
        <v>21506</v>
      </c>
      <c r="WPO1" t="s">
        <v>21507</v>
      </c>
      <c r="WPP1" t="s">
        <v>21508</v>
      </c>
      <c r="WPQ1" t="s">
        <v>21509</v>
      </c>
      <c r="WPR1" t="s">
        <v>21510</v>
      </c>
      <c r="WPS1" t="s">
        <v>21511</v>
      </c>
      <c r="WPT1" t="s">
        <v>21512</v>
      </c>
      <c r="WPU1" t="s">
        <v>21513</v>
      </c>
      <c r="WPV1" t="s">
        <v>21514</v>
      </c>
      <c r="WPW1" t="s">
        <v>21515</v>
      </c>
      <c r="WPX1" t="s">
        <v>21516</v>
      </c>
      <c r="WPY1" t="s">
        <v>21517</v>
      </c>
      <c r="WPZ1" t="s">
        <v>21518</v>
      </c>
      <c r="WQA1" t="s">
        <v>21519</v>
      </c>
      <c r="WQB1" t="s">
        <v>21520</v>
      </c>
      <c r="WQC1" t="s">
        <v>21521</v>
      </c>
      <c r="WQD1" t="s">
        <v>21522</v>
      </c>
      <c r="WQE1" t="s">
        <v>21523</v>
      </c>
      <c r="WQF1" t="s">
        <v>21524</v>
      </c>
      <c r="WQG1" t="s">
        <v>21525</v>
      </c>
      <c r="WQH1" t="s">
        <v>21526</v>
      </c>
      <c r="WQI1" t="s">
        <v>21527</v>
      </c>
      <c r="WQJ1" t="s">
        <v>21528</v>
      </c>
      <c r="WQK1" t="s">
        <v>21529</v>
      </c>
      <c r="WQL1" t="s">
        <v>21530</v>
      </c>
      <c r="WQM1" t="s">
        <v>21531</v>
      </c>
      <c r="WQN1" t="s">
        <v>21532</v>
      </c>
      <c r="WQO1" t="s">
        <v>21533</v>
      </c>
      <c r="WQP1" t="s">
        <v>21534</v>
      </c>
      <c r="WQQ1" t="s">
        <v>21535</v>
      </c>
      <c r="WQR1" t="s">
        <v>21536</v>
      </c>
      <c r="WQS1" t="s">
        <v>21537</v>
      </c>
      <c r="WQT1" t="s">
        <v>21538</v>
      </c>
      <c r="WQU1" t="s">
        <v>21539</v>
      </c>
      <c r="WQV1" t="s">
        <v>21540</v>
      </c>
      <c r="WQW1" t="s">
        <v>21541</v>
      </c>
      <c r="WQX1" t="s">
        <v>21542</v>
      </c>
      <c r="WQY1" t="s">
        <v>21543</v>
      </c>
      <c r="WQZ1" t="s">
        <v>21544</v>
      </c>
      <c r="WRA1" t="s">
        <v>21545</v>
      </c>
      <c r="WRB1" t="s">
        <v>21546</v>
      </c>
      <c r="WRC1" t="s">
        <v>21547</v>
      </c>
      <c r="WRD1" t="s">
        <v>21548</v>
      </c>
      <c r="WRE1" t="s">
        <v>21549</v>
      </c>
      <c r="WRF1" t="s">
        <v>21550</v>
      </c>
      <c r="WRG1" t="s">
        <v>21551</v>
      </c>
      <c r="WRH1" t="s">
        <v>21552</v>
      </c>
      <c r="WRI1" t="s">
        <v>21553</v>
      </c>
      <c r="WRJ1" t="s">
        <v>21554</v>
      </c>
      <c r="WRK1" t="s">
        <v>21555</v>
      </c>
      <c r="WRL1" t="s">
        <v>21556</v>
      </c>
      <c r="WRM1" t="s">
        <v>21557</v>
      </c>
      <c r="WRN1" t="s">
        <v>21558</v>
      </c>
      <c r="WRO1" t="s">
        <v>21559</v>
      </c>
      <c r="WRP1" t="s">
        <v>21560</v>
      </c>
      <c r="WRQ1" t="s">
        <v>21561</v>
      </c>
      <c r="WRR1" t="s">
        <v>21562</v>
      </c>
      <c r="WRS1" t="s">
        <v>21563</v>
      </c>
      <c r="WRT1" t="s">
        <v>21564</v>
      </c>
      <c r="WRU1" t="s">
        <v>21565</v>
      </c>
      <c r="WRV1" t="s">
        <v>21566</v>
      </c>
      <c r="WRW1" t="s">
        <v>21567</v>
      </c>
      <c r="WRX1" t="s">
        <v>21568</v>
      </c>
      <c r="WRY1" t="s">
        <v>21569</v>
      </c>
      <c r="WRZ1" t="s">
        <v>21570</v>
      </c>
      <c r="WSA1" t="s">
        <v>21571</v>
      </c>
      <c r="WSB1" t="s">
        <v>21572</v>
      </c>
      <c r="WSC1" t="s">
        <v>21573</v>
      </c>
      <c r="WSD1" t="s">
        <v>21574</v>
      </c>
      <c r="WSE1" t="s">
        <v>21575</v>
      </c>
      <c r="WSF1" t="s">
        <v>21576</v>
      </c>
      <c r="WSG1" t="s">
        <v>21577</v>
      </c>
      <c r="WSH1" t="s">
        <v>21578</v>
      </c>
      <c r="WSI1" t="s">
        <v>21579</v>
      </c>
      <c r="WSJ1" t="s">
        <v>21580</v>
      </c>
      <c r="WSK1" t="s">
        <v>21581</v>
      </c>
      <c r="WSL1" t="s">
        <v>21582</v>
      </c>
      <c r="WSM1" t="s">
        <v>21583</v>
      </c>
      <c r="WSN1" t="s">
        <v>21584</v>
      </c>
      <c r="WSO1" t="s">
        <v>21585</v>
      </c>
      <c r="WSP1" t="s">
        <v>21586</v>
      </c>
      <c r="WSQ1" t="s">
        <v>21587</v>
      </c>
      <c r="WSR1" t="s">
        <v>21588</v>
      </c>
      <c r="WSS1" t="s">
        <v>21589</v>
      </c>
      <c r="WST1" t="s">
        <v>21590</v>
      </c>
      <c r="WSU1" t="s">
        <v>21591</v>
      </c>
      <c r="WSV1" t="s">
        <v>21592</v>
      </c>
      <c r="WSW1" t="s">
        <v>21593</v>
      </c>
      <c r="WSX1" t="s">
        <v>21594</v>
      </c>
      <c r="WSY1" t="s">
        <v>21595</v>
      </c>
      <c r="WSZ1" t="s">
        <v>21596</v>
      </c>
      <c r="WTA1" t="s">
        <v>21597</v>
      </c>
      <c r="WTB1" t="s">
        <v>21598</v>
      </c>
      <c r="WTC1" t="s">
        <v>21599</v>
      </c>
      <c r="WTD1" t="s">
        <v>21600</v>
      </c>
      <c r="WTE1" t="s">
        <v>21601</v>
      </c>
      <c r="WTF1" t="s">
        <v>21602</v>
      </c>
      <c r="WTG1" t="s">
        <v>21603</v>
      </c>
      <c r="WTH1" t="s">
        <v>21604</v>
      </c>
      <c r="WTI1" t="s">
        <v>21605</v>
      </c>
      <c r="WTJ1" t="s">
        <v>21606</v>
      </c>
      <c r="WTK1" t="s">
        <v>21607</v>
      </c>
      <c r="WTL1" t="s">
        <v>21608</v>
      </c>
      <c r="WTM1" t="s">
        <v>21609</v>
      </c>
      <c r="WTN1" t="s">
        <v>21610</v>
      </c>
      <c r="WTO1" t="s">
        <v>21611</v>
      </c>
      <c r="WTP1" t="s">
        <v>21612</v>
      </c>
      <c r="WTQ1" t="s">
        <v>21613</v>
      </c>
      <c r="WTR1" t="s">
        <v>21614</v>
      </c>
      <c r="WTS1" t="s">
        <v>21615</v>
      </c>
      <c r="WTT1" t="s">
        <v>21616</v>
      </c>
      <c r="WTU1" t="s">
        <v>21617</v>
      </c>
      <c r="WTV1" t="s">
        <v>21618</v>
      </c>
      <c r="WTW1" t="s">
        <v>21619</v>
      </c>
      <c r="WTX1" t="s">
        <v>21620</v>
      </c>
      <c r="WTY1" t="s">
        <v>21621</v>
      </c>
      <c r="WTZ1" t="s">
        <v>21622</v>
      </c>
      <c r="WUA1" t="s">
        <v>21623</v>
      </c>
      <c r="WUB1" t="s">
        <v>21624</v>
      </c>
      <c r="WUC1" t="s">
        <v>21625</v>
      </c>
      <c r="WUD1" t="s">
        <v>21626</v>
      </c>
      <c r="WUE1" t="s">
        <v>21627</v>
      </c>
      <c r="WUF1" t="s">
        <v>21628</v>
      </c>
      <c r="WUG1" t="s">
        <v>21629</v>
      </c>
      <c r="WUH1" t="s">
        <v>21630</v>
      </c>
      <c r="WUI1" t="s">
        <v>21631</v>
      </c>
      <c r="WUJ1" t="s">
        <v>21632</v>
      </c>
      <c r="WUK1" t="s">
        <v>21633</v>
      </c>
      <c r="WUL1" t="s">
        <v>21634</v>
      </c>
      <c r="WUM1" t="s">
        <v>21635</v>
      </c>
      <c r="WUN1" t="s">
        <v>21636</v>
      </c>
      <c r="WUO1" t="s">
        <v>21637</v>
      </c>
      <c r="WUP1" t="s">
        <v>21638</v>
      </c>
      <c r="WUQ1" t="s">
        <v>21639</v>
      </c>
      <c r="WUR1" t="s">
        <v>21640</v>
      </c>
      <c r="WUS1" t="s">
        <v>21641</v>
      </c>
      <c r="WUT1" t="s">
        <v>21642</v>
      </c>
      <c r="WUU1" t="s">
        <v>21643</v>
      </c>
      <c r="WUV1" t="s">
        <v>21644</v>
      </c>
      <c r="WUW1" t="s">
        <v>21645</v>
      </c>
      <c r="WUX1" t="s">
        <v>21646</v>
      </c>
      <c r="WUY1" t="s">
        <v>21647</v>
      </c>
      <c r="WUZ1" t="s">
        <v>21648</v>
      </c>
      <c r="WVA1" t="s">
        <v>21649</v>
      </c>
      <c r="WVB1" t="s">
        <v>21650</v>
      </c>
      <c r="WVC1" t="s">
        <v>21651</v>
      </c>
      <c r="WVD1" t="s">
        <v>21652</v>
      </c>
      <c r="WVE1" t="s">
        <v>21653</v>
      </c>
      <c r="WVF1" t="s">
        <v>21654</v>
      </c>
      <c r="WVG1" t="s">
        <v>21655</v>
      </c>
      <c r="WVH1" t="s">
        <v>21656</v>
      </c>
      <c r="WVI1" t="s">
        <v>21657</v>
      </c>
      <c r="WVJ1" t="s">
        <v>21658</v>
      </c>
      <c r="WVK1" t="s">
        <v>21659</v>
      </c>
      <c r="WVL1" t="s">
        <v>21660</v>
      </c>
      <c r="WVM1" t="s">
        <v>21661</v>
      </c>
      <c r="WVN1" t="s">
        <v>21662</v>
      </c>
      <c r="WVO1" t="s">
        <v>21663</v>
      </c>
      <c r="WVP1" t="s">
        <v>21664</v>
      </c>
      <c r="WVQ1" t="s">
        <v>21665</v>
      </c>
      <c r="WVR1" t="s">
        <v>21666</v>
      </c>
      <c r="WVS1" t="s">
        <v>21667</v>
      </c>
      <c r="WVT1" t="s">
        <v>21668</v>
      </c>
      <c r="WVU1" t="s">
        <v>21669</v>
      </c>
      <c r="WVV1" t="s">
        <v>21670</v>
      </c>
      <c r="WVW1" t="s">
        <v>21671</v>
      </c>
      <c r="WVX1" t="s">
        <v>21672</v>
      </c>
      <c r="WVY1" t="s">
        <v>21673</v>
      </c>
      <c r="WVZ1" t="s">
        <v>21674</v>
      </c>
      <c r="WWA1" t="s">
        <v>21675</v>
      </c>
      <c r="WWB1" t="s">
        <v>21676</v>
      </c>
      <c r="WWC1" t="s">
        <v>21677</v>
      </c>
      <c r="WWD1" t="s">
        <v>21678</v>
      </c>
      <c r="WWE1" t="s">
        <v>21679</v>
      </c>
      <c r="WWF1" t="s">
        <v>21680</v>
      </c>
      <c r="WWG1" t="s">
        <v>21681</v>
      </c>
      <c r="WWH1" t="s">
        <v>21682</v>
      </c>
      <c r="WWI1" t="s">
        <v>21683</v>
      </c>
      <c r="WWJ1" t="s">
        <v>21684</v>
      </c>
      <c r="WWK1" t="s">
        <v>21685</v>
      </c>
      <c r="WWL1" t="s">
        <v>21686</v>
      </c>
      <c r="WWM1" t="s">
        <v>21687</v>
      </c>
      <c r="WWN1" t="s">
        <v>21688</v>
      </c>
      <c r="WWO1" t="s">
        <v>21689</v>
      </c>
      <c r="WWP1" t="s">
        <v>21690</v>
      </c>
      <c r="WWQ1" t="s">
        <v>21691</v>
      </c>
      <c r="WWR1" t="s">
        <v>21692</v>
      </c>
      <c r="WWS1" t="s">
        <v>21693</v>
      </c>
      <c r="WWT1" t="s">
        <v>21694</v>
      </c>
      <c r="WWU1" t="s">
        <v>21695</v>
      </c>
      <c r="WWV1" t="s">
        <v>21696</v>
      </c>
      <c r="WWW1" t="s">
        <v>21697</v>
      </c>
      <c r="WWX1" t="s">
        <v>21698</v>
      </c>
      <c r="WWY1" t="s">
        <v>21699</v>
      </c>
      <c r="WWZ1" t="s">
        <v>21700</v>
      </c>
      <c r="WXA1" t="s">
        <v>21701</v>
      </c>
      <c r="WXB1" t="s">
        <v>21702</v>
      </c>
      <c r="WXC1" t="s">
        <v>21703</v>
      </c>
      <c r="WXD1" t="s">
        <v>21704</v>
      </c>
      <c r="WXE1" t="s">
        <v>21705</v>
      </c>
      <c r="WXF1" t="s">
        <v>21706</v>
      </c>
      <c r="WXG1" t="s">
        <v>21707</v>
      </c>
      <c r="WXH1" t="s">
        <v>21708</v>
      </c>
      <c r="WXI1" t="s">
        <v>21709</v>
      </c>
      <c r="WXJ1" t="s">
        <v>21710</v>
      </c>
      <c r="WXK1" t="s">
        <v>21711</v>
      </c>
      <c r="WXL1" t="s">
        <v>21712</v>
      </c>
      <c r="WXM1" t="s">
        <v>21713</v>
      </c>
      <c r="WXN1" t="s">
        <v>21714</v>
      </c>
      <c r="WXO1" t="s">
        <v>21715</v>
      </c>
      <c r="WXP1" t="s">
        <v>21716</v>
      </c>
      <c r="WXQ1" t="s">
        <v>21717</v>
      </c>
      <c r="WXR1" t="s">
        <v>21718</v>
      </c>
      <c r="WXS1" t="s">
        <v>21719</v>
      </c>
      <c r="WXT1" t="s">
        <v>21720</v>
      </c>
      <c r="WXU1" t="s">
        <v>21721</v>
      </c>
      <c r="WXV1" t="s">
        <v>21722</v>
      </c>
      <c r="WXW1" t="s">
        <v>21723</v>
      </c>
      <c r="WXX1" t="s">
        <v>21724</v>
      </c>
      <c r="WXY1" t="s">
        <v>21725</v>
      </c>
      <c r="WXZ1" t="s">
        <v>21726</v>
      </c>
      <c r="WYA1" t="s">
        <v>21727</v>
      </c>
      <c r="WYB1" t="s">
        <v>21728</v>
      </c>
      <c r="WYC1" t="s">
        <v>21729</v>
      </c>
      <c r="WYD1" t="s">
        <v>21730</v>
      </c>
      <c r="WYE1" t="s">
        <v>21731</v>
      </c>
      <c r="WYF1" t="s">
        <v>21732</v>
      </c>
      <c r="WYG1" t="s">
        <v>21733</v>
      </c>
      <c r="WYH1" t="s">
        <v>21734</v>
      </c>
      <c r="WYI1" t="s">
        <v>21735</v>
      </c>
      <c r="WYJ1" t="s">
        <v>21736</v>
      </c>
      <c r="WYK1" t="s">
        <v>21737</v>
      </c>
      <c r="WYL1" t="s">
        <v>21738</v>
      </c>
      <c r="WYM1" t="s">
        <v>21739</v>
      </c>
      <c r="WYN1" t="s">
        <v>21740</v>
      </c>
      <c r="WYO1" t="s">
        <v>21741</v>
      </c>
      <c r="WYP1" t="s">
        <v>21742</v>
      </c>
      <c r="WYQ1" t="s">
        <v>21743</v>
      </c>
      <c r="WYR1" t="s">
        <v>21744</v>
      </c>
      <c r="WYS1" t="s">
        <v>21745</v>
      </c>
      <c r="WYT1" t="s">
        <v>21746</v>
      </c>
      <c r="WYU1" t="s">
        <v>21747</v>
      </c>
      <c r="WYV1" t="s">
        <v>21748</v>
      </c>
      <c r="WYW1" t="s">
        <v>21749</v>
      </c>
      <c r="WYX1" t="s">
        <v>21750</v>
      </c>
      <c r="WYY1" t="s">
        <v>21751</v>
      </c>
      <c r="WYZ1" t="s">
        <v>21752</v>
      </c>
      <c r="WZA1" t="s">
        <v>21753</v>
      </c>
      <c r="WZB1" t="s">
        <v>21754</v>
      </c>
      <c r="WZC1" t="s">
        <v>21755</v>
      </c>
      <c r="WZD1" t="s">
        <v>21756</v>
      </c>
      <c r="WZE1" t="s">
        <v>21757</v>
      </c>
      <c r="WZF1" t="s">
        <v>21758</v>
      </c>
      <c r="WZG1" t="s">
        <v>21759</v>
      </c>
      <c r="WZH1" t="s">
        <v>21760</v>
      </c>
      <c r="WZI1" t="s">
        <v>21761</v>
      </c>
      <c r="WZJ1" t="s">
        <v>21762</v>
      </c>
      <c r="WZK1" t="s">
        <v>21763</v>
      </c>
      <c r="WZL1" t="s">
        <v>21764</v>
      </c>
      <c r="WZM1" t="s">
        <v>21765</v>
      </c>
      <c r="WZN1" t="s">
        <v>21766</v>
      </c>
      <c r="WZO1" t="s">
        <v>21767</v>
      </c>
      <c r="WZP1" t="s">
        <v>21768</v>
      </c>
      <c r="WZQ1" t="s">
        <v>21769</v>
      </c>
      <c r="WZR1" t="s">
        <v>21770</v>
      </c>
      <c r="WZS1" t="s">
        <v>21771</v>
      </c>
      <c r="WZT1" t="s">
        <v>21772</v>
      </c>
      <c r="WZU1" t="s">
        <v>21773</v>
      </c>
      <c r="WZV1" t="s">
        <v>21774</v>
      </c>
      <c r="WZW1" t="s">
        <v>21775</v>
      </c>
      <c r="WZX1" t="s">
        <v>21776</v>
      </c>
      <c r="WZY1" t="s">
        <v>21777</v>
      </c>
      <c r="WZZ1" t="s">
        <v>21778</v>
      </c>
      <c r="XAA1" t="s">
        <v>21779</v>
      </c>
      <c r="XAB1" t="s">
        <v>21780</v>
      </c>
      <c r="XAC1" t="s">
        <v>21781</v>
      </c>
      <c r="XAD1" t="s">
        <v>21782</v>
      </c>
      <c r="XAE1" t="s">
        <v>21783</v>
      </c>
      <c r="XAF1" t="s">
        <v>21784</v>
      </c>
      <c r="XAG1" t="s">
        <v>21785</v>
      </c>
      <c r="XAH1" t="s">
        <v>21786</v>
      </c>
      <c r="XAI1" t="s">
        <v>21787</v>
      </c>
      <c r="XAJ1" t="s">
        <v>21788</v>
      </c>
      <c r="XAK1" t="s">
        <v>21789</v>
      </c>
      <c r="XAL1" t="s">
        <v>21790</v>
      </c>
      <c r="XAM1" t="s">
        <v>21791</v>
      </c>
      <c r="XAN1" t="s">
        <v>21792</v>
      </c>
      <c r="XAO1" t="s">
        <v>21793</v>
      </c>
      <c r="XAP1" t="s">
        <v>21794</v>
      </c>
      <c r="XAQ1" t="s">
        <v>21795</v>
      </c>
      <c r="XAR1" t="s">
        <v>21796</v>
      </c>
      <c r="XAS1" t="s">
        <v>21797</v>
      </c>
      <c r="XAT1" t="s">
        <v>21798</v>
      </c>
      <c r="XAU1" t="s">
        <v>21799</v>
      </c>
      <c r="XAV1" t="s">
        <v>21800</v>
      </c>
      <c r="XAW1" t="s">
        <v>21801</v>
      </c>
      <c r="XAX1" t="s">
        <v>21802</v>
      </c>
      <c r="XAY1" t="s">
        <v>21803</v>
      </c>
      <c r="XAZ1" t="s">
        <v>21804</v>
      </c>
      <c r="XBA1" t="s">
        <v>21805</v>
      </c>
      <c r="XBB1" t="s">
        <v>21806</v>
      </c>
      <c r="XBC1" t="s">
        <v>21807</v>
      </c>
      <c r="XBD1" t="s">
        <v>21808</v>
      </c>
      <c r="XBE1" t="s">
        <v>21809</v>
      </c>
      <c r="XBF1" t="s">
        <v>21810</v>
      </c>
      <c r="XBG1" t="s">
        <v>21811</v>
      </c>
      <c r="XBH1" t="s">
        <v>21812</v>
      </c>
      <c r="XBI1" t="s">
        <v>21813</v>
      </c>
      <c r="XBJ1" t="s">
        <v>21814</v>
      </c>
      <c r="XBK1" t="s">
        <v>21815</v>
      </c>
      <c r="XBL1" t="s">
        <v>21816</v>
      </c>
      <c r="XBM1" t="s">
        <v>21817</v>
      </c>
      <c r="XBN1" t="s">
        <v>21818</v>
      </c>
      <c r="XBO1" t="s">
        <v>21819</v>
      </c>
      <c r="XBP1" t="s">
        <v>21820</v>
      </c>
      <c r="XBQ1" t="s">
        <v>21821</v>
      </c>
      <c r="XBR1" t="s">
        <v>21822</v>
      </c>
      <c r="XBS1" t="s">
        <v>21823</v>
      </c>
      <c r="XBT1" t="s">
        <v>21824</v>
      </c>
      <c r="XBU1" t="s">
        <v>21825</v>
      </c>
      <c r="XBV1" t="s">
        <v>21826</v>
      </c>
      <c r="XBW1" t="s">
        <v>21827</v>
      </c>
      <c r="XBX1" t="s">
        <v>21828</v>
      </c>
      <c r="XBY1" t="s">
        <v>21829</v>
      </c>
      <c r="XBZ1" t="s">
        <v>21830</v>
      </c>
      <c r="XCA1" t="s">
        <v>21831</v>
      </c>
      <c r="XCB1" t="s">
        <v>21832</v>
      </c>
      <c r="XCC1" t="s">
        <v>21833</v>
      </c>
      <c r="XCD1" t="s">
        <v>21834</v>
      </c>
      <c r="XCE1" t="s">
        <v>21835</v>
      </c>
      <c r="XCF1" t="s">
        <v>21836</v>
      </c>
      <c r="XCG1" t="s">
        <v>21837</v>
      </c>
      <c r="XCH1" t="s">
        <v>21838</v>
      </c>
      <c r="XCI1" t="s">
        <v>21839</v>
      </c>
      <c r="XCJ1" t="s">
        <v>21840</v>
      </c>
      <c r="XCK1" t="s">
        <v>21841</v>
      </c>
      <c r="XCL1" t="s">
        <v>21842</v>
      </c>
      <c r="XCM1" t="s">
        <v>21843</v>
      </c>
      <c r="XCN1" t="s">
        <v>21844</v>
      </c>
      <c r="XCO1" t="s">
        <v>21845</v>
      </c>
      <c r="XCP1" t="s">
        <v>21846</v>
      </c>
      <c r="XCQ1" t="s">
        <v>21847</v>
      </c>
      <c r="XCR1" t="s">
        <v>21848</v>
      </c>
      <c r="XCS1" t="s">
        <v>21849</v>
      </c>
      <c r="XCT1" t="s">
        <v>21850</v>
      </c>
      <c r="XCU1" t="s">
        <v>21851</v>
      </c>
      <c r="XCV1" t="s">
        <v>21852</v>
      </c>
      <c r="XCW1" t="s">
        <v>21853</v>
      </c>
      <c r="XCX1" t="s">
        <v>21854</v>
      </c>
      <c r="XCY1" t="s">
        <v>21855</v>
      </c>
      <c r="XCZ1" t="s">
        <v>21856</v>
      </c>
      <c r="XDA1" t="s">
        <v>21857</v>
      </c>
      <c r="XDB1" t="s">
        <v>21858</v>
      </c>
      <c r="XDC1" t="s">
        <v>21859</v>
      </c>
      <c r="XDD1" t="s">
        <v>21860</v>
      </c>
      <c r="XDE1" t="s">
        <v>21861</v>
      </c>
      <c r="XDF1" t="s">
        <v>21862</v>
      </c>
      <c r="XDG1" t="s">
        <v>21863</v>
      </c>
      <c r="XDH1" t="s">
        <v>21864</v>
      </c>
      <c r="XDI1" t="s">
        <v>21865</v>
      </c>
      <c r="XDJ1" t="s">
        <v>21866</v>
      </c>
      <c r="XDK1" t="s">
        <v>21867</v>
      </c>
      <c r="XDL1" t="s">
        <v>21868</v>
      </c>
      <c r="XDM1" t="s">
        <v>21869</v>
      </c>
      <c r="XDN1" t="s">
        <v>21870</v>
      </c>
      <c r="XDO1" t="s">
        <v>21871</v>
      </c>
      <c r="XDP1" t="s">
        <v>21872</v>
      </c>
      <c r="XDQ1" t="s">
        <v>21873</v>
      </c>
      <c r="XDR1" t="s">
        <v>21874</v>
      </c>
      <c r="XDS1" t="s">
        <v>21875</v>
      </c>
      <c r="XDT1" t="s">
        <v>21876</v>
      </c>
      <c r="XDU1" t="s">
        <v>21877</v>
      </c>
      <c r="XDV1" t="s">
        <v>21878</v>
      </c>
      <c r="XDW1" t="s">
        <v>21879</v>
      </c>
      <c r="XDX1" t="s">
        <v>21880</v>
      </c>
      <c r="XDY1" t="s">
        <v>21881</v>
      </c>
      <c r="XDZ1" t="s">
        <v>21882</v>
      </c>
      <c r="XEA1" t="s">
        <v>21883</v>
      </c>
      <c r="XEB1" t="s">
        <v>21884</v>
      </c>
      <c r="XEC1" t="s">
        <v>21885</v>
      </c>
      <c r="XED1" t="s">
        <v>21886</v>
      </c>
      <c r="XEE1" t="s">
        <v>21887</v>
      </c>
      <c r="XEF1" t="s">
        <v>21888</v>
      </c>
      <c r="XEG1" t="s">
        <v>21889</v>
      </c>
      <c r="XEH1" t="s">
        <v>21890</v>
      </c>
      <c r="XEI1" t="s">
        <v>21891</v>
      </c>
      <c r="XEJ1" t="s">
        <v>21892</v>
      </c>
      <c r="XEK1" t="s">
        <v>21893</v>
      </c>
      <c r="XEL1" t="s">
        <v>21894</v>
      </c>
      <c r="XEM1" t="s">
        <v>21895</v>
      </c>
      <c r="XEN1" t="s">
        <v>21896</v>
      </c>
      <c r="XEO1" t="s">
        <v>21897</v>
      </c>
      <c r="XEP1" t="s">
        <v>21898</v>
      </c>
      <c r="XEQ1" t="s">
        <v>21899</v>
      </c>
      <c r="XER1" t="s">
        <v>21900</v>
      </c>
      <c r="XES1" t="s">
        <v>21901</v>
      </c>
      <c r="XET1" t="s">
        <v>21902</v>
      </c>
      <c r="XEU1" t="s">
        <v>21903</v>
      </c>
      <c r="XEV1" t="s">
        <v>21904</v>
      </c>
      <c r="XEW1" t="s">
        <v>21905</v>
      </c>
      <c r="XEX1" t="s">
        <v>21906</v>
      </c>
      <c r="XEY1" t="s">
        <v>21907</v>
      </c>
      <c r="XEZ1" t="s">
        <v>21908</v>
      </c>
      <c r="XFA1" t="s">
        <v>21909</v>
      </c>
      <c r="XFB1" t="s">
        <v>21910</v>
      </c>
      <c r="XFC1" t="s">
        <v>21911</v>
      </c>
      <c r="XFD1" t="s">
        <v>21912</v>
      </c>
    </row>
    <row r="2" spans="1:16384" customFormat="1" ht="39" customHeight="1" x14ac:dyDescent="0.3">
      <c r="A2" s="72" t="s">
        <v>4684</v>
      </c>
      <c r="B2" s="18" t="s">
        <v>4666</v>
      </c>
      <c r="C2" s="18" t="s">
        <v>4667</v>
      </c>
      <c r="D2" s="18" t="s">
        <v>4668</v>
      </c>
      <c r="E2" s="18" t="s">
        <v>4669</v>
      </c>
      <c r="F2" s="18" t="s">
        <v>1147</v>
      </c>
      <c r="G2" s="18" t="s">
        <v>4670</v>
      </c>
      <c r="H2" s="17" t="s">
        <v>63</v>
      </c>
      <c r="I2" s="25"/>
      <c r="J2" s="26"/>
      <c r="K2" s="22"/>
      <c r="L2" s="23">
        <v>4.5</v>
      </c>
      <c r="M2" s="23">
        <v>9</v>
      </c>
      <c r="N2" s="24">
        <f t="shared" ref="N2:N33" si="0">MAX(L2,M2)</f>
        <v>9</v>
      </c>
      <c r="O2" s="17" t="s">
        <v>27</v>
      </c>
      <c r="P2" s="18" t="s">
        <v>4671</v>
      </c>
      <c r="Q2" t="s">
        <v>4582</v>
      </c>
    </row>
    <row r="3" spans="1:16384" customFormat="1" ht="39" customHeight="1" x14ac:dyDescent="0.3">
      <c r="A3" s="72" t="s">
        <v>4685</v>
      </c>
      <c r="B3" s="18" t="s">
        <v>4672</v>
      </c>
      <c r="C3" s="18" t="s">
        <v>4673</v>
      </c>
      <c r="D3" s="18" t="s">
        <v>4674</v>
      </c>
      <c r="E3" s="18" t="s">
        <v>4675</v>
      </c>
      <c r="F3" s="18" t="s">
        <v>1697</v>
      </c>
      <c r="G3" s="18" t="s">
        <v>4676</v>
      </c>
      <c r="H3" s="17" t="s">
        <v>63</v>
      </c>
      <c r="I3" s="25"/>
      <c r="J3" s="26"/>
      <c r="K3" s="22"/>
      <c r="L3" s="23">
        <v>4</v>
      </c>
      <c r="M3" s="23">
        <v>8</v>
      </c>
      <c r="N3" s="24">
        <f t="shared" si="0"/>
        <v>8</v>
      </c>
      <c r="O3" s="17" t="s">
        <v>27</v>
      </c>
      <c r="P3" s="18" t="s">
        <v>4677</v>
      </c>
      <c r="Q3" t="s">
        <v>4678</v>
      </c>
    </row>
    <row r="4" spans="1:16384" customFormat="1" ht="39" customHeight="1" x14ac:dyDescent="0.3">
      <c r="A4" s="72" t="s">
        <v>4686</v>
      </c>
      <c r="B4" s="18" t="s">
        <v>4679</v>
      </c>
      <c r="C4" s="18" t="s">
        <v>4680</v>
      </c>
      <c r="D4" s="18" t="s">
        <v>4674</v>
      </c>
      <c r="E4" s="18" t="s">
        <v>4681</v>
      </c>
      <c r="F4" s="18" t="s">
        <v>1697</v>
      </c>
      <c r="G4" s="18" t="s">
        <v>4682</v>
      </c>
      <c r="H4" s="17" t="s">
        <v>63</v>
      </c>
      <c r="I4" s="25"/>
      <c r="J4" s="26"/>
      <c r="K4" s="22"/>
      <c r="L4" s="23">
        <v>4</v>
      </c>
      <c r="M4" s="23">
        <v>8</v>
      </c>
      <c r="N4" s="24">
        <f t="shared" si="0"/>
        <v>8</v>
      </c>
      <c r="O4" s="17" t="s">
        <v>27</v>
      </c>
      <c r="P4" s="18" t="s">
        <v>4683</v>
      </c>
      <c r="Q4" t="s">
        <v>4678</v>
      </c>
    </row>
    <row r="5" spans="1:16384" customFormat="1" ht="39" customHeight="1" x14ac:dyDescent="0.3">
      <c r="A5" s="72" t="s">
        <v>4687</v>
      </c>
      <c r="B5" s="18" t="s">
        <v>4690</v>
      </c>
      <c r="C5" s="18" t="s">
        <v>4673</v>
      </c>
      <c r="D5" s="18" t="s">
        <v>4674</v>
      </c>
      <c r="E5" s="18" t="s">
        <v>4691</v>
      </c>
      <c r="F5" s="18" t="s">
        <v>1697</v>
      </c>
      <c r="G5" s="18" t="s">
        <v>4692</v>
      </c>
      <c r="H5" s="17" t="s">
        <v>63</v>
      </c>
      <c r="I5" s="25"/>
      <c r="J5" s="26"/>
      <c r="K5" s="22"/>
      <c r="L5" s="23">
        <v>4</v>
      </c>
      <c r="M5" s="23">
        <v>8</v>
      </c>
      <c r="N5" s="24">
        <f t="shared" si="0"/>
        <v>8</v>
      </c>
      <c r="O5" s="17" t="s">
        <v>27</v>
      </c>
      <c r="P5" s="18" t="s">
        <v>4693</v>
      </c>
      <c r="Q5" t="s">
        <v>4694</v>
      </c>
    </row>
    <row r="6" spans="1:16384" customFormat="1" ht="39" customHeight="1" x14ac:dyDescent="0.3">
      <c r="A6" s="72" t="s">
        <v>4688</v>
      </c>
      <c r="B6" s="18" t="s">
        <v>4695</v>
      </c>
      <c r="C6" s="18" t="s">
        <v>4696</v>
      </c>
      <c r="D6" s="18" t="s">
        <v>4668</v>
      </c>
      <c r="E6" s="18" t="s">
        <v>4697</v>
      </c>
      <c r="F6" s="18" t="s">
        <v>1147</v>
      </c>
      <c r="G6" s="18" t="s">
        <v>4698</v>
      </c>
      <c r="H6" s="17" t="s">
        <v>63</v>
      </c>
      <c r="I6" s="25"/>
      <c r="J6" s="26"/>
      <c r="K6" s="22"/>
      <c r="L6" s="23">
        <v>4.5</v>
      </c>
      <c r="M6" s="23">
        <v>9</v>
      </c>
      <c r="N6" s="24">
        <f t="shared" si="0"/>
        <v>9</v>
      </c>
      <c r="O6" s="17" t="s">
        <v>27</v>
      </c>
      <c r="P6" s="18" t="s">
        <v>4699</v>
      </c>
      <c r="Q6" t="s">
        <v>4700</v>
      </c>
    </row>
    <row r="7" spans="1:16384" customFormat="1" ht="39" customHeight="1" x14ac:dyDescent="0.3">
      <c r="A7" s="72" t="s">
        <v>4689</v>
      </c>
      <c r="B7" s="18" t="s">
        <v>4701</v>
      </c>
      <c r="C7" s="18" t="s">
        <v>4702</v>
      </c>
      <c r="D7" s="18" t="s">
        <v>4668</v>
      </c>
      <c r="E7" s="18" t="s">
        <v>4703</v>
      </c>
      <c r="F7" s="18" t="s">
        <v>1147</v>
      </c>
      <c r="G7" s="18" t="s">
        <v>4704</v>
      </c>
      <c r="H7" s="17" t="s">
        <v>63</v>
      </c>
      <c r="I7" s="25"/>
      <c r="J7" s="26"/>
      <c r="K7" s="22"/>
      <c r="L7" s="23">
        <v>4.5</v>
      </c>
      <c r="M7" s="23">
        <v>9</v>
      </c>
      <c r="N7" s="24">
        <f t="shared" si="0"/>
        <v>9</v>
      </c>
      <c r="O7" s="17" t="s">
        <v>27</v>
      </c>
      <c r="P7" s="18" t="s">
        <v>4705</v>
      </c>
      <c r="Q7" t="s">
        <v>4700</v>
      </c>
    </row>
    <row r="8" spans="1:16384" customFormat="1" ht="39" customHeight="1" x14ac:dyDescent="0.3">
      <c r="A8" s="17" t="s">
        <v>5253</v>
      </c>
      <c r="B8" s="18" t="s">
        <v>5254</v>
      </c>
      <c r="C8" s="18" t="s">
        <v>5255</v>
      </c>
      <c r="D8" s="18" t="s">
        <v>5240</v>
      </c>
      <c r="E8" s="18" t="s">
        <v>5256</v>
      </c>
      <c r="F8" s="18" t="s">
        <v>5250</v>
      </c>
      <c r="G8" s="18" t="s">
        <v>5257</v>
      </c>
      <c r="H8" s="17" t="s">
        <v>63</v>
      </c>
      <c r="I8" s="25"/>
      <c r="J8" s="26"/>
      <c r="K8" s="22"/>
      <c r="L8" s="23">
        <v>3</v>
      </c>
      <c r="M8" s="23">
        <v>6</v>
      </c>
      <c r="N8" s="24">
        <f t="shared" si="0"/>
        <v>6</v>
      </c>
      <c r="O8" s="17" t="s">
        <v>5244</v>
      </c>
      <c r="P8" s="18" t="s">
        <v>5258</v>
      </c>
      <c r="Q8" t="s">
        <v>5252</v>
      </c>
    </row>
    <row r="9" spans="1:16384" customFormat="1" ht="39" customHeight="1" x14ac:dyDescent="0.3">
      <c r="A9" s="17" t="s">
        <v>5276</v>
      </c>
      <c r="B9" s="18" t="s">
        <v>5277</v>
      </c>
      <c r="C9" s="18" t="s">
        <v>5278</v>
      </c>
      <c r="D9" s="18" t="s">
        <v>5279</v>
      </c>
      <c r="E9" s="18" t="s">
        <v>5280</v>
      </c>
      <c r="F9" s="18" t="s">
        <v>5281</v>
      </c>
      <c r="G9" s="18" t="s">
        <v>5282</v>
      </c>
      <c r="H9" s="17" t="s">
        <v>63</v>
      </c>
      <c r="I9" s="25"/>
      <c r="J9" s="26"/>
      <c r="K9" s="22"/>
      <c r="L9" s="23">
        <v>3.5</v>
      </c>
      <c r="M9" s="23">
        <v>7</v>
      </c>
      <c r="N9" s="24">
        <f t="shared" si="0"/>
        <v>7</v>
      </c>
      <c r="O9" s="17" t="s">
        <v>5283</v>
      </c>
      <c r="P9" s="18" t="s">
        <v>5284</v>
      </c>
      <c r="Q9" t="s">
        <v>5285</v>
      </c>
    </row>
    <row r="10" spans="1:16384" customFormat="1" ht="39" customHeight="1" x14ac:dyDescent="0.3">
      <c r="A10" s="17" t="s">
        <v>5286</v>
      </c>
      <c r="B10" s="18" t="s">
        <v>5287</v>
      </c>
      <c r="C10" s="18" t="s">
        <v>5288</v>
      </c>
      <c r="D10" s="18" t="s">
        <v>5279</v>
      </c>
      <c r="E10" s="18" t="s">
        <v>5289</v>
      </c>
      <c r="F10" s="18" t="s">
        <v>5290</v>
      </c>
      <c r="G10" s="18" t="s">
        <v>5291</v>
      </c>
      <c r="H10" s="17" t="s">
        <v>63</v>
      </c>
      <c r="I10" s="25"/>
      <c r="J10" s="26"/>
      <c r="K10" s="22"/>
      <c r="L10" s="23">
        <v>4.5</v>
      </c>
      <c r="M10" s="23">
        <v>9</v>
      </c>
      <c r="N10" s="24">
        <f t="shared" si="0"/>
        <v>9</v>
      </c>
      <c r="O10" s="17" t="s">
        <v>5283</v>
      </c>
      <c r="P10" s="18" t="s">
        <v>5292</v>
      </c>
      <c r="Q10" t="s">
        <v>5293</v>
      </c>
    </row>
    <row r="11" spans="1:16384" customFormat="1" ht="39" customHeight="1" x14ac:dyDescent="0.3">
      <c r="A11" s="17" t="s">
        <v>5294</v>
      </c>
      <c r="B11" s="18" t="s">
        <v>5295</v>
      </c>
      <c r="C11" s="18" t="s">
        <v>5296</v>
      </c>
      <c r="D11" s="18" t="s">
        <v>5279</v>
      </c>
      <c r="E11" s="18" t="s">
        <v>5297</v>
      </c>
      <c r="F11" s="18" t="s">
        <v>5298</v>
      </c>
      <c r="G11" s="18" t="s">
        <v>5299</v>
      </c>
      <c r="H11" s="17" t="s">
        <v>63</v>
      </c>
      <c r="I11" s="25"/>
      <c r="J11" s="26"/>
      <c r="K11" s="22"/>
      <c r="L11" s="23">
        <v>3</v>
      </c>
      <c r="M11" s="23">
        <v>6</v>
      </c>
      <c r="N11" s="24">
        <f t="shared" si="0"/>
        <v>6</v>
      </c>
      <c r="O11" s="17" t="s">
        <v>5283</v>
      </c>
      <c r="P11" s="18" t="s">
        <v>5300</v>
      </c>
      <c r="Q11" t="s">
        <v>5301</v>
      </c>
    </row>
    <row r="12" spans="1:16384" customFormat="1" ht="39" customHeight="1" x14ac:dyDescent="0.3">
      <c r="A12" s="17" t="s">
        <v>5355</v>
      </c>
      <c r="B12" s="18" t="s">
        <v>5356</v>
      </c>
      <c r="C12" s="18" t="s">
        <v>5357</v>
      </c>
      <c r="D12" s="18" t="s">
        <v>5358</v>
      </c>
      <c r="E12" s="18" t="s">
        <v>5359</v>
      </c>
      <c r="F12" s="18" t="s">
        <v>5360</v>
      </c>
      <c r="G12" s="18" t="s">
        <v>5361</v>
      </c>
      <c r="H12" s="17" t="s">
        <v>63</v>
      </c>
      <c r="I12" s="25"/>
      <c r="J12" s="26"/>
      <c r="K12" s="22"/>
      <c r="L12" s="23">
        <v>3</v>
      </c>
      <c r="M12" s="23">
        <v>6</v>
      </c>
      <c r="N12" s="24">
        <f t="shared" si="0"/>
        <v>6</v>
      </c>
      <c r="O12" s="17" t="s">
        <v>5362</v>
      </c>
      <c r="P12" s="18" t="s">
        <v>5363</v>
      </c>
      <c r="Q12" t="s">
        <v>5364</v>
      </c>
    </row>
    <row r="13" spans="1:16384" customFormat="1" ht="39" customHeight="1" x14ac:dyDescent="0.3">
      <c r="A13" s="17" t="s">
        <v>5365</v>
      </c>
      <c r="B13" s="18" t="s">
        <v>5366</v>
      </c>
      <c r="C13" s="18" t="s">
        <v>5367</v>
      </c>
      <c r="D13" s="18" t="s">
        <v>5368</v>
      </c>
      <c r="E13" s="18" t="s">
        <v>5369</v>
      </c>
      <c r="F13" s="18" t="s">
        <v>5242</v>
      </c>
      <c r="G13" s="18" t="s">
        <v>5370</v>
      </c>
      <c r="H13" s="17" t="s">
        <v>63</v>
      </c>
      <c r="I13" s="25"/>
      <c r="J13" s="26"/>
      <c r="K13" s="22"/>
      <c r="L13" s="23">
        <v>5</v>
      </c>
      <c r="M13" s="23">
        <v>10</v>
      </c>
      <c r="N13" s="24">
        <f t="shared" si="0"/>
        <v>10</v>
      </c>
      <c r="O13" s="17" t="s">
        <v>5244</v>
      </c>
      <c r="P13" s="18" t="s">
        <v>5371</v>
      </c>
      <c r="Q13" t="s">
        <v>5245</v>
      </c>
    </row>
    <row r="14" spans="1:16384" customFormat="1" ht="39" customHeight="1" x14ac:dyDescent="0.3">
      <c r="A14" s="17" t="s">
        <v>5372</v>
      </c>
      <c r="B14" s="18" t="s">
        <v>5373</v>
      </c>
      <c r="C14" s="18" t="s">
        <v>5374</v>
      </c>
      <c r="D14" s="18" t="s">
        <v>5375</v>
      </c>
      <c r="E14" s="18" t="s">
        <v>5376</v>
      </c>
      <c r="F14" s="18" t="s">
        <v>5250</v>
      </c>
      <c r="G14" s="18" t="s">
        <v>5377</v>
      </c>
      <c r="H14" s="17" t="s">
        <v>63</v>
      </c>
      <c r="I14" s="25"/>
      <c r="J14" s="26"/>
      <c r="K14" s="22"/>
      <c r="L14" s="23">
        <v>4</v>
      </c>
      <c r="M14" s="23">
        <v>8</v>
      </c>
      <c r="N14" s="24">
        <f t="shared" si="0"/>
        <v>8</v>
      </c>
      <c r="O14" s="17" t="s">
        <v>5244</v>
      </c>
      <c r="P14" s="18" t="s">
        <v>5378</v>
      </c>
      <c r="Q14" t="s">
        <v>5252</v>
      </c>
    </row>
    <row r="15" spans="1:16384" customFormat="1" ht="39" customHeight="1" x14ac:dyDescent="0.3">
      <c r="A15" s="17" t="s">
        <v>5302</v>
      </c>
      <c r="B15" s="18" t="s">
        <v>5303</v>
      </c>
      <c r="C15" s="18" t="s">
        <v>5304</v>
      </c>
      <c r="D15" s="18" t="s">
        <v>5129</v>
      </c>
      <c r="E15" s="18" t="s">
        <v>5305</v>
      </c>
      <c r="F15" s="18" t="s">
        <v>1697</v>
      </c>
      <c r="G15" s="18" t="s">
        <v>5306</v>
      </c>
      <c r="H15" s="17" t="s">
        <v>63</v>
      </c>
      <c r="I15" s="25"/>
      <c r="J15" s="26"/>
      <c r="K15" s="22"/>
      <c r="L15" s="23">
        <v>2.5</v>
      </c>
      <c r="M15" s="23">
        <v>5</v>
      </c>
      <c r="N15" s="24">
        <f t="shared" si="0"/>
        <v>5</v>
      </c>
      <c r="O15" s="17" t="s">
        <v>27</v>
      </c>
      <c r="P15" s="18" t="s">
        <v>5307</v>
      </c>
      <c r="Q15" t="s">
        <v>5133</v>
      </c>
    </row>
    <row r="16" spans="1:16384" customFormat="1" ht="39" customHeight="1" x14ac:dyDescent="0.3">
      <c r="A16" s="17" t="s">
        <v>5308</v>
      </c>
      <c r="B16" s="18" t="s">
        <v>5309</v>
      </c>
      <c r="C16" s="18" t="s">
        <v>5310</v>
      </c>
      <c r="D16" s="18" t="s">
        <v>5129</v>
      </c>
      <c r="E16" s="18" t="s">
        <v>5311</v>
      </c>
      <c r="F16" s="18" t="s">
        <v>1697</v>
      </c>
      <c r="G16" s="18" t="s">
        <v>5312</v>
      </c>
      <c r="H16" s="17" t="s">
        <v>63</v>
      </c>
      <c r="I16" s="25"/>
      <c r="J16" s="26"/>
      <c r="K16" s="22"/>
      <c r="L16" s="23">
        <v>3</v>
      </c>
      <c r="M16" s="23">
        <v>6</v>
      </c>
      <c r="N16" s="24">
        <f t="shared" si="0"/>
        <v>6</v>
      </c>
      <c r="O16" s="17" t="s">
        <v>27</v>
      </c>
      <c r="P16" s="18" t="s">
        <v>5313</v>
      </c>
      <c r="Q16" t="s">
        <v>5133</v>
      </c>
    </row>
    <row r="17" spans="1:17" ht="39" customHeight="1" x14ac:dyDescent="0.3">
      <c r="A17" s="17" t="s">
        <v>5314</v>
      </c>
      <c r="B17" s="18" t="s">
        <v>5315</v>
      </c>
      <c r="C17" s="18" t="s">
        <v>5316</v>
      </c>
      <c r="D17" s="18" t="s">
        <v>5129</v>
      </c>
      <c r="E17" s="18" t="s">
        <v>5317</v>
      </c>
      <c r="F17" s="18" t="s">
        <v>5318</v>
      </c>
      <c r="G17" s="18" t="s">
        <v>5319</v>
      </c>
      <c r="H17" s="17" t="s">
        <v>63</v>
      </c>
      <c r="I17" s="25"/>
      <c r="J17" s="26"/>
      <c r="K17" s="22"/>
      <c r="L17" s="23">
        <v>4.5</v>
      </c>
      <c r="M17" s="23">
        <v>9</v>
      </c>
      <c r="N17" s="24">
        <f t="shared" si="0"/>
        <v>9</v>
      </c>
      <c r="O17" s="17" t="s">
        <v>27</v>
      </c>
      <c r="P17" s="18" t="s">
        <v>5320</v>
      </c>
      <c r="Q17" t="s">
        <v>5321</v>
      </c>
    </row>
    <row r="18" spans="1:17" ht="39" customHeight="1" x14ac:dyDescent="0.3">
      <c r="A18" s="17" t="s">
        <v>5322</v>
      </c>
      <c r="B18" s="18" t="s">
        <v>5323</v>
      </c>
      <c r="C18" s="18" t="s">
        <v>5324</v>
      </c>
      <c r="D18" s="18" t="s">
        <v>5129</v>
      </c>
      <c r="E18" s="18" t="s">
        <v>5325</v>
      </c>
      <c r="F18" s="18" t="s">
        <v>1697</v>
      </c>
      <c r="G18" s="18" t="s">
        <v>5326</v>
      </c>
      <c r="H18" s="17" t="s">
        <v>63</v>
      </c>
      <c r="I18" s="25"/>
      <c r="J18" s="26"/>
      <c r="K18" s="22"/>
      <c r="L18" s="23">
        <v>3</v>
      </c>
      <c r="M18" s="23">
        <v>6</v>
      </c>
      <c r="N18" s="24">
        <f t="shared" si="0"/>
        <v>6</v>
      </c>
      <c r="O18" s="17" t="s">
        <v>27</v>
      </c>
      <c r="P18" s="18" t="s">
        <v>5327</v>
      </c>
      <c r="Q18" t="s">
        <v>5133</v>
      </c>
    </row>
    <row r="19" spans="1:17" ht="39" customHeight="1" x14ac:dyDescent="0.3">
      <c r="A19" s="17" t="s">
        <v>5328</v>
      </c>
      <c r="B19" s="18" t="s">
        <v>5329</v>
      </c>
      <c r="C19" s="18" t="s">
        <v>5330</v>
      </c>
      <c r="D19" s="18" t="s">
        <v>5129</v>
      </c>
      <c r="E19" s="18" t="s">
        <v>5331</v>
      </c>
      <c r="F19" s="18" t="s">
        <v>1697</v>
      </c>
      <c r="G19" s="18" t="s">
        <v>5332</v>
      </c>
      <c r="H19" s="17" t="s">
        <v>63</v>
      </c>
      <c r="I19" s="25"/>
      <c r="J19" s="26"/>
      <c r="K19" s="22"/>
      <c r="L19" s="23">
        <v>2.5</v>
      </c>
      <c r="M19" s="23">
        <v>5</v>
      </c>
      <c r="N19" s="24">
        <f t="shared" si="0"/>
        <v>5</v>
      </c>
      <c r="O19" s="17" t="s">
        <v>27</v>
      </c>
      <c r="P19" s="18" t="s">
        <v>5333</v>
      </c>
      <c r="Q19" t="s">
        <v>5133</v>
      </c>
    </row>
    <row r="20" spans="1:17" ht="39" customHeight="1" x14ac:dyDescent="0.3">
      <c r="A20" s="17" t="s">
        <v>5334</v>
      </c>
      <c r="B20" s="18" t="s">
        <v>5335</v>
      </c>
      <c r="C20" s="18" t="s">
        <v>5336</v>
      </c>
      <c r="D20" s="18" t="s">
        <v>5129</v>
      </c>
      <c r="E20" s="18" t="s">
        <v>5337</v>
      </c>
      <c r="F20" s="18" t="s">
        <v>1697</v>
      </c>
      <c r="G20" s="18" t="s">
        <v>5338</v>
      </c>
      <c r="H20" s="17" t="s">
        <v>63</v>
      </c>
      <c r="I20" s="25"/>
      <c r="J20" s="26"/>
      <c r="K20" s="22"/>
      <c r="L20" s="23">
        <v>2.5</v>
      </c>
      <c r="M20" s="23">
        <v>5</v>
      </c>
      <c r="N20" s="24">
        <f t="shared" si="0"/>
        <v>5</v>
      </c>
      <c r="O20" s="17" t="s">
        <v>27</v>
      </c>
      <c r="P20" s="18" t="s">
        <v>5307</v>
      </c>
      <c r="Q20" t="s">
        <v>5133</v>
      </c>
    </row>
    <row r="21" spans="1:17" ht="39" customHeight="1" x14ac:dyDescent="0.3">
      <c r="A21" s="17" t="s">
        <v>5339</v>
      </c>
      <c r="B21" s="18" t="s">
        <v>5340</v>
      </c>
      <c r="C21" s="18" t="s">
        <v>5341</v>
      </c>
      <c r="D21" s="18" t="s">
        <v>5129</v>
      </c>
      <c r="E21" s="18" t="s">
        <v>5305</v>
      </c>
      <c r="F21" s="18" t="s">
        <v>1697</v>
      </c>
      <c r="G21" s="18" t="s">
        <v>5342</v>
      </c>
      <c r="H21" s="17" t="s">
        <v>63</v>
      </c>
      <c r="I21" s="25"/>
      <c r="J21" s="26"/>
      <c r="K21" s="22"/>
      <c r="L21" s="23">
        <v>2.5</v>
      </c>
      <c r="M21" s="23">
        <v>5</v>
      </c>
      <c r="N21" s="24">
        <f t="shared" si="0"/>
        <v>5</v>
      </c>
      <c r="O21" s="17" t="s">
        <v>27</v>
      </c>
      <c r="P21" s="18" t="s">
        <v>5307</v>
      </c>
      <c r="Q21" t="s">
        <v>5133</v>
      </c>
    </row>
    <row r="22" spans="1:17" ht="39" customHeight="1" x14ac:dyDescent="0.3">
      <c r="A22" s="17" t="s">
        <v>5343</v>
      </c>
      <c r="B22" s="18" t="s">
        <v>5344</v>
      </c>
      <c r="C22" s="18" t="s">
        <v>5345</v>
      </c>
      <c r="D22" s="18" t="s">
        <v>5129</v>
      </c>
      <c r="E22" s="18" t="s">
        <v>5346</v>
      </c>
      <c r="F22" s="18" t="s">
        <v>1697</v>
      </c>
      <c r="G22" s="18" t="s">
        <v>5347</v>
      </c>
      <c r="H22" s="17" t="s">
        <v>63</v>
      </c>
      <c r="I22" s="25"/>
      <c r="J22" s="26"/>
      <c r="K22" s="22"/>
      <c r="L22" s="23">
        <v>2.5</v>
      </c>
      <c r="M22" s="23">
        <v>5</v>
      </c>
      <c r="N22" s="24">
        <f t="shared" si="0"/>
        <v>5</v>
      </c>
      <c r="O22" s="17" t="s">
        <v>27</v>
      </c>
      <c r="P22" s="18" t="s">
        <v>5348</v>
      </c>
      <c r="Q22" t="s">
        <v>5133</v>
      </c>
    </row>
    <row r="23" spans="1:17" ht="39" customHeight="1" x14ac:dyDescent="0.3">
      <c r="A23" s="17" t="s">
        <v>5349</v>
      </c>
      <c r="B23" s="18" t="s">
        <v>5350</v>
      </c>
      <c r="C23" s="18" t="s">
        <v>5351</v>
      </c>
      <c r="D23" s="18" t="s">
        <v>5129</v>
      </c>
      <c r="E23" s="18" t="s">
        <v>5352</v>
      </c>
      <c r="F23" s="18" t="s">
        <v>1697</v>
      </c>
      <c r="G23" s="18" t="s">
        <v>5353</v>
      </c>
      <c r="H23" s="17" t="s">
        <v>63</v>
      </c>
      <c r="I23" s="25"/>
      <c r="J23" s="26"/>
      <c r="K23" s="22"/>
      <c r="L23" s="23">
        <v>3</v>
      </c>
      <c r="M23" s="23">
        <v>6</v>
      </c>
      <c r="N23" s="24">
        <f t="shared" si="0"/>
        <v>6</v>
      </c>
      <c r="O23" s="17" t="s">
        <v>27</v>
      </c>
      <c r="P23" s="18" t="s">
        <v>5354</v>
      </c>
      <c r="Q23" t="s">
        <v>5133</v>
      </c>
    </row>
    <row r="24" spans="1:17" ht="39" customHeight="1" x14ac:dyDescent="0.3">
      <c r="A24" s="17" t="s">
        <v>5379</v>
      </c>
      <c r="B24" s="18" t="s">
        <v>5380</v>
      </c>
      <c r="C24" s="18" t="s">
        <v>5381</v>
      </c>
      <c r="D24" s="18" t="s">
        <v>5382</v>
      </c>
      <c r="E24" s="18" t="s">
        <v>5383</v>
      </c>
      <c r="F24" s="18" t="s">
        <v>1697</v>
      </c>
      <c r="G24" s="18" t="s">
        <v>5384</v>
      </c>
      <c r="H24" s="17" t="s">
        <v>63</v>
      </c>
      <c r="I24" s="25"/>
      <c r="J24" s="26"/>
      <c r="K24" s="22"/>
      <c r="L24" s="23">
        <v>3.5</v>
      </c>
      <c r="M24" s="23">
        <v>7</v>
      </c>
      <c r="N24" s="24">
        <f t="shared" si="0"/>
        <v>7</v>
      </c>
      <c r="O24" s="17" t="s">
        <v>27</v>
      </c>
      <c r="P24" s="18" t="s">
        <v>5385</v>
      </c>
      <c r="Q24" t="s">
        <v>5133</v>
      </c>
    </row>
    <row r="25" spans="1:17" ht="39" customHeight="1" x14ac:dyDescent="0.3">
      <c r="A25" s="17" t="s">
        <v>5386</v>
      </c>
      <c r="B25" s="18" t="s">
        <v>5387</v>
      </c>
      <c r="C25" s="18" t="s">
        <v>5388</v>
      </c>
      <c r="D25" s="18" t="s">
        <v>5129</v>
      </c>
      <c r="E25" s="18" t="s">
        <v>5389</v>
      </c>
      <c r="F25" s="18" t="s">
        <v>1768</v>
      </c>
      <c r="G25" s="18" t="s">
        <v>5390</v>
      </c>
      <c r="H25" s="17" t="s">
        <v>63</v>
      </c>
      <c r="I25" s="25"/>
      <c r="J25" s="26"/>
      <c r="K25" s="22"/>
      <c r="L25" s="23">
        <v>4.5</v>
      </c>
      <c r="M25" s="23">
        <v>9</v>
      </c>
      <c r="N25" s="24">
        <f t="shared" si="0"/>
        <v>9</v>
      </c>
      <c r="O25" s="17" t="s">
        <v>27</v>
      </c>
      <c r="P25" s="18" t="s">
        <v>5391</v>
      </c>
      <c r="Q25" t="s">
        <v>5062</v>
      </c>
    </row>
    <row r="26" spans="1:17" ht="39" customHeight="1" x14ac:dyDescent="0.3">
      <c r="A26" s="17" t="s">
        <v>5392</v>
      </c>
      <c r="B26" s="18" t="s">
        <v>5393</v>
      </c>
      <c r="C26" s="18" t="s">
        <v>5394</v>
      </c>
      <c r="D26" s="18" t="s">
        <v>5129</v>
      </c>
      <c r="E26" s="18" t="s">
        <v>5395</v>
      </c>
      <c r="F26" s="18" t="s">
        <v>1768</v>
      </c>
      <c r="G26" s="18" t="s">
        <v>5396</v>
      </c>
      <c r="H26" s="17" t="s">
        <v>63</v>
      </c>
      <c r="I26" s="25"/>
      <c r="J26" s="26"/>
      <c r="K26" s="22"/>
      <c r="L26" s="23">
        <v>4.5</v>
      </c>
      <c r="M26" s="23">
        <v>9</v>
      </c>
      <c r="N26" s="24">
        <f t="shared" si="0"/>
        <v>9</v>
      </c>
      <c r="O26" s="17" t="s">
        <v>27</v>
      </c>
      <c r="P26" s="18" t="s">
        <v>5397</v>
      </c>
      <c r="Q26" t="s">
        <v>5062</v>
      </c>
    </row>
    <row r="27" spans="1:17" ht="39" customHeight="1" x14ac:dyDescent="0.3">
      <c r="A27" s="17" t="s">
        <v>5398</v>
      </c>
      <c r="B27" s="18" t="s">
        <v>5399</v>
      </c>
      <c r="C27" s="18" t="s">
        <v>5400</v>
      </c>
      <c r="D27" s="18" t="s">
        <v>5382</v>
      </c>
      <c r="E27" s="18" t="s">
        <v>5401</v>
      </c>
      <c r="F27" s="18" t="s">
        <v>1697</v>
      </c>
      <c r="G27" s="18" t="s">
        <v>5402</v>
      </c>
      <c r="H27" s="17" t="s">
        <v>63</v>
      </c>
      <c r="I27" s="25"/>
      <c r="J27" s="26"/>
      <c r="K27" s="22"/>
      <c r="L27" s="23">
        <v>3.5</v>
      </c>
      <c r="M27" s="23">
        <v>7</v>
      </c>
      <c r="N27" s="24">
        <f t="shared" si="0"/>
        <v>7</v>
      </c>
      <c r="O27" s="17" t="s">
        <v>27</v>
      </c>
      <c r="P27" s="18" t="s">
        <v>5385</v>
      </c>
      <c r="Q27" t="s">
        <v>5133</v>
      </c>
    </row>
    <row r="28" spans="1:17" ht="39" customHeight="1" x14ac:dyDescent="0.3">
      <c r="A28" s="17" t="s">
        <v>5403</v>
      </c>
      <c r="B28" s="18" t="s">
        <v>5404</v>
      </c>
      <c r="C28" s="18" t="s">
        <v>5405</v>
      </c>
      <c r="D28" s="18" t="s">
        <v>5382</v>
      </c>
      <c r="E28" s="18" t="s">
        <v>5406</v>
      </c>
      <c r="F28" s="18" t="s">
        <v>1697</v>
      </c>
      <c r="G28" s="18" t="s">
        <v>5407</v>
      </c>
      <c r="H28" s="17" t="s">
        <v>63</v>
      </c>
      <c r="I28" s="25"/>
      <c r="J28" s="26"/>
      <c r="K28" s="22"/>
      <c r="L28" s="23">
        <v>3.5</v>
      </c>
      <c r="M28" s="23">
        <v>7</v>
      </c>
      <c r="N28" s="24">
        <f t="shared" si="0"/>
        <v>7</v>
      </c>
      <c r="O28" s="17" t="s">
        <v>27</v>
      </c>
      <c r="P28" s="18" t="s">
        <v>5408</v>
      </c>
      <c r="Q28" t="s">
        <v>5133</v>
      </c>
    </row>
    <row r="29" spans="1:17" ht="39" customHeight="1" x14ac:dyDescent="0.3">
      <c r="A29" s="17" t="s">
        <v>5409</v>
      </c>
      <c r="B29" s="18" t="s">
        <v>5410</v>
      </c>
      <c r="C29" s="18" t="s">
        <v>5411</v>
      </c>
      <c r="D29" s="18" t="s">
        <v>5129</v>
      </c>
      <c r="E29" s="18" t="s">
        <v>5412</v>
      </c>
      <c r="F29" s="18" t="s">
        <v>1697</v>
      </c>
      <c r="G29" s="18" t="s">
        <v>5413</v>
      </c>
      <c r="H29" s="17" t="s">
        <v>63</v>
      </c>
      <c r="I29" s="25"/>
      <c r="J29" s="26"/>
      <c r="K29" s="22"/>
      <c r="L29" s="23">
        <v>3</v>
      </c>
      <c r="M29" s="23">
        <v>6</v>
      </c>
      <c r="N29" s="24">
        <f t="shared" si="0"/>
        <v>6</v>
      </c>
      <c r="O29" s="17" t="s">
        <v>27</v>
      </c>
      <c r="P29" s="18" t="s">
        <v>5313</v>
      </c>
      <c r="Q29" t="s">
        <v>5133</v>
      </c>
    </row>
    <row r="30" spans="1:17" ht="39" customHeight="1" x14ac:dyDescent="0.3">
      <c r="A30" s="17" t="s">
        <v>5414</v>
      </c>
      <c r="B30" s="18" t="s">
        <v>5415</v>
      </c>
      <c r="C30" s="18" t="s">
        <v>5416</v>
      </c>
      <c r="D30" s="18" t="s">
        <v>5129</v>
      </c>
      <c r="E30" s="18" t="s">
        <v>5305</v>
      </c>
      <c r="F30" s="18" t="s">
        <v>1697</v>
      </c>
      <c r="G30" s="18" t="s">
        <v>5417</v>
      </c>
      <c r="H30" s="17" t="s">
        <v>63</v>
      </c>
      <c r="I30" s="25"/>
      <c r="J30" s="26"/>
      <c r="K30" s="22"/>
      <c r="L30" s="23">
        <v>2.5</v>
      </c>
      <c r="M30" s="23">
        <v>5</v>
      </c>
      <c r="N30" s="24">
        <f t="shared" si="0"/>
        <v>5</v>
      </c>
      <c r="O30" s="17" t="s">
        <v>27</v>
      </c>
      <c r="P30" s="18" t="s">
        <v>5307</v>
      </c>
      <c r="Q30" t="s">
        <v>5133</v>
      </c>
    </row>
    <row r="31" spans="1:17" ht="39" customHeight="1" x14ac:dyDescent="0.3">
      <c r="A31" s="17" t="s">
        <v>5418</v>
      </c>
      <c r="B31" s="18" t="s">
        <v>5419</v>
      </c>
      <c r="C31" s="18" t="s">
        <v>5420</v>
      </c>
      <c r="D31" s="18" t="s">
        <v>5129</v>
      </c>
      <c r="E31" s="18" t="s">
        <v>5421</v>
      </c>
      <c r="F31" s="18" t="s">
        <v>1697</v>
      </c>
      <c r="G31" s="18" t="s">
        <v>5422</v>
      </c>
      <c r="H31" s="17" t="s">
        <v>63</v>
      </c>
      <c r="I31" s="25"/>
      <c r="J31" s="26"/>
      <c r="K31" s="22"/>
      <c r="L31" s="23">
        <v>4.5</v>
      </c>
      <c r="M31" s="23">
        <v>9</v>
      </c>
      <c r="N31" s="24">
        <f t="shared" si="0"/>
        <v>9</v>
      </c>
      <c r="O31" s="17" t="s">
        <v>27</v>
      </c>
      <c r="P31" s="18" t="s">
        <v>5423</v>
      </c>
      <c r="Q31" t="s">
        <v>5133</v>
      </c>
    </row>
    <row r="32" spans="1:17" ht="39" customHeight="1" x14ac:dyDescent="0.3">
      <c r="A32" s="17" t="s">
        <v>5424</v>
      </c>
      <c r="B32" s="18" t="s">
        <v>5425</v>
      </c>
      <c r="C32" s="18" t="s">
        <v>5426</v>
      </c>
      <c r="D32" s="18" t="s">
        <v>5129</v>
      </c>
      <c r="E32" s="18" t="s">
        <v>5427</v>
      </c>
      <c r="F32" s="18" t="s">
        <v>5318</v>
      </c>
      <c r="G32" s="18" t="s">
        <v>5428</v>
      </c>
      <c r="H32" s="17" t="s">
        <v>63</v>
      </c>
      <c r="I32" s="25"/>
      <c r="J32" s="26"/>
      <c r="K32" s="22"/>
      <c r="L32" s="23">
        <v>4</v>
      </c>
      <c r="M32" s="23">
        <v>8</v>
      </c>
      <c r="N32" s="24">
        <f t="shared" si="0"/>
        <v>8</v>
      </c>
      <c r="O32" s="17" t="s">
        <v>27</v>
      </c>
      <c r="P32" s="18" t="s">
        <v>5429</v>
      </c>
      <c r="Q32" t="s">
        <v>5321</v>
      </c>
    </row>
    <row r="33" spans="1:17" ht="39" customHeight="1" x14ac:dyDescent="0.3">
      <c r="A33" s="17" t="s">
        <v>5430</v>
      </c>
      <c r="B33" s="18" t="s">
        <v>5431</v>
      </c>
      <c r="C33" s="18" t="s">
        <v>5432</v>
      </c>
      <c r="D33" s="18" t="s">
        <v>5433</v>
      </c>
      <c r="E33" s="18" t="s">
        <v>5434</v>
      </c>
      <c r="F33" s="18" t="s">
        <v>5435</v>
      </c>
      <c r="G33" s="18" t="s">
        <v>5436</v>
      </c>
      <c r="H33" s="17" t="s">
        <v>63</v>
      </c>
      <c r="I33" s="25"/>
      <c r="J33" s="26"/>
      <c r="K33" s="22"/>
      <c r="L33" s="23">
        <v>3</v>
      </c>
      <c r="M33" s="23">
        <v>6</v>
      </c>
      <c r="N33" s="24">
        <f t="shared" si="0"/>
        <v>6</v>
      </c>
      <c r="O33" s="17" t="s">
        <v>5437</v>
      </c>
      <c r="P33" s="18" t="s">
        <v>5438</v>
      </c>
      <c r="Q33" t="s">
        <v>5439</v>
      </c>
    </row>
    <row r="34" spans="1:17" ht="39" customHeight="1" x14ac:dyDescent="0.3">
      <c r="A34" s="17" t="s">
        <v>5440</v>
      </c>
      <c r="B34" s="18" t="s">
        <v>5441</v>
      </c>
      <c r="C34" s="18" t="s">
        <v>5442</v>
      </c>
      <c r="D34" s="18" t="s">
        <v>5433</v>
      </c>
      <c r="E34" s="18" t="s">
        <v>5443</v>
      </c>
      <c r="F34" s="18" t="s">
        <v>5435</v>
      </c>
      <c r="G34" s="18" t="s">
        <v>5444</v>
      </c>
      <c r="H34" s="17" t="s">
        <v>63</v>
      </c>
      <c r="I34" s="25"/>
      <c r="J34" s="26"/>
      <c r="K34" s="22"/>
      <c r="L34" s="23">
        <v>3.5</v>
      </c>
      <c r="M34" s="23">
        <v>7</v>
      </c>
      <c r="N34" s="24">
        <f t="shared" ref="N34:N50" si="1">MAX(L34,M34)</f>
        <v>7</v>
      </c>
      <c r="O34" s="17" t="s">
        <v>5437</v>
      </c>
      <c r="P34" s="18" t="s">
        <v>5445</v>
      </c>
      <c r="Q34" t="s">
        <v>5439</v>
      </c>
    </row>
    <row r="35" spans="1:17" ht="39" customHeight="1" x14ac:dyDescent="0.3">
      <c r="A35" s="17" t="s">
        <v>5446</v>
      </c>
      <c r="B35" s="18" t="s">
        <v>5447</v>
      </c>
      <c r="C35" s="18" t="s">
        <v>5448</v>
      </c>
      <c r="D35" s="18" t="s">
        <v>5433</v>
      </c>
      <c r="E35" s="18" t="s">
        <v>5449</v>
      </c>
      <c r="F35" s="18" t="s">
        <v>5435</v>
      </c>
      <c r="G35" s="18" t="s">
        <v>5450</v>
      </c>
      <c r="H35" s="17" t="s">
        <v>63</v>
      </c>
      <c r="I35" s="25"/>
      <c r="J35" s="26"/>
      <c r="K35" s="22"/>
      <c r="L35" s="23">
        <v>2.5</v>
      </c>
      <c r="M35" s="23">
        <v>5</v>
      </c>
      <c r="N35" s="24">
        <f t="shared" si="1"/>
        <v>5</v>
      </c>
      <c r="O35" s="17" t="s">
        <v>5437</v>
      </c>
      <c r="P35" s="18" t="s">
        <v>5451</v>
      </c>
      <c r="Q35" t="s">
        <v>5439</v>
      </c>
    </row>
    <row r="36" spans="1:17" ht="39" customHeight="1" x14ac:dyDescent="0.3">
      <c r="A36" s="17" t="s">
        <v>5452</v>
      </c>
      <c r="B36" s="18" t="s">
        <v>5453</v>
      </c>
      <c r="C36" s="18" t="s">
        <v>5454</v>
      </c>
      <c r="D36" s="18" t="s">
        <v>5455</v>
      </c>
      <c r="E36" s="18" t="s">
        <v>5456</v>
      </c>
      <c r="F36" s="18" t="s">
        <v>1768</v>
      </c>
      <c r="G36" s="18" t="s">
        <v>5457</v>
      </c>
      <c r="H36" s="17" t="s">
        <v>63</v>
      </c>
      <c r="I36" s="25"/>
      <c r="J36" s="26"/>
      <c r="K36" s="22"/>
      <c r="L36" s="23">
        <v>4.5</v>
      </c>
      <c r="M36" s="23">
        <v>9</v>
      </c>
      <c r="N36" s="24">
        <f t="shared" si="1"/>
        <v>9</v>
      </c>
      <c r="O36" s="17" t="s">
        <v>27</v>
      </c>
      <c r="P36" s="18" t="s">
        <v>5458</v>
      </c>
      <c r="Q36" t="s">
        <v>5062</v>
      </c>
    </row>
    <row r="37" spans="1:17" ht="39" customHeight="1" x14ac:dyDescent="0.3">
      <c r="A37" s="17" t="s">
        <v>5459</v>
      </c>
      <c r="B37" s="18" t="s">
        <v>5460</v>
      </c>
      <c r="C37" s="18" t="s">
        <v>5461</v>
      </c>
      <c r="D37" s="18" t="s">
        <v>5455</v>
      </c>
      <c r="E37" s="18" t="s">
        <v>5462</v>
      </c>
      <c r="F37" s="18" t="s">
        <v>1768</v>
      </c>
      <c r="G37" s="18" t="s">
        <v>5463</v>
      </c>
      <c r="H37" s="17" t="s">
        <v>63</v>
      </c>
      <c r="I37" s="25"/>
      <c r="J37" s="26"/>
      <c r="K37" s="22"/>
      <c r="L37" s="23">
        <v>5.5</v>
      </c>
      <c r="M37" s="23">
        <v>11</v>
      </c>
      <c r="N37" s="24">
        <f t="shared" si="1"/>
        <v>11</v>
      </c>
      <c r="O37" s="17" t="s">
        <v>27</v>
      </c>
      <c r="P37" s="18" t="s">
        <v>5464</v>
      </c>
      <c r="Q37" t="s">
        <v>5062</v>
      </c>
    </row>
    <row r="38" spans="1:17" ht="39" customHeight="1" x14ac:dyDescent="0.3">
      <c r="A38" s="17" t="s">
        <v>5465</v>
      </c>
      <c r="B38" s="18" t="s">
        <v>5466</v>
      </c>
      <c r="C38" s="18" t="s">
        <v>5467</v>
      </c>
      <c r="D38" s="18" t="s">
        <v>5455</v>
      </c>
      <c r="E38" s="18" t="s">
        <v>5468</v>
      </c>
      <c r="F38" s="18" t="s">
        <v>1768</v>
      </c>
      <c r="G38" s="18" t="s">
        <v>5469</v>
      </c>
      <c r="H38" s="17" t="s">
        <v>63</v>
      </c>
      <c r="I38" s="25"/>
      <c r="J38" s="26"/>
      <c r="K38" s="22"/>
      <c r="L38" s="23">
        <v>5</v>
      </c>
      <c r="M38" s="23">
        <v>10</v>
      </c>
      <c r="N38" s="24">
        <f t="shared" si="1"/>
        <v>10</v>
      </c>
      <c r="O38" s="17" t="s">
        <v>27</v>
      </c>
      <c r="P38" s="18" t="s">
        <v>5470</v>
      </c>
      <c r="Q38" t="s">
        <v>5062</v>
      </c>
    </row>
    <row r="39" spans="1:17" ht="39" hidden="1" customHeight="1" x14ac:dyDescent="0.3">
      <c r="A39" s="70" t="s">
        <v>5121</v>
      </c>
      <c r="B39" s="18" t="s">
        <v>5471</v>
      </c>
      <c r="C39" s="18" t="s">
        <v>5472</v>
      </c>
      <c r="D39" s="18" t="s">
        <v>5473</v>
      </c>
      <c r="E39" s="18" t="s">
        <v>5474</v>
      </c>
      <c r="F39" s="18" t="s">
        <v>1697</v>
      </c>
      <c r="G39" s="18" t="s">
        <v>5475</v>
      </c>
      <c r="H39" s="17" t="s">
        <v>63</v>
      </c>
      <c r="I39" s="25"/>
      <c r="J39" s="26"/>
      <c r="K39" s="22"/>
      <c r="L39" s="23">
        <v>3</v>
      </c>
      <c r="M39" s="23">
        <v>6</v>
      </c>
      <c r="N39" s="24">
        <f t="shared" si="1"/>
        <v>6</v>
      </c>
      <c r="O39" s="17" t="s">
        <v>27</v>
      </c>
      <c r="P39" s="18" t="s">
        <v>5476</v>
      </c>
      <c r="Q39" t="s">
        <v>5133</v>
      </c>
    </row>
    <row r="40" spans="1:17" ht="39" customHeight="1" x14ac:dyDescent="0.3">
      <c r="A40" s="17" t="s">
        <v>5477</v>
      </c>
      <c r="B40" s="18" t="s">
        <v>5478</v>
      </c>
      <c r="C40" s="18" t="s">
        <v>5479</v>
      </c>
      <c r="D40" s="18" t="s">
        <v>5129</v>
      </c>
      <c r="E40" s="18" t="s">
        <v>5480</v>
      </c>
      <c r="F40" s="18" t="s">
        <v>1697</v>
      </c>
      <c r="G40" s="18" t="s">
        <v>5481</v>
      </c>
      <c r="H40" s="17" t="s">
        <v>63</v>
      </c>
      <c r="I40" s="25"/>
      <c r="J40" s="26"/>
      <c r="K40" s="22"/>
      <c r="L40" s="23">
        <v>3</v>
      </c>
      <c r="M40" s="23">
        <v>6</v>
      </c>
      <c r="N40" s="24">
        <f t="shared" si="1"/>
        <v>6</v>
      </c>
      <c r="O40" s="17" t="s">
        <v>27</v>
      </c>
      <c r="P40" s="18" t="s">
        <v>5482</v>
      </c>
      <c r="Q40" t="s">
        <v>5133</v>
      </c>
    </row>
    <row r="41" spans="1:17" ht="39" customHeight="1" x14ac:dyDescent="0.3">
      <c r="A41" s="17" t="s">
        <v>5483</v>
      </c>
      <c r="B41" s="18" t="s">
        <v>5484</v>
      </c>
      <c r="C41" s="18" t="s">
        <v>5485</v>
      </c>
      <c r="D41" s="18" t="s">
        <v>5129</v>
      </c>
      <c r="E41" s="18" t="s">
        <v>5486</v>
      </c>
      <c r="F41" s="18" t="s">
        <v>1697</v>
      </c>
      <c r="G41" s="18" t="s">
        <v>5487</v>
      </c>
      <c r="H41" s="17" t="s">
        <v>63</v>
      </c>
      <c r="I41" s="25"/>
      <c r="J41" s="26"/>
      <c r="K41" s="22"/>
      <c r="L41" s="23">
        <v>3</v>
      </c>
      <c r="M41" s="23">
        <v>6</v>
      </c>
      <c r="N41" s="24">
        <f t="shared" si="1"/>
        <v>6</v>
      </c>
      <c r="O41" s="17" t="s">
        <v>27</v>
      </c>
      <c r="P41" s="18" t="s">
        <v>5488</v>
      </c>
      <c r="Q41" t="s">
        <v>5133</v>
      </c>
    </row>
    <row r="42" spans="1:17" ht="39" customHeight="1" x14ac:dyDescent="0.3">
      <c r="A42" s="17" t="s">
        <v>5489</v>
      </c>
      <c r="B42" s="18" t="s">
        <v>5490</v>
      </c>
      <c r="C42" s="18" t="s">
        <v>5491</v>
      </c>
      <c r="D42" s="18" t="s">
        <v>5129</v>
      </c>
      <c r="E42" s="18" t="s">
        <v>5492</v>
      </c>
      <c r="F42" s="18" t="s">
        <v>1697</v>
      </c>
      <c r="G42" s="18" t="s">
        <v>5493</v>
      </c>
      <c r="H42" s="17" t="s">
        <v>63</v>
      </c>
      <c r="I42" s="25"/>
      <c r="J42" s="26"/>
      <c r="K42" s="22"/>
      <c r="L42" s="23">
        <v>3</v>
      </c>
      <c r="M42" s="23">
        <v>6</v>
      </c>
      <c r="N42" s="24">
        <f t="shared" si="1"/>
        <v>6</v>
      </c>
      <c r="O42" s="17" t="s">
        <v>27</v>
      </c>
      <c r="P42" s="18" t="s">
        <v>5494</v>
      </c>
      <c r="Q42" t="s">
        <v>5133</v>
      </c>
    </row>
    <row r="43" spans="1:17" ht="39" customHeight="1" x14ac:dyDescent="0.3">
      <c r="A43" s="17" t="s">
        <v>5495</v>
      </c>
      <c r="B43" s="18" t="s">
        <v>5496</v>
      </c>
      <c r="C43" s="18" t="s">
        <v>5497</v>
      </c>
      <c r="D43" s="18" t="s">
        <v>5129</v>
      </c>
      <c r="E43" s="18" t="s">
        <v>5498</v>
      </c>
      <c r="F43" s="18" t="s">
        <v>1697</v>
      </c>
      <c r="G43" s="18" t="s">
        <v>5499</v>
      </c>
      <c r="H43" s="17" t="s">
        <v>63</v>
      </c>
      <c r="I43" s="25"/>
      <c r="J43" s="26"/>
      <c r="K43" s="22"/>
      <c r="L43" s="23">
        <v>2.5</v>
      </c>
      <c r="M43" s="23">
        <v>5</v>
      </c>
      <c r="N43" s="24">
        <f t="shared" si="1"/>
        <v>5</v>
      </c>
      <c r="O43" s="17" t="s">
        <v>27</v>
      </c>
      <c r="P43" s="18" t="s">
        <v>5307</v>
      </c>
      <c r="Q43" t="s">
        <v>5133</v>
      </c>
    </row>
    <row r="44" spans="1:17" ht="39" customHeight="1" x14ac:dyDescent="0.3">
      <c r="A44" s="17" t="s">
        <v>5500</v>
      </c>
      <c r="B44" s="18" t="s">
        <v>5501</v>
      </c>
      <c r="C44" s="18" t="s">
        <v>5502</v>
      </c>
      <c r="D44" s="18" t="s">
        <v>5129</v>
      </c>
      <c r="E44" s="18" t="s">
        <v>5503</v>
      </c>
      <c r="F44" s="18" t="s">
        <v>1697</v>
      </c>
      <c r="G44" s="18" t="s">
        <v>5504</v>
      </c>
      <c r="H44" s="17" t="s">
        <v>63</v>
      </c>
      <c r="I44" s="25"/>
      <c r="J44" s="26"/>
      <c r="K44" s="22"/>
      <c r="L44" s="23">
        <v>4</v>
      </c>
      <c r="M44" s="23">
        <v>8</v>
      </c>
      <c r="N44" s="24">
        <f t="shared" si="1"/>
        <v>8</v>
      </c>
      <c r="O44" s="17" t="s">
        <v>27</v>
      </c>
      <c r="P44" s="18" t="s">
        <v>5505</v>
      </c>
      <c r="Q44" t="s">
        <v>5133</v>
      </c>
    </row>
    <row r="45" spans="1:17" ht="39" customHeight="1" x14ac:dyDescent="0.3">
      <c r="A45" s="17" t="s">
        <v>5506</v>
      </c>
      <c r="B45" s="18" t="s">
        <v>5507</v>
      </c>
      <c r="C45" s="18" t="s">
        <v>5508</v>
      </c>
      <c r="D45" s="18" t="s">
        <v>5509</v>
      </c>
      <c r="E45" s="18" t="s">
        <v>5510</v>
      </c>
      <c r="F45" s="18" t="s">
        <v>1697</v>
      </c>
      <c r="G45" s="18" t="s">
        <v>5511</v>
      </c>
      <c r="H45" s="17" t="s">
        <v>63</v>
      </c>
      <c r="I45" s="25"/>
      <c r="J45" s="26"/>
      <c r="K45" s="22"/>
      <c r="L45" s="23">
        <v>3.5</v>
      </c>
      <c r="M45" s="23">
        <v>7</v>
      </c>
      <c r="N45" s="24">
        <f t="shared" si="1"/>
        <v>7</v>
      </c>
      <c r="O45" s="17" t="s">
        <v>27</v>
      </c>
      <c r="P45" s="18" t="s">
        <v>5512</v>
      </c>
      <c r="Q45" t="s">
        <v>5133</v>
      </c>
    </row>
    <row r="46" spans="1:17" ht="39" hidden="1" customHeight="1" x14ac:dyDescent="0.3">
      <c r="A46" s="17" t="s">
        <v>5513</v>
      </c>
      <c r="B46" s="18" t="s">
        <v>5514</v>
      </c>
      <c r="C46" s="18" t="s">
        <v>5515</v>
      </c>
      <c r="D46" s="18" t="s">
        <v>5516</v>
      </c>
      <c r="E46" s="18" t="s">
        <v>5517</v>
      </c>
      <c r="F46" s="18" t="s">
        <v>1697</v>
      </c>
      <c r="G46" s="18" t="s">
        <v>5518</v>
      </c>
      <c r="H46" s="17" t="s">
        <v>63</v>
      </c>
      <c r="I46" s="25"/>
      <c r="J46" s="26"/>
      <c r="K46" s="22"/>
      <c r="L46" s="23">
        <v>3.5</v>
      </c>
      <c r="M46" s="23">
        <v>7</v>
      </c>
      <c r="N46" s="24">
        <f t="shared" si="1"/>
        <v>7</v>
      </c>
      <c r="O46" s="17" t="s">
        <v>27</v>
      </c>
      <c r="P46" s="18" t="s">
        <v>5519</v>
      </c>
      <c r="Q46" t="s">
        <v>5133</v>
      </c>
    </row>
    <row r="47" spans="1:17" ht="39" customHeight="1" x14ac:dyDescent="0.3">
      <c r="A47" s="17" t="s">
        <v>5520</v>
      </c>
      <c r="B47" s="18" t="s">
        <v>5521</v>
      </c>
      <c r="C47" s="18" t="s">
        <v>5522</v>
      </c>
      <c r="D47" s="18" t="s">
        <v>5523</v>
      </c>
      <c r="E47" s="18" t="s">
        <v>5524</v>
      </c>
      <c r="F47" s="18" t="s">
        <v>1768</v>
      </c>
      <c r="G47" s="18" t="s">
        <v>5525</v>
      </c>
      <c r="H47" s="17" t="s">
        <v>63</v>
      </c>
      <c r="I47" s="25"/>
      <c r="J47" s="26"/>
      <c r="K47" s="22"/>
      <c r="L47" s="23">
        <v>6</v>
      </c>
      <c r="M47" s="23">
        <v>12</v>
      </c>
      <c r="N47" s="24">
        <f t="shared" si="1"/>
        <v>12</v>
      </c>
      <c r="O47" s="17" t="s">
        <v>27</v>
      </c>
      <c r="P47" s="18" t="s">
        <v>5526</v>
      </c>
      <c r="Q47" t="s">
        <v>5062</v>
      </c>
    </row>
    <row r="48" spans="1:17" ht="39" customHeight="1" x14ac:dyDescent="0.3">
      <c r="A48" s="17" t="s">
        <v>5527</v>
      </c>
      <c r="B48" s="18" t="s">
        <v>5528</v>
      </c>
      <c r="C48" s="18" t="s">
        <v>5529</v>
      </c>
      <c r="D48" s="18" t="s">
        <v>5129</v>
      </c>
      <c r="E48" s="18" t="s">
        <v>5530</v>
      </c>
      <c r="F48" s="18" t="s">
        <v>1697</v>
      </c>
      <c r="G48" s="18" t="s">
        <v>5531</v>
      </c>
      <c r="H48" s="17" t="s">
        <v>63</v>
      </c>
      <c r="I48" s="25"/>
      <c r="J48" s="26"/>
      <c r="K48" s="22"/>
      <c r="L48" s="23">
        <v>3.5</v>
      </c>
      <c r="M48" s="23">
        <v>7</v>
      </c>
      <c r="N48" s="24">
        <f t="shared" si="1"/>
        <v>7</v>
      </c>
      <c r="O48" s="17" t="s">
        <v>27</v>
      </c>
      <c r="P48" s="18" t="s">
        <v>5532</v>
      </c>
      <c r="Q48" t="s">
        <v>5133</v>
      </c>
    </row>
    <row r="49" spans="1:17" ht="39" hidden="1" customHeight="1" x14ac:dyDescent="0.3">
      <c r="A49" s="17" t="s">
        <v>5533</v>
      </c>
      <c r="B49" s="18" t="s">
        <v>5534</v>
      </c>
      <c r="C49" s="18" t="s">
        <v>5535</v>
      </c>
      <c r="D49" s="18" t="s">
        <v>5536</v>
      </c>
      <c r="E49" s="18" t="s">
        <v>5537</v>
      </c>
      <c r="F49" s="18" t="s">
        <v>1768</v>
      </c>
      <c r="G49" s="18" t="s">
        <v>5538</v>
      </c>
      <c r="H49" s="17" t="s">
        <v>63</v>
      </c>
      <c r="I49" s="25"/>
      <c r="J49" s="26"/>
      <c r="K49" s="22"/>
      <c r="L49" s="23">
        <v>5.5</v>
      </c>
      <c r="M49" s="23">
        <v>11</v>
      </c>
      <c r="N49" s="24">
        <f t="shared" si="1"/>
        <v>11</v>
      </c>
      <c r="O49" s="17" t="s">
        <v>27</v>
      </c>
      <c r="P49" s="18" t="s">
        <v>5539</v>
      </c>
      <c r="Q49" t="s">
        <v>5062</v>
      </c>
    </row>
    <row r="50" spans="1:17" ht="39" customHeight="1" x14ac:dyDescent="0.3">
      <c r="A50" s="17" t="s">
        <v>5540</v>
      </c>
      <c r="B50" s="18" t="s">
        <v>5541</v>
      </c>
      <c r="C50" s="18" t="s">
        <v>5542</v>
      </c>
      <c r="D50" s="18" t="s">
        <v>5129</v>
      </c>
      <c r="E50" s="18" t="s">
        <v>5543</v>
      </c>
      <c r="F50" s="18" t="s">
        <v>1697</v>
      </c>
      <c r="G50" s="18" t="s">
        <v>5544</v>
      </c>
      <c r="H50" s="17" t="s">
        <v>63</v>
      </c>
      <c r="I50" s="25"/>
      <c r="J50" s="26"/>
      <c r="K50" s="22"/>
      <c r="L50" s="23">
        <v>3</v>
      </c>
      <c r="M50" s="23">
        <v>6</v>
      </c>
      <c r="N50" s="24">
        <f t="shared" si="1"/>
        <v>6</v>
      </c>
      <c r="O50" s="17" t="s">
        <v>27</v>
      </c>
      <c r="P50" s="18" t="s">
        <v>5545</v>
      </c>
      <c r="Q50" t="s">
        <v>5133</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9F3E8-6CF5-4F68-9890-2B2043B6C965}">
  <dimension ref="A1:Q17"/>
  <sheetViews>
    <sheetView topLeftCell="H1" workbookViewId="0">
      <selection activeCell="E17" sqref="E17"/>
    </sheetView>
  </sheetViews>
  <sheetFormatPr baseColWidth="10" defaultRowHeight="14.4" x14ac:dyDescent="0.3"/>
  <cols>
    <col min="1" max="1" width="15.109375" bestFit="1" customWidth="1"/>
    <col min="5" max="5" width="93.5546875" bestFit="1" customWidth="1"/>
    <col min="14" max="14" width="11.44140625" bestFit="1" customWidth="1"/>
    <col min="15" max="15" width="10.109375" bestFit="1" customWidth="1"/>
    <col min="16" max="16" width="115.44140625" bestFit="1" customWidth="1"/>
  </cols>
  <sheetData>
    <row r="1" spans="1:17" ht="30" x14ac:dyDescent="0.3">
      <c r="A1" s="1" t="s">
        <v>0</v>
      </c>
      <c r="B1" s="2" t="s">
        <v>1</v>
      </c>
      <c r="C1" s="2" t="s">
        <v>2</v>
      </c>
      <c r="D1" s="2" t="s">
        <v>3</v>
      </c>
      <c r="E1" s="2" t="s">
        <v>4</v>
      </c>
      <c r="F1" s="2" t="s">
        <v>5</v>
      </c>
      <c r="G1" s="2" t="s">
        <v>6</v>
      </c>
      <c r="H1" s="1" t="s">
        <v>7</v>
      </c>
      <c r="I1" s="1" t="s">
        <v>8</v>
      </c>
      <c r="J1" s="2" t="s">
        <v>9</v>
      </c>
      <c r="K1" s="2" t="s">
        <v>10</v>
      </c>
      <c r="L1" s="3" t="s">
        <v>11</v>
      </c>
      <c r="M1" s="3" t="s">
        <v>12</v>
      </c>
      <c r="N1" s="4" t="s">
        <v>13</v>
      </c>
      <c r="O1" s="1" t="s">
        <v>14</v>
      </c>
      <c r="P1" s="2" t="s">
        <v>15</v>
      </c>
      <c r="Q1" t="s">
        <v>3323</v>
      </c>
    </row>
    <row r="2" spans="1:17" x14ac:dyDescent="0.3">
      <c r="A2" t="s">
        <v>4045</v>
      </c>
      <c r="B2" t="s">
        <v>4046</v>
      </c>
      <c r="C2" t="s">
        <v>4047</v>
      </c>
      <c r="D2" t="s">
        <v>4048</v>
      </c>
      <c r="E2" t="s">
        <v>4049</v>
      </c>
      <c r="F2" t="s">
        <v>4050</v>
      </c>
      <c r="G2" t="s">
        <v>4051</v>
      </c>
      <c r="H2" t="s">
        <v>63</v>
      </c>
      <c r="L2" s="60">
        <v>12</v>
      </c>
      <c r="M2" s="60">
        <v>22</v>
      </c>
      <c r="N2" s="60">
        <f>MAX(L2,M2)</f>
        <v>22</v>
      </c>
      <c r="O2" t="s">
        <v>27</v>
      </c>
      <c r="P2" t="s">
        <v>4052</v>
      </c>
      <c r="Q2" t="s">
        <v>4053</v>
      </c>
    </row>
    <row r="3" spans="1:17" x14ac:dyDescent="0.3">
      <c r="A3" t="s">
        <v>4054</v>
      </c>
      <c r="B3" t="s">
        <v>4055</v>
      </c>
      <c r="C3" t="s">
        <v>4056</v>
      </c>
      <c r="D3" t="s">
        <v>4057</v>
      </c>
      <c r="E3" t="s">
        <v>4058</v>
      </c>
      <c r="F3" t="s">
        <v>4059</v>
      </c>
      <c r="G3" t="s">
        <v>4060</v>
      </c>
      <c r="H3" t="s">
        <v>63</v>
      </c>
      <c r="L3" s="60">
        <v>15</v>
      </c>
      <c r="M3" s="60">
        <v>28</v>
      </c>
      <c r="N3" s="60">
        <f t="shared" ref="N3:N4" si="0">MAX(L3,M3)</f>
        <v>28</v>
      </c>
      <c r="O3" t="s">
        <v>27</v>
      </c>
      <c r="P3" t="s">
        <v>4061</v>
      </c>
      <c r="Q3" t="s">
        <v>4062</v>
      </c>
    </row>
    <row r="4" spans="1:17" x14ac:dyDescent="0.3">
      <c r="A4" t="s">
        <v>4063</v>
      </c>
      <c r="B4" t="s">
        <v>4064</v>
      </c>
      <c r="C4" t="s">
        <v>4065</v>
      </c>
      <c r="D4" t="s">
        <v>4066</v>
      </c>
      <c r="E4" t="s">
        <v>4067</v>
      </c>
      <c r="F4" t="s">
        <v>4059</v>
      </c>
      <c r="G4" t="s">
        <v>4068</v>
      </c>
      <c r="H4" t="s">
        <v>63</v>
      </c>
      <c r="L4" s="60">
        <v>8</v>
      </c>
      <c r="M4" s="60">
        <v>16</v>
      </c>
      <c r="N4" s="60">
        <f t="shared" si="0"/>
        <v>16</v>
      </c>
      <c r="O4" t="s">
        <v>27</v>
      </c>
      <c r="P4" t="s">
        <v>4069</v>
      </c>
      <c r="Q4" t="s">
        <v>4070</v>
      </c>
    </row>
    <row r="5" spans="1:17" x14ac:dyDescent="0.3">
      <c r="A5" t="s">
        <v>4087</v>
      </c>
      <c r="B5" t="s">
        <v>4088</v>
      </c>
      <c r="C5" t="s">
        <v>4089</v>
      </c>
      <c r="D5" t="s">
        <v>4090</v>
      </c>
      <c r="E5" t="s">
        <v>4091</v>
      </c>
      <c r="F5" t="s">
        <v>1125</v>
      </c>
      <c r="G5" t="s">
        <v>4092</v>
      </c>
      <c r="H5" t="s">
        <v>63</v>
      </c>
      <c r="L5" s="60">
        <v>18</v>
      </c>
      <c r="M5" s="60">
        <v>35</v>
      </c>
      <c r="N5" s="60">
        <f>MAX(L4,M4)</f>
        <v>16</v>
      </c>
      <c r="O5" t="s">
        <v>27</v>
      </c>
      <c r="P5" t="s">
        <v>4093</v>
      </c>
      <c r="Q5" t="s">
        <v>4094</v>
      </c>
    </row>
    <row r="6" spans="1:17" x14ac:dyDescent="0.3">
      <c r="A6" t="s">
        <v>4095</v>
      </c>
      <c r="B6" t="s">
        <v>4096</v>
      </c>
      <c r="C6" t="s">
        <v>4097</v>
      </c>
      <c r="D6" t="s">
        <v>4098</v>
      </c>
      <c r="E6" t="s">
        <v>4099</v>
      </c>
      <c r="F6" t="s">
        <v>4059</v>
      </c>
      <c r="G6" t="s">
        <v>4100</v>
      </c>
      <c r="H6" t="s">
        <v>63</v>
      </c>
      <c r="L6" s="60">
        <v>12</v>
      </c>
      <c r="M6" s="60">
        <v>25</v>
      </c>
      <c r="N6" s="60">
        <f>MAX(L5,M5)</f>
        <v>35</v>
      </c>
      <c r="O6" t="s">
        <v>27</v>
      </c>
      <c r="P6" t="s">
        <v>4101</v>
      </c>
      <c r="Q6" t="s">
        <v>4102</v>
      </c>
    </row>
    <row r="7" spans="1:17" x14ac:dyDescent="0.3">
      <c r="A7" t="s">
        <v>4103</v>
      </c>
      <c r="B7" t="s">
        <v>4104</v>
      </c>
      <c r="C7" t="s">
        <v>4105</v>
      </c>
      <c r="D7" t="s">
        <v>4106</v>
      </c>
      <c r="E7" t="s">
        <v>4107</v>
      </c>
      <c r="F7" t="s">
        <v>4108</v>
      </c>
      <c r="G7" t="s">
        <v>4109</v>
      </c>
      <c r="H7" t="s">
        <v>63</v>
      </c>
      <c r="L7" s="60">
        <v>15</v>
      </c>
      <c r="M7" s="60">
        <v>30</v>
      </c>
      <c r="N7" s="60">
        <f>MAX(L6,M6)</f>
        <v>25</v>
      </c>
      <c r="O7" t="s">
        <v>27</v>
      </c>
      <c r="P7" t="s">
        <v>4110</v>
      </c>
      <c r="Q7" t="s">
        <v>4111</v>
      </c>
    </row>
    <row r="8" spans="1:17" x14ac:dyDescent="0.3">
      <c r="A8" t="s">
        <v>4112</v>
      </c>
      <c r="B8" t="s">
        <v>4113</v>
      </c>
      <c r="C8" t="s">
        <v>4114</v>
      </c>
      <c r="D8" t="s">
        <v>4115</v>
      </c>
      <c r="E8" t="s">
        <v>4116</v>
      </c>
      <c r="F8" t="s">
        <v>4059</v>
      </c>
      <c r="G8" t="s">
        <v>4117</v>
      </c>
      <c r="H8" t="s">
        <v>63</v>
      </c>
      <c r="L8" s="60">
        <v>3</v>
      </c>
      <c r="M8" s="60">
        <v>7</v>
      </c>
      <c r="N8" s="60">
        <f>MAX(L7,M7)</f>
        <v>30</v>
      </c>
      <c r="O8" t="s">
        <v>27</v>
      </c>
      <c r="P8" t="s">
        <v>4118</v>
      </c>
      <c r="Q8" t="s">
        <v>4119</v>
      </c>
    </row>
    <row r="17" spans="14:14" x14ac:dyDescent="0.3">
      <c r="N17" s="60">
        <f>SUM(N2:N16)</f>
        <v>172</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3631-C553-4C56-B3C5-CB054AF1CD44}">
  <dimension ref="A1:M414"/>
  <sheetViews>
    <sheetView workbookViewId="0">
      <pane ySplit="6" topLeftCell="A366" activePane="bottomLeft" state="frozen"/>
      <selection pane="bottomLeft" activeCell="C372" sqref="C372"/>
    </sheetView>
  </sheetViews>
  <sheetFormatPr baseColWidth="10" defaultRowHeight="14.4" x14ac:dyDescent="0.3"/>
  <cols>
    <col min="1" max="1" width="10.21875" customWidth="1"/>
    <col min="2" max="2" width="19.44140625" customWidth="1"/>
    <col min="3" max="3" width="48.109375" customWidth="1"/>
    <col min="4" max="12" width="15.21875" customWidth="1"/>
    <col min="13" max="13" width="16.6640625" customWidth="1"/>
  </cols>
  <sheetData>
    <row r="1" spans="1:13" ht="30" customHeight="1" x14ac:dyDescent="0.3">
      <c r="A1" s="91" t="s">
        <v>2156</v>
      </c>
      <c r="B1" s="91"/>
      <c r="C1" s="91"/>
      <c r="D1" s="91"/>
      <c r="E1" s="91"/>
      <c r="F1" s="91"/>
      <c r="G1" s="91"/>
      <c r="H1" s="91"/>
      <c r="I1" s="91"/>
      <c r="J1" s="91"/>
      <c r="K1" s="91"/>
      <c r="L1" s="91"/>
      <c r="M1" s="91"/>
    </row>
    <row r="2" spans="1:13" ht="22.05" customHeight="1" x14ac:dyDescent="0.3">
      <c r="A2" s="86" t="s">
        <v>3502</v>
      </c>
      <c r="B2" s="86"/>
      <c r="C2" s="86"/>
      <c r="D2" s="86"/>
      <c r="E2" s="86"/>
      <c r="F2" s="86"/>
      <c r="G2" s="86"/>
      <c r="H2" s="86"/>
      <c r="I2" s="86"/>
      <c r="J2" s="86"/>
      <c r="K2" s="86"/>
      <c r="L2" s="86"/>
      <c r="M2" s="86"/>
    </row>
    <row r="3" spans="1:13" x14ac:dyDescent="0.3">
      <c r="A3" s="83" t="s">
        <v>2157</v>
      </c>
      <c r="B3" s="83"/>
      <c r="C3" s="83" t="s">
        <v>2158</v>
      </c>
      <c r="D3" s="83"/>
      <c r="E3" s="83" t="s">
        <v>2159</v>
      </c>
      <c r="F3" s="83"/>
      <c r="G3" s="83" t="s">
        <v>2160</v>
      </c>
      <c r="H3" s="83"/>
      <c r="I3" s="83" t="s">
        <v>2161</v>
      </c>
      <c r="J3" s="83"/>
      <c r="K3" s="83" t="s">
        <v>2162</v>
      </c>
      <c r="L3" s="83"/>
      <c r="M3" s="83"/>
    </row>
    <row r="4" spans="1:13" ht="17.399999999999999" x14ac:dyDescent="0.3">
      <c r="A4" s="89">
        <f>ROWS(Preisvergleich[Artikelnummer])</f>
        <v>408</v>
      </c>
      <c r="B4" s="90"/>
      <c r="C4" s="92">
        <f>SUM(Preisvergleich[Aktuell VK])</f>
        <v>3303.4</v>
      </c>
      <c r="D4" s="93"/>
      <c r="E4" s="92">
        <f>SUM(Preisvergleich[Ermittelt VK])</f>
        <v>3224.4</v>
      </c>
      <c r="F4" s="93"/>
      <c r="G4" s="93">
        <f>E4-C4</f>
        <v>-79</v>
      </c>
      <c r="H4" s="93"/>
      <c r="I4" s="89">
        <f>COUNTIF(Preisvergleich[Differenz VK],"&lt;&gt;0")</f>
        <v>64</v>
      </c>
      <c r="J4" s="90"/>
      <c r="K4" s="89">
        <f>COUNTIF(Preisvergleich[Differenz VK],0)</f>
        <v>344</v>
      </c>
      <c r="L4" s="90"/>
      <c r="M4" s="90"/>
    </row>
    <row r="5" spans="1:13" x14ac:dyDescent="0.3">
      <c r="A5" s="6"/>
      <c r="B5" s="6"/>
      <c r="C5" s="6"/>
      <c r="D5" s="6"/>
      <c r="E5" s="6"/>
      <c r="F5" s="6"/>
      <c r="G5" s="6"/>
      <c r="H5" s="6"/>
      <c r="I5" s="6"/>
      <c r="J5" s="6"/>
      <c r="K5" s="6"/>
      <c r="L5" s="6"/>
      <c r="M5" s="6"/>
    </row>
    <row r="6" spans="1:13" x14ac:dyDescent="0.3">
      <c r="A6" s="7" t="s">
        <v>2163</v>
      </c>
      <c r="B6" s="7" t="s">
        <v>0</v>
      </c>
      <c r="C6" s="7" t="s">
        <v>1</v>
      </c>
      <c r="D6" s="7" t="s">
        <v>2164</v>
      </c>
      <c r="E6" s="7" t="s">
        <v>2165</v>
      </c>
      <c r="F6" s="7" t="s">
        <v>2166</v>
      </c>
      <c r="G6" s="7" t="s">
        <v>2167</v>
      </c>
      <c r="H6" s="7" t="s">
        <v>2168</v>
      </c>
      <c r="I6" s="7" t="s">
        <v>2169</v>
      </c>
      <c r="J6" s="7" t="s">
        <v>2170</v>
      </c>
      <c r="K6" s="7" t="s">
        <v>2171</v>
      </c>
      <c r="L6" s="7" t="s">
        <v>2172</v>
      </c>
      <c r="M6" s="7" t="s">
        <v>2173</v>
      </c>
    </row>
    <row r="7" spans="1:13" ht="30" customHeight="1" x14ac:dyDescent="0.3">
      <c r="A7" s="9">
        <v>2</v>
      </c>
      <c r="B7" s="6" t="str">
        <f>Postkarten!A2</f>
        <v>AK-2026-0001</v>
      </c>
      <c r="C7" s="8" t="str">
        <f>Postkarten!B2</f>
        <v>München – Karlsplatz (Stachus) mit Steinbogen und Stadtwappen</v>
      </c>
      <c r="D7" s="30">
        <f>Postkarten!L2</f>
        <v>4</v>
      </c>
      <c r="E7" s="30">
        <f>Postkarten!M2</f>
        <v>8</v>
      </c>
      <c r="F7" s="30">
        <f>Postkarten!N2</f>
        <v>8</v>
      </c>
      <c r="G7" s="30">
        <v>4</v>
      </c>
      <c r="H7" s="30">
        <v>8</v>
      </c>
      <c r="I7" s="30">
        <v>8</v>
      </c>
      <c r="J7" s="30">
        <f>G7-D7</f>
        <v>0</v>
      </c>
      <c r="K7" s="30">
        <f>H7-E7</f>
        <v>0</v>
      </c>
      <c r="L7" s="30">
        <f>I7-F7</f>
        <v>0</v>
      </c>
      <c r="M7" s="9" t="str">
        <f>IF(L7&gt;0,"Erhöhen",IF(L7&lt;0,"Senken","Unverändert"))</f>
        <v>Unverändert</v>
      </c>
    </row>
    <row r="8" spans="1:13" ht="30" customHeight="1" x14ac:dyDescent="0.3">
      <c r="A8" s="9">
        <v>3</v>
      </c>
      <c r="B8" s="6" t="str">
        <f>Postkarten!A3</f>
        <v>AK-2026-0002</v>
      </c>
      <c r="C8" s="8" t="str">
        <f>Postkarten!B3</f>
        <v>Straubing – Ludwigsplatz (Blick vom unteren Tor)</v>
      </c>
      <c r="D8" s="30">
        <f>Postkarten!L3</f>
        <v>3</v>
      </c>
      <c r="E8" s="30">
        <f>Postkarten!M3</f>
        <v>6</v>
      </c>
      <c r="F8" s="30">
        <f>Postkarten!N3</f>
        <v>6</v>
      </c>
      <c r="G8" s="30">
        <v>3</v>
      </c>
      <c r="H8" s="30">
        <v>6</v>
      </c>
      <c r="I8" s="30">
        <v>6</v>
      </c>
      <c r="J8" s="30">
        <f t="shared" ref="J8:J71" si="0">G8-D8</f>
        <v>0</v>
      </c>
      <c r="K8" s="30">
        <f t="shared" ref="K8:K71" si="1">H8-E8</f>
        <v>0</v>
      </c>
      <c r="L8" s="30">
        <f t="shared" ref="L8:L71" si="2">I8-F8</f>
        <v>0</v>
      </c>
      <c r="M8" s="9" t="str">
        <f t="shared" ref="M8:M71" si="3">IF(L8&gt;0,"Erhöhen",IF(L8&lt;0,"Senken","Unverändert"))</f>
        <v>Unverändert</v>
      </c>
    </row>
    <row r="9" spans="1:13" ht="30" customHeight="1" x14ac:dyDescent="0.3">
      <c r="A9" s="9">
        <v>4</v>
      </c>
      <c r="B9" s="6" t="str">
        <f>Postkarten!A4</f>
        <v>AK-2026-0003</v>
      </c>
      <c r="C9" s="8" t="str">
        <f>Postkarten!B4</f>
        <v>Nürnberg – Schöner Brunnen mit Marktgeschehen</v>
      </c>
      <c r="D9" s="30">
        <f>Postkarten!L4</f>
        <v>2.5</v>
      </c>
      <c r="E9" s="30">
        <f>Postkarten!M4</f>
        <v>5</v>
      </c>
      <c r="F9" s="30">
        <f>Postkarten!N4</f>
        <v>5</v>
      </c>
      <c r="G9" s="30">
        <v>2.5</v>
      </c>
      <c r="H9" s="30">
        <v>5</v>
      </c>
      <c r="I9" s="30">
        <v>5</v>
      </c>
      <c r="J9" s="30">
        <f t="shared" si="0"/>
        <v>0</v>
      </c>
      <c r="K9" s="30">
        <f t="shared" si="1"/>
        <v>0</v>
      </c>
      <c r="L9" s="30">
        <f t="shared" si="2"/>
        <v>0</v>
      </c>
      <c r="M9" s="9" t="str">
        <f t="shared" si="3"/>
        <v>Unverändert</v>
      </c>
    </row>
    <row r="10" spans="1:13" ht="30" customHeight="1" x14ac:dyDescent="0.3">
      <c r="A10" s="9">
        <v>5</v>
      </c>
      <c r="B10" s="6" t="str">
        <f>Postkarten!A5</f>
        <v>AK-2026-0004</v>
      </c>
      <c r="C10" s="8" t="str">
        <f>Postkarten!B5</f>
        <v>Beratzhausen – Gesamtansicht (gelaufen über Holnstein nach Lupburg)</v>
      </c>
      <c r="D10" s="30">
        <f>Postkarten!L5</f>
        <v>4</v>
      </c>
      <c r="E10" s="30">
        <f>Postkarten!M5</f>
        <v>7</v>
      </c>
      <c r="F10" s="30">
        <f>Postkarten!N5</f>
        <v>7</v>
      </c>
      <c r="G10" s="30">
        <v>4</v>
      </c>
      <c r="H10" s="30">
        <v>7</v>
      </c>
      <c r="I10" s="30">
        <v>7</v>
      </c>
      <c r="J10" s="30">
        <f t="shared" si="0"/>
        <v>0</v>
      </c>
      <c r="K10" s="30">
        <f t="shared" si="1"/>
        <v>0</v>
      </c>
      <c r="L10" s="30">
        <f t="shared" si="2"/>
        <v>0</v>
      </c>
      <c r="M10" s="9" t="str">
        <f t="shared" si="3"/>
        <v>Unverändert</v>
      </c>
    </row>
    <row r="11" spans="1:13" ht="30" customHeight="1" x14ac:dyDescent="0.3">
      <c r="A11" s="9">
        <v>6</v>
      </c>
      <c r="B11" s="6" t="str">
        <f>Postkarten!A6</f>
        <v>AK-2026-0005</v>
      </c>
      <c r="C11" s="8" t="str">
        <f>Postkarten!B6</f>
        <v>München – Künstler-Jubiläumskarte 1821–1911 (W. Diez, Oscar Consée)</v>
      </c>
      <c r="D11" s="30">
        <f>Postkarten!L6</f>
        <v>6</v>
      </c>
      <c r="E11" s="30">
        <f>Postkarten!M6</f>
        <v>12</v>
      </c>
      <c r="F11" s="30">
        <f>Postkarten!N6</f>
        <v>12</v>
      </c>
      <c r="G11" s="30">
        <v>6</v>
      </c>
      <c r="H11" s="30">
        <v>12</v>
      </c>
      <c r="I11" s="30">
        <v>10</v>
      </c>
      <c r="J11" s="30">
        <f t="shared" si="0"/>
        <v>0</v>
      </c>
      <c r="K11" s="30">
        <f t="shared" si="1"/>
        <v>0</v>
      </c>
      <c r="L11" s="30">
        <f t="shared" si="2"/>
        <v>-2</v>
      </c>
      <c r="M11" s="9" t="str">
        <f t="shared" si="3"/>
        <v>Senken</v>
      </c>
    </row>
    <row r="12" spans="1:13" ht="30" customHeight="1" x14ac:dyDescent="0.3">
      <c r="A12" s="9">
        <v>7</v>
      </c>
      <c r="B12" s="6" t="str">
        <f>Postkarten!A7</f>
        <v>AK-2026-0006</v>
      </c>
      <c r="C12" s="8" t="str">
        <f>Postkarten!B7</f>
        <v>München – Künstler-Jubiläumskarte 1821–1911 (gelaufen nach Beratzhausen 1911)</v>
      </c>
      <c r="D12" s="30">
        <f>Postkarten!L7</f>
        <v>8</v>
      </c>
      <c r="E12" s="30">
        <f>Postkarten!M7</f>
        <v>14</v>
      </c>
      <c r="F12" s="30">
        <f>Postkarten!N7</f>
        <v>14</v>
      </c>
      <c r="G12" s="30">
        <v>7</v>
      </c>
      <c r="H12" s="30">
        <v>14</v>
      </c>
      <c r="I12" s="30">
        <v>12</v>
      </c>
      <c r="J12" s="30">
        <f t="shared" si="0"/>
        <v>-1</v>
      </c>
      <c r="K12" s="30">
        <f t="shared" si="1"/>
        <v>0</v>
      </c>
      <c r="L12" s="30">
        <f t="shared" si="2"/>
        <v>-2</v>
      </c>
      <c r="M12" s="9" t="str">
        <f t="shared" si="3"/>
        <v>Senken</v>
      </c>
    </row>
    <row r="13" spans="1:13" ht="30" customHeight="1" x14ac:dyDescent="0.3">
      <c r="A13" s="9">
        <v>8</v>
      </c>
      <c r="B13" s="6" t="str">
        <f>Postkarten!A8</f>
        <v>AK-2026-0007</v>
      </c>
      <c r="C13" s="8" t="str">
        <f>Postkarten!B8</f>
        <v>München – Künstler-Jubiläumskarte 1911 mit Kindern (gelaufen nach Beratzhausen)</v>
      </c>
      <c r="D13" s="30">
        <f>Postkarten!L8</f>
        <v>3</v>
      </c>
      <c r="E13" s="30">
        <f>Postkarten!M8</f>
        <v>6</v>
      </c>
      <c r="F13" s="30">
        <f>Postkarten!N8</f>
        <v>6</v>
      </c>
      <c r="G13" s="30">
        <v>3</v>
      </c>
      <c r="H13" s="30">
        <v>6</v>
      </c>
      <c r="I13" s="30">
        <v>6</v>
      </c>
      <c r="J13" s="30">
        <f t="shared" si="0"/>
        <v>0</v>
      </c>
      <c r="K13" s="30">
        <f t="shared" si="1"/>
        <v>0</v>
      </c>
      <c r="L13" s="30">
        <f t="shared" si="2"/>
        <v>0</v>
      </c>
      <c r="M13" s="9" t="str">
        <f t="shared" si="3"/>
        <v>Unverändert</v>
      </c>
    </row>
    <row r="14" spans="1:13" ht="30" customHeight="1" x14ac:dyDescent="0.3">
      <c r="A14" s="9">
        <v>9</v>
      </c>
      <c r="B14" s="6" t="str">
        <f>Postkarten!A9</f>
        <v>AK-2026-0008</v>
      </c>
      <c r="C14" s="8" t="str">
        <f>Postkarten!B9</f>
        <v>München – Künstler-Jubiläumskarte 1911 mit Kindern (ungelaufen, Randspuren)</v>
      </c>
      <c r="D14" s="30">
        <f>Postkarten!L9</f>
        <v>3</v>
      </c>
      <c r="E14" s="30">
        <f>Postkarten!M9</f>
        <v>6</v>
      </c>
      <c r="F14" s="30">
        <f>Postkarten!N9</f>
        <v>6</v>
      </c>
      <c r="G14" s="30">
        <v>3</v>
      </c>
      <c r="H14" s="30">
        <v>6</v>
      </c>
      <c r="I14" s="30">
        <v>6</v>
      </c>
      <c r="J14" s="30">
        <f t="shared" si="0"/>
        <v>0</v>
      </c>
      <c r="K14" s="30">
        <f t="shared" si="1"/>
        <v>0</v>
      </c>
      <c r="L14" s="30">
        <f t="shared" si="2"/>
        <v>0</v>
      </c>
      <c r="M14" s="9" t="str">
        <f t="shared" si="3"/>
        <v>Unverändert</v>
      </c>
    </row>
    <row r="15" spans="1:13" ht="30" customHeight="1" x14ac:dyDescent="0.3">
      <c r="A15" s="9">
        <v>10</v>
      </c>
      <c r="B15" s="6" t="str">
        <f>Postkarten!A10</f>
        <v>AK-2026-0009</v>
      </c>
      <c r="C15" s="8" t="str">
        <f>Postkarten!B10</f>
        <v>München – Künstler-Jubiläumskarte 1911 mit Kindern (sauberer Zustand, ungelaufen)</v>
      </c>
      <c r="D15" s="30">
        <f>Postkarten!L10</f>
        <v>5</v>
      </c>
      <c r="E15" s="30">
        <f>Postkarten!M10</f>
        <v>9</v>
      </c>
      <c r="F15" s="30">
        <f>Postkarten!N10</f>
        <v>9</v>
      </c>
      <c r="G15" s="30">
        <v>5</v>
      </c>
      <c r="H15" s="30">
        <v>9</v>
      </c>
      <c r="I15" s="30">
        <v>9</v>
      </c>
      <c r="J15" s="30">
        <f t="shared" si="0"/>
        <v>0</v>
      </c>
      <c r="K15" s="30">
        <f t="shared" si="1"/>
        <v>0</v>
      </c>
      <c r="L15" s="30">
        <f t="shared" si="2"/>
        <v>0</v>
      </c>
      <c r="M15" s="9" t="str">
        <f t="shared" si="3"/>
        <v>Unverändert</v>
      </c>
    </row>
    <row r="16" spans="1:13" ht="30" customHeight="1" x14ac:dyDescent="0.3">
      <c r="A16" s="9">
        <v>11</v>
      </c>
      <c r="B16" s="6" t="str">
        <f>Postkarten!A11</f>
        <v>AK-2026-0010</v>
      </c>
      <c r="C16" s="8" t="str">
        <f>Postkarten!B11</f>
        <v>Nürnberg – Prinzregenten-Denkmal mit Edelweiß-Prägung</v>
      </c>
      <c r="D16" s="30">
        <f>Postkarten!L11</f>
        <v>6</v>
      </c>
      <c r="E16" s="30">
        <f>Postkarten!M11</f>
        <v>12</v>
      </c>
      <c r="F16" s="30">
        <f>Postkarten!N11</f>
        <v>12</v>
      </c>
      <c r="G16" s="30">
        <v>6</v>
      </c>
      <c r="H16" s="30">
        <v>12</v>
      </c>
      <c r="I16" s="30">
        <v>12</v>
      </c>
      <c r="J16" s="30">
        <f t="shared" si="0"/>
        <v>0</v>
      </c>
      <c r="K16" s="30">
        <f t="shared" si="1"/>
        <v>0</v>
      </c>
      <c r="L16" s="30">
        <f t="shared" si="2"/>
        <v>0</v>
      </c>
      <c r="M16" s="9" t="str">
        <f t="shared" si="3"/>
        <v>Unverändert</v>
      </c>
    </row>
    <row r="17" spans="1:13" ht="30" customHeight="1" x14ac:dyDescent="0.3">
      <c r="A17" s="9">
        <v>12</v>
      </c>
      <c r="B17" s="6" t="str">
        <f>Postkarten!A12</f>
        <v>AK-2026-0011</v>
      </c>
      <c r="C17" s="8" t="str">
        <f>Postkarten!B12</f>
        <v>Regensburg – Emmeranerthor mit Seitenflügel des Fürstlichen Taxis Palais</v>
      </c>
      <c r="D17" s="30">
        <f>Postkarten!L12</f>
        <v>6</v>
      </c>
      <c r="E17" s="30">
        <f>Postkarten!M12</f>
        <v>12</v>
      </c>
      <c r="F17" s="30">
        <f>Postkarten!N12</f>
        <v>12</v>
      </c>
      <c r="G17" s="30">
        <v>6</v>
      </c>
      <c r="H17" s="30">
        <v>12</v>
      </c>
      <c r="I17" s="30">
        <v>12</v>
      </c>
      <c r="J17" s="30">
        <f t="shared" si="0"/>
        <v>0</v>
      </c>
      <c r="K17" s="30">
        <f t="shared" si="1"/>
        <v>0</v>
      </c>
      <c r="L17" s="30">
        <f t="shared" si="2"/>
        <v>0</v>
      </c>
      <c r="M17" s="9" t="str">
        <f t="shared" si="3"/>
        <v>Unverändert</v>
      </c>
    </row>
    <row r="18" spans="1:13" ht="30" customHeight="1" x14ac:dyDescent="0.3">
      <c r="A18" s="9">
        <v>13</v>
      </c>
      <c r="B18" s="6" t="str">
        <f>Postkarten!A13</f>
        <v>AK-2026-0012</v>
      </c>
      <c r="C18" s="8" t="str">
        <f>Postkarten!B13</f>
        <v>Passau – Panorama-Gesamtansicht vom Fluss aus</v>
      </c>
      <c r="D18" s="30">
        <f>Postkarten!L13</f>
        <v>5</v>
      </c>
      <c r="E18" s="30">
        <f>Postkarten!M13</f>
        <v>10</v>
      </c>
      <c r="F18" s="30">
        <f>Postkarten!N13</f>
        <v>10</v>
      </c>
      <c r="G18" s="30">
        <v>5</v>
      </c>
      <c r="H18" s="30">
        <v>10</v>
      </c>
      <c r="I18" s="30">
        <v>10</v>
      </c>
      <c r="J18" s="30">
        <f t="shared" si="0"/>
        <v>0</v>
      </c>
      <c r="K18" s="30">
        <f t="shared" si="1"/>
        <v>0</v>
      </c>
      <c r="L18" s="30">
        <f t="shared" si="2"/>
        <v>0</v>
      </c>
      <c r="M18" s="9" t="str">
        <f t="shared" si="3"/>
        <v>Unverändert</v>
      </c>
    </row>
    <row r="19" spans="1:13" ht="30" customHeight="1" x14ac:dyDescent="0.3">
      <c r="A19" s="9">
        <v>14</v>
      </c>
      <c r="B19" s="6" t="str">
        <f>Postkarten!A14</f>
        <v>AK-2026-0013</v>
      </c>
      <c r="C19" s="8" t="str">
        <f>Postkarten!B14</f>
        <v>München – Karlstor mit bayerischem Wappen und Löwen</v>
      </c>
      <c r="D19" s="30">
        <f>Postkarten!L14</f>
        <v>6</v>
      </c>
      <c r="E19" s="30">
        <f>Postkarten!M14</f>
        <v>12</v>
      </c>
      <c r="F19" s="30">
        <f>Postkarten!N14</f>
        <v>12</v>
      </c>
      <c r="G19" s="30">
        <v>6</v>
      </c>
      <c r="H19" s="30">
        <v>12</v>
      </c>
      <c r="I19" s="30">
        <v>12</v>
      </c>
      <c r="J19" s="30">
        <f t="shared" si="0"/>
        <v>0</v>
      </c>
      <c r="K19" s="30">
        <f t="shared" si="1"/>
        <v>0</v>
      </c>
      <c r="L19" s="30">
        <f t="shared" si="2"/>
        <v>0</v>
      </c>
      <c r="M19" s="9" t="str">
        <f t="shared" si="3"/>
        <v>Unverändert</v>
      </c>
    </row>
    <row r="20" spans="1:13" ht="30" customHeight="1" x14ac:dyDescent="0.3">
      <c r="A20" s="9">
        <v>15</v>
      </c>
      <c r="B20" s="6" t="str">
        <f>Postkarten!A15</f>
        <v>AK-2026-0014</v>
      </c>
      <c r="C20" s="8" t="str">
        <f>Postkarten!B15</f>
        <v>Regensburg – Gruss aus Regensburg (Dom, Bischof Ignatius, Altar)</v>
      </c>
      <c r="D20" s="30">
        <f>Postkarten!L15</f>
        <v>5</v>
      </c>
      <c r="E20" s="30">
        <f>Postkarten!M15</f>
        <v>10</v>
      </c>
      <c r="F20" s="30">
        <f>Postkarten!N15</f>
        <v>10</v>
      </c>
      <c r="G20" s="30">
        <v>5</v>
      </c>
      <c r="H20" s="30">
        <v>10</v>
      </c>
      <c r="I20" s="30">
        <v>10</v>
      </c>
      <c r="J20" s="30">
        <f t="shared" si="0"/>
        <v>0</v>
      </c>
      <c r="K20" s="30">
        <f t="shared" si="1"/>
        <v>0</v>
      </c>
      <c r="L20" s="30">
        <f t="shared" si="2"/>
        <v>0</v>
      </c>
      <c r="M20" s="9" t="str">
        <f t="shared" si="3"/>
        <v>Unverändert</v>
      </c>
    </row>
    <row r="21" spans="1:13" ht="30" customHeight="1" x14ac:dyDescent="0.3">
      <c r="A21" s="9">
        <v>16</v>
      </c>
      <c r="B21" s="6" t="str">
        <f>Postkarten!A16</f>
        <v>AK-2026-0015</v>
      </c>
      <c r="C21" s="8" t="str">
        <f>Postkarten!B16</f>
        <v>München – Gruss vom Hofbräuhaus (Junge mit Bierkrug und Dackel)</v>
      </c>
      <c r="D21" s="30">
        <f>Postkarten!L16</f>
        <v>6</v>
      </c>
      <c r="E21" s="30">
        <f>Postkarten!M16</f>
        <v>12</v>
      </c>
      <c r="F21" s="30">
        <f>Postkarten!N16</f>
        <v>12</v>
      </c>
      <c r="G21" s="30">
        <v>6</v>
      </c>
      <c r="H21" s="30">
        <v>12</v>
      </c>
      <c r="I21" s="30">
        <v>12</v>
      </c>
      <c r="J21" s="30">
        <f t="shared" si="0"/>
        <v>0</v>
      </c>
      <c r="K21" s="30">
        <f t="shared" si="1"/>
        <v>0</v>
      </c>
      <c r="L21" s="30">
        <f t="shared" si="2"/>
        <v>0</v>
      </c>
      <c r="M21" s="9" t="str">
        <f t="shared" si="3"/>
        <v>Unverändert</v>
      </c>
    </row>
    <row r="22" spans="1:13" ht="30" customHeight="1" x14ac:dyDescent="0.3">
      <c r="A22" s="9">
        <v>17</v>
      </c>
      <c r="B22" s="6" t="str">
        <f>Postkarten!A17</f>
        <v>AK-2026-0016</v>
      </c>
      <c r="C22" s="8" t="str">
        <f>Postkarten!B17</f>
        <v>Regensburg – Gruss aus Regensburg (Walhalla, Brücke, Neupfarrkirche)</v>
      </c>
      <c r="D22" s="30">
        <f>Postkarten!L17</f>
        <v>5</v>
      </c>
      <c r="E22" s="30">
        <f>Postkarten!M17</f>
        <v>10</v>
      </c>
      <c r="F22" s="30">
        <f>Postkarten!N17</f>
        <v>10</v>
      </c>
      <c r="G22" s="30">
        <v>5</v>
      </c>
      <c r="H22" s="30">
        <v>10</v>
      </c>
      <c r="I22" s="30">
        <v>10</v>
      </c>
      <c r="J22" s="30">
        <f t="shared" si="0"/>
        <v>0</v>
      </c>
      <c r="K22" s="30">
        <f t="shared" si="1"/>
        <v>0</v>
      </c>
      <c r="L22" s="30">
        <f t="shared" si="2"/>
        <v>0</v>
      </c>
      <c r="M22" s="9" t="str">
        <f t="shared" si="3"/>
        <v>Unverändert</v>
      </c>
    </row>
    <row r="23" spans="1:13" ht="30" customHeight="1" x14ac:dyDescent="0.3">
      <c r="A23" s="9">
        <v>18</v>
      </c>
      <c r="B23" s="6" t="str">
        <f>Postkarten!A18</f>
        <v>AK-2026-0017</v>
      </c>
      <c r="C23" s="8" t="str">
        <f>Postkarten!B18</f>
        <v>Regensburg – Moltkeplatz im Schnee (Nachtschneekarte mit Dom)</v>
      </c>
      <c r="D23" s="30">
        <f>Postkarten!L18</f>
        <v>8</v>
      </c>
      <c r="E23" s="30">
        <f>Postkarten!M18</f>
        <v>15</v>
      </c>
      <c r="F23" s="30">
        <f>Postkarten!N18</f>
        <v>15</v>
      </c>
      <c r="G23" s="30">
        <v>8</v>
      </c>
      <c r="H23" s="30">
        <v>15</v>
      </c>
      <c r="I23" s="30">
        <v>15</v>
      </c>
      <c r="J23" s="30">
        <f t="shared" si="0"/>
        <v>0</v>
      </c>
      <c r="K23" s="30">
        <f t="shared" si="1"/>
        <v>0</v>
      </c>
      <c r="L23" s="30">
        <f t="shared" si="2"/>
        <v>0</v>
      </c>
      <c r="M23" s="9" t="str">
        <f t="shared" si="3"/>
        <v>Unverändert</v>
      </c>
    </row>
    <row r="24" spans="1:13" ht="30" customHeight="1" x14ac:dyDescent="0.3">
      <c r="A24" s="9">
        <v>19</v>
      </c>
      <c r="B24" s="6" t="str">
        <f>Postkarten!A19</f>
        <v>AK-2026-0018</v>
      </c>
      <c r="C24" s="8" t="str">
        <f>Postkarten!B19</f>
        <v>München – Justizpalast und Treppenhaus</v>
      </c>
      <c r="D24" s="30">
        <f>Postkarten!L19</f>
        <v>5</v>
      </c>
      <c r="E24" s="30">
        <f>Postkarten!M19</f>
        <v>10</v>
      </c>
      <c r="F24" s="30">
        <f>Postkarten!N19</f>
        <v>10</v>
      </c>
      <c r="G24" s="30">
        <v>5</v>
      </c>
      <c r="H24" s="30">
        <v>10</v>
      </c>
      <c r="I24" s="30">
        <v>10</v>
      </c>
      <c r="J24" s="30">
        <f t="shared" si="0"/>
        <v>0</v>
      </c>
      <c r="K24" s="30">
        <f t="shared" si="1"/>
        <v>0</v>
      </c>
      <c r="L24" s="30">
        <f t="shared" si="2"/>
        <v>0</v>
      </c>
      <c r="M24" s="9" t="str">
        <f t="shared" si="3"/>
        <v>Unverändert</v>
      </c>
    </row>
    <row r="25" spans="1:13" ht="30" customHeight="1" x14ac:dyDescent="0.3">
      <c r="A25" s="9">
        <v>20</v>
      </c>
      <c r="B25" s="6" t="str">
        <f>Postkarten!A20</f>
        <v>AK-2026-0019</v>
      </c>
      <c r="C25" s="8" t="str">
        <f>Postkarten!B20</f>
        <v>Altenthann – Ortsansicht, Gasthof Gansmeier und Schulhaus</v>
      </c>
      <c r="D25" s="30">
        <f>Postkarten!L20</f>
        <v>4</v>
      </c>
      <c r="E25" s="30">
        <f>Postkarten!M20</f>
        <v>8</v>
      </c>
      <c r="F25" s="30">
        <f>Postkarten!N20</f>
        <v>8</v>
      </c>
      <c r="G25" s="30">
        <v>4</v>
      </c>
      <c r="H25" s="30">
        <v>8</v>
      </c>
      <c r="I25" s="30">
        <v>8</v>
      </c>
      <c r="J25" s="30">
        <f t="shared" si="0"/>
        <v>0</v>
      </c>
      <c r="K25" s="30">
        <f t="shared" si="1"/>
        <v>0</v>
      </c>
      <c r="L25" s="30">
        <f t="shared" si="2"/>
        <v>0</v>
      </c>
      <c r="M25" s="9" t="str">
        <f t="shared" si="3"/>
        <v>Unverändert</v>
      </c>
    </row>
    <row r="26" spans="1:13" ht="30" customHeight="1" x14ac:dyDescent="0.3">
      <c r="A26" s="9">
        <v>21</v>
      </c>
      <c r="B26" s="6" t="str">
        <f>Postkarten!A21</f>
        <v>AK-2026-0020</v>
      </c>
      <c r="C26" s="8" t="str">
        <f>Postkarten!B21</f>
        <v>Regensburg – Walhalla (Ansicht von unten mit den Terrassen)</v>
      </c>
      <c r="D26" s="30">
        <f>Postkarten!L21</f>
        <v>3</v>
      </c>
      <c r="E26" s="30">
        <f>Postkarten!M21</f>
        <v>7</v>
      </c>
      <c r="F26" s="30">
        <f>Postkarten!N21</f>
        <v>7</v>
      </c>
      <c r="G26" s="30">
        <v>3</v>
      </c>
      <c r="H26" s="30">
        <v>7</v>
      </c>
      <c r="I26" s="30">
        <v>7</v>
      </c>
      <c r="J26" s="30">
        <f t="shared" si="0"/>
        <v>0</v>
      </c>
      <c r="K26" s="30">
        <f t="shared" si="1"/>
        <v>0</v>
      </c>
      <c r="L26" s="30">
        <f t="shared" si="2"/>
        <v>0</v>
      </c>
      <c r="M26" s="9" t="str">
        <f t="shared" si="3"/>
        <v>Unverändert</v>
      </c>
    </row>
    <row r="27" spans="1:13" ht="30" customHeight="1" x14ac:dyDescent="0.3">
      <c r="A27" s="9">
        <v>22</v>
      </c>
      <c r="B27" s="6" t="str">
        <f>Postkarten!A22</f>
        <v>AK-2026-0021</v>
      </c>
      <c r="C27" s="8" t="str">
        <f>Postkarten!B22</f>
        <v>Regensburg – Panorama mit Postillon und Briefkasten</v>
      </c>
      <c r="D27" s="30">
        <f>Postkarten!L22</f>
        <v>6</v>
      </c>
      <c r="E27" s="30">
        <f>Postkarten!M22</f>
        <v>12</v>
      </c>
      <c r="F27" s="30">
        <f>Postkarten!N22</f>
        <v>12</v>
      </c>
      <c r="G27" s="30">
        <v>6</v>
      </c>
      <c r="H27" s="30">
        <v>12</v>
      </c>
      <c r="I27" s="30">
        <v>12</v>
      </c>
      <c r="J27" s="30">
        <f t="shared" si="0"/>
        <v>0</v>
      </c>
      <c r="K27" s="30">
        <f t="shared" si="1"/>
        <v>0</v>
      </c>
      <c r="L27" s="30">
        <f t="shared" si="2"/>
        <v>0</v>
      </c>
      <c r="M27" s="9" t="str">
        <f t="shared" si="3"/>
        <v>Unverändert</v>
      </c>
    </row>
    <row r="28" spans="1:13" ht="30" customHeight="1" x14ac:dyDescent="0.3">
      <c r="A28" s="9">
        <v>23</v>
      </c>
      <c r="B28" s="6" t="str">
        <f>Postkarten!A23</f>
        <v>AK-2026-0022</v>
      </c>
      <c r="C28" s="8" t="str">
        <f>Postkarten!B23</f>
        <v>Regensburg – Gruss aus Regensburg (Donau-Ansicht mit Wappen)</v>
      </c>
      <c r="D28" s="30">
        <f>Postkarten!L23</f>
        <v>6</v>
      </c>
      <c r="E28" s="30">
        <f>Postkarten!M23</f>
        <v>12</v>
      </c>
      <c r="F28" s="30">
        <f>Postkarten!N23</f>
        <v>12</v>
      </c>
      <c r="G28" s="30">
        <v>6</v>
      </c>
      <c r="H28" s="30">
        <v>12</v>
      </c>
      <c r="I28" s="30">
        <v>12</v>
      </c>
      <c r="J28" s="30">
        <f t="shared" si="0"/>
        <v>0</v>
      </c>
      <c r="K28" s="30">
        <f t="shared" si="1"/>
        <v>0</v>
      </c>
      <c r="L28" s="30">
        <f t="shared" si="2"/>
        <v>0</v>
      </c>
      <c r="M28" s="9" t="str">
        <f t="shared" si="3"/>
        <v>Unverändert</v>
      </c>
    </row>
    <row r="29" spans="1:13" ht="30" customHeight="1" x14ac:dyDescent="0.3">
      <c r="A29" s="9">
        <v>24</v>
      </c>
      <c r="B29" s="6" t="str">
        <f>Postkarten!A24</f>
        <v>AK-2026-0023</v>
      </c>
      <c r="C29" s="8" t="str">
        <f>Postkarten!B24</f>
        <v>Regensburg – Gruss aus Regensburg (Dom und Rathaus)</v>
      </c>
      <c r="D29" s="30">
        <f>Postkarten!L24</f>
        <v>5</v>
      </c>
      <c r="E29" s="30">
        <f>Postkarten!M24</f>
        <v>10</v>
      </c>
      <c r="F29" s="30">
        <f>Postkarten!N24</f>
        <v>10</v>
      </c>
      <c r="G29" s="30">
        <v>5</v>
      </c>
      <c r="H29" s="30">
        <v>10</v>
      </c>
      <c r="I29" s="30">
        <v>10</v>
      </c>
      <c r="J29" s="30">
        <f t="shared" si="0"/>
        <v>0</v>
      </c>
      <c r="K29" s="30">
        <f t="shared" si="1"/>
        <v>0</v>
      </c>
      <c r="L29" s="30">
        <f t="shared" si="2"/>
        <v>0</v>
      </c>
      <c r="M29" s="9" t="str">
        <f t="shared" si="3"/>
        <v>Unverändert</v>
      </c>
    </row>
    <row r="30" spans="1:13" ht="30" customHeight="1" x14ac:dyDescent="0.3">
      <c r="A30" s="9">
        <v>25</v>
      </c>
      <c r="B30" s="6" t="str">
        <f>Postkarten!A25</f>
        <v>AK-2026-0024</v>
      </c>
      <c r="C30" s="8" t="str">
        <f>Postkarten!B25</f>
        <v>München – Das große Wandgemälde im Festsaal des Kgl. Hofbräuhauses</v>
      </c>
      <c r="D30" s="30">
        <f>Postkarten!L25</f>
        <v>3</v>
      </c>
      <c r="E30" s="30">
        <f>Postkarten!M25</f>
        <v>6</v>
      </c>
      <c r="F30" s="30">
        <f>Postkarten!N25</f>
        <v>6</v>
      </c>
      <c r="G30" s="30">
        <v>3</v>
      </c>
      <c r="H30" s="30">
        <v>6</v>
      </c>
      <c r="I30" s="30">
        <v>6</v>
      </c>
      <c r="J30" s="30">
        <f t="shared" si="0"/>
        <v>0</v>
      </c>
      <c r="K30" s="30">
        <f t="shared" si="1"/>
        <v>0</v>
      </c>
      <c r="L30" s="30">
        <f t="shared" si="2"/>
        <v>0</v>
      </c>
      <c r="M30" s="9" t="str">
        <f t="shared" si="3"/>
        <v>Unverändert</v>
      </c>
    </row>
    <row r="31" spans="1:13" ht="30" customHeight="1" x14ac:dyDescent="0.3">
      <c r="A31" s="9">
        <v>26</v>
      </c>
      <c r="B31" s="6" t="str">
        <f>Postkarten!A26</f>
        <v>AK-2026-0025</v>
      </c>
      <c r="C31" s="8" t="str">
        <f>Postkarten!B26</f>
        <v>Humoristische Ansichtskarte – „Mir wann oaner sog'n tat, daß i a Preiß bi'!“</v>
      </c>
      <c r="D31" s="30">
        <f>Postkarten!L26</f>
        <v>3</v>
      </c>
      <c r="E31" s="30">
        <f>Postkarten!M26</f>
        <v>6</v>
      </c>
      <c r="F31" s="30">
        <f>Postkarten!N26</f>
        <v>6</v>
      </c>
      <c r="G31" s="30">
        <v>3</v>
      </c>
      <c r="H31" s="30">
        <v>6</v>
      </c>
      <c r="I31" s="30">
        <v>6</v>
      </c>
      <c r="J31" s="30">
        <f t="shared" si="0"/>
        <v>0</v>
      </c>
      <c r="K31" s="30">
        <f t="shared" si="1"/>
        <v>0</v>
      </c>
      <c r="L31" s="30">
        <f t="shared" si="2"/>
        <v>0</v>
      </c>
      <c r="M31" s="9" t="str">
        <f t="shared" si="3"/>
        <v>Unverändert</v>
      </c>
    </row>
    <row r="32" spans="1:13" ht="30" customHeight="1" x14ac:dyDescent="0.3">
      <c r="A32" s="9">
        <v>27</v>
      </c>
      <c r="B32" s="6" t="str">
        <f>Postkarten!A27</f>
        <v>AK-2026-0026</v>
      </c>
      <c r="C32" s="8" t="str">
        <f>Postkarten!B27</f>
        <v>Dürnsricht – Blick auf Dürnsricht mit Bäckerei &amp; Kolonialwarengeschäft Bartmann</v>
      </c>
      <c r="D32" s="30">
        <f>Postkarten!L27</f>
        <v>12</v>
      </c>
      <c r="E32" s="30">
        <f>Postkarten!M27</f>
        <v>25</v>
      </c>
      <c r="F32" s="30">
        <f>Postkarten!N27</f>
        <v>25</v>
      </c>
      <c r="G32" s="30">
        <v>15</v>
      </c>
      <c r="H32" s="30">
        <v>30</v>
      </c>
      <c r="I32" s="30">
        <v>25</v>
      </c>
      <c r="J32" s="30">
        <f t="shared" si="0"/>
        <v>3</v>
      </c>
      <c r="K32" s="30">
        <f t="shared" si="1"/>
        <v>5</v>
      </c>
      <c r="L32" s="30">
        <f t="shared" si="2"/>
        <v>0</v>
      </c>
      <c r="M32" s="9" t="str">
        <f t="shared" si="3"/>
        <v>Unverändert</v>
      </c>
    </row>
    <row r="33" spans="1:13" ht="30" customHeight="1" x14ac:dyDescent="0.3">
      <c r="A33" s="9">
        <v>28</v>
      </c>
      <c r="B33" s="6" t="str">
        <f>Postkarten!A28</f>
        <v>AK-2026-0027</v>
      </c>
      <c r="C33" s="8" t="str">
        <f>Postkarten!B28</f>
        <v>Schloss Banz – Gruss aus Mainthal, Schloss Banz (Jugendstil-Litho)</v>
      </c>
      <c r="D33" s="30">
        <f>Postkarten!L28</f>
        <v>4</v>
      </c>
      <c r="E33" s="30">
        <f>Postkarten!M28</f>
        <v>8</v>
      </c>
      <c r="F33" s="30">
        <f>Postkarten!N28</f>
        <v>8</v>
      </c>
      <c r="G33" s="30">
        <v>4</v>
      </c>
      <c r="H33" s="30">
        <v>8</v>
      </c>
      <c r="I33" s="30">
        <v>8</v>
      </c>
      <c r="J33" s="30">
        <f t="shared" si="0"/>
        <v>0</v>
      </c>
      <c r="K33" s="30">
        <f t="shared" si="1"/>
        <v>0</v>
      </c>
      <c r="L33" s="30">
        <f t="shared" si="2"/>
        <v>0</v>
      </c>
      <c r="M33" s="9" t="str">
        <f t="shared" si="3"/>
        <v>Unverändert</v>
      </c>
    </row>
    <row r="34" spans="1:13" ht="30" customHeight="1" x14ac:dyDescent="0.3">
      <c r="A34" s="9">
        <v>29</v>
      </c>
      <c r="B34" s="6" t="str">
        <f>Postkarten!A29</f>
        <v>AK-2026-0028</v>
      </c>
      <c r="C34" s="8" t="str">
        <f>Postkarten!B29</f>
        <v>Kelheim – Die Befreiungshalle und Blick auf Kelheim</v>
      </c>
      <c r="D34" s="30">
        <f>Postkarten!L29</f>
        <v>3.5</v>
      </c>
      <c r="E34" s="30">
        <f>Postkarten!M29</f>
        <v>7</v>
      </c>
      <c r="F34" s="30">
        <f>Postkarten!N29</f>
        <v>7</v>
      </c>
      <c r="G34" s="30">
        <v>3.5</v>
      </c>
      <c r="H34" s="30">
        <v>7</v>
      </c>
      <c r="I34" s="30">
        <v>7</v>
      </c>
      <c r="J34" s="30">
        <f t="shared" si="0"/>
        <v>0</v>
      </c>
      <c r="K34" s="30">
        <f t="shared" si="1"/>
        <v>0</v>
      </c>
      <c r="L34" s="30">
        <f t="shared" si="2"/>
        <v>0</v>
      </c>
      <c r="M34" s="9" t="str">
        <f t="shared" si="3"/>
        <v>Unverändert</v>
      </c>
    </row>
    <row r="35" spans="1:13" ht="30" customHeight="1" x14ac:dyDescent="0.3">
      <c r="A35" s="9">
        <v>30</v>
      </c>
      <c r="B35" s="6" t="str">
        <f>Postkarten!A30</f>
        <v>AK-2026-0029</v>
      </c>
      <c r="C35" s="8" t="str">
        <f>Postkarten!B30</f>
        <v>Lupburg – Gruss aus Lupburg (Ortsansicht mit Burg)</v>
      </c>
      <c r="D35" s="30">
        <f>Postkarten!L30</f>
        <v>4</v>
      </c>
      <c r="E35" s="30">
        <f>Postkarten!M30</f>
        <v>8</v>
      </c>
      <c r="F35" s="30">
        <f>Postkarten!N30</f>
        <v>8</v>
      </c>
      <c r="G35" s="30">
        <v>4</v>
      </c>
      <c r="H35" s="30">
        <v>8</v>
      </c>
      <c r="I35" s="30">
        <v>8</v>
      </c>
      <c r="J35" s="30">
        <f t="shared" si="0"/>
        <v>0</v>
      </c>
      <c r="K35" s="30">
        <f t="shared" si="1"/>
        <v>0</v>
      </c>
      <c r="L35" s="30">
        <f t="shared" si="2"/>
        <v>0</v>
      </c>
      <c r="M35" s="9" t="str">
        <f t="shared" si="3"/>
        <v>Unverändert</v>
      </c>
    </row>
    <row r="36" spans="1:13" ht="30" customHeight="1" x14ac:dyDescent="0.3">
      <c r="A36" s="9">
        <v>31</v>
      </c>
      <c r="B36" s="6" t="str">
        <f>Postkarten!A31</f>
        <v>AK-2026-0030</v>
      </c>
      <c r="C36" s="8" t="str">
        <f>Postkarten!B31</f>
        <v>Ingolstadt – Gruss aus Ingolstadt (Donauansicht mit Brücke)</v>
      </c>
      <c r="D36" s="30">
        <f>Postkarten!L31</f>
        <v>3.5</v>
      </c>
      <c r="E36" s="30">
        <f>Postkarten!M31</f>
        <v>7</v>
      </c>
      <c r="F36" s="30">
        <f>Postkarten!N31</f>
        <v>7</v>
      </c>
      <c r="G36" s="30">
        <v>3.5</v>
      </c>
      <c r="H36" s="30">
        <v>7</v>
      </c>
      <c r="I36" s="30">
        <v>7</v>
      </c>
      <c r="J36" s="30">
        <f t="shared" si="0"/>
        <v>0</v>
      </c>
      <c r="K36" s="30">
        <f t="shared" si="1"/>
        <v>0</v>
      </c>
      <c r="L36" s="30">
        <f t="shared" si="2"/>
        <v>0</v>
      </c>
      <c r="M36" s="9" t="str">
        <f t="shared" si="3"/>
        <v>Unverändert</v>
      </c>
    </row>
    <row r="37" spans="1:13" ht="30" customHeight="1" x14ac:dyDescent="0.3">
      <c r="A37" s="9">
        <v>32</v>
      </c>
      <c r="B37" s="6" t="str">
        <f>Postkarten!A32</f>
        <v>AK-2026-0031</v>
      </c>
      <c r="C37" s="8" t="str">
        <f>Postkarten!B32</f>
        <v>Gößweinstein – Gruss aus Gößweinstein, Fränkische Schweiz (Mehrbild-Echtphoto)</v>
      </c>
      <c r="D37" s="30">
        <f>Postkarten!L32</f>
        <v>4</v>
      </c>
      <c r="E37" s="30">
        <f>Postkarten!M32</f>
        <v>8</v>
      </c>
      <c r="F37" s="30">
        <f>Postkarten!N32</f>
        <v>8</v>
      </c>
      <c r="G37" s="30">
        <v>4</v>
      </c>
      <c r="H37" s="30">
        <v>8</v>
      </c>
      <c r="I37" s="30">
        <v>8</v>
      </c>
      <c r="J37" s="30">
        <f t="shared" si="0"/>
        <v>0</v>
      </c>
      <c r="K37" s="30">
        <f t="shared" si="1"/>
        <v>0</v>
      </c>
      <c r="L37" s="30">
        <f t="shared" si="2"/>
        <v>0</v>
      </c>
      <c r="M37" s="9" t="str">
        <f t="shared" si="3"/>
        <v>Unverändert</v>
      </c>
    </row>
    <row r="38" spans="1:13" ht="30" customHeight="1" x14ac:dyDescent="0.3">
      <c r="A38" s="9">
        <v>33</v>
      </c>
      <c r="B38" s="6" t="str">
        <f>Postkarten!A33</f>
        <v>AK-2026-0032</v>
      </c>
      <c r="C38" s="8" t="str">
        <f>Postkarten!B33</f>
        <v>Burglengenfeld – Naabbrücke mit Burg</v>
      </c>
      <c r="D38" s="30">
        <f>Postkarten!L33</f>
        <v>4</v>
      </c>
      <c r="E38" s="30">
        <f>Postkarten!M33</f>
        <v>8</v>
      </c>
      <c r="F38" s="30">
        <f>Postkarten!N33</f>
        <v>8</v>
      </c>
      <c r="G38" s="30">
        <v>4</v>
      </c>
      <c r="H38" s="30">
        <v>8</v>
      </c>
      <c r="I38" s="30">
        <v>8</v>
      </c>
      <c r="J38" s="30">
        <f t="shared" si="0"/>
        <v>0</v>
      </c>
      <c r="K38" s="30">
        <f t="shared" si="1"/>
        <v>0</v>
      </c>
      <c r="L38" s="30">
        <f t="shared" si="2"/>
        <v>0</v>
      </c>
      <c r="M38" s="9" t="str">
        <f t="shared" si="3"/>
        <v>Unverändert</v>
      </c>
    </row>
    <row r="39" spans="1:13" ht="30" customHeight="1" x14ac:dyDescent="0.3">
      <c r="A39" s="19">
        <v>34</v>
      </c>
      <c r="B39" s="20" t="str">
        <f>Postkarten!A34</f>
        <v>AK-2026-0033</v>
      </c>
      <c r="C39" s="21" t="str">
        <f>Postkarten!B34</f>
        <v>Gasthof - Metzgerei „Zum Burgblick“ Burglengenfeld/Opf.</v>
      </c>
      <c r="D39" s="53">
        <f>Postkarten!L34</f>
        <v>5</v>
      </c>
      <c r="E39" s="53">
        <f>Postkarten!M34</f>
        <v>10</v>
      </c>
      <c r="F39" s="53">
        <f>Postkarten!N34</f>
        <v>10</v>
      </c>
      <c r="G39" s="53">
        <v>5</v>
      </c>
      <c r="H39" s="53">
        <v>10</v>
      </c>
      <c r="I39" s="53">
        <v>10</v>
      </c>
      <c r="J39" s="53">
        <f t="shared" si="0"/>
        <v>0</v>
      </c>
      <c r="K39" s="53">
        <f t="shared" si="1"/>
        <v>0</v>
      </c>
      <c r="L39" s="53">
        <f t="shared" si="2"/>
        <v>0</v>
      </c>
      <c r="M39" s="19" t="str">
        <f t="shared" si="3"/>
        <v>Unverändert</v>
      </c>
    </row>
    <row r="40" spans="1:13" ht="30" customHeight="1" x14ac:dyDescent="0.3">
      <c r="A40" s="9">
        <v>35</v>
      </c>
      <c r="B40" s="6" t="str">
        <f>Postkarten!A35</f>
        <v>AK-2026-0034</v>
      </c>
      <c r="C40" s="8" t="str">
        <f>Postkarten!B35</f>
        <v>Gößweinstein – Höhenkurort Gössweinstein, Blick vom Gernerfels (Echtphoto)</v>
      </c>
      <c r="D40" s="30">
        <f>Postkarten!L35</f>
        <v>4</v>
      </c>
      <c r="E40" s="30">
        <f>Postkarten!M35</f>
        <v>8</v>
      </c>
      <c r="F40" s="30">
        <f>Postkarten!N35</f>
        <v>8</v>
      </c>
      <c r="G40" s="30">
        <v>4</v>
      </c>
      <c r="H40" s="30">
        <v>8</v>
      </c>
      <c r="I40" s="30">
        <v>8</v>
      </c>
      <c r="J40" s="30">
        <f t="shared" si="0"/>
        <v>0</v>
      </c>
      <c r="K40" s="30">
        <f t="shared" si="1"/>
        <v>0</v>
      </c>
      <c r="L40" s="30">
        <f t="shared" si="2"/>
        <v>0</v>
      </c>
      <c r="M40" s="9" t="str">
        <f t="shared" si="3"/>
        <v>Unverändert</v>
      </c>
    </row>
    <row r="41" spans="1:13" ht="30" customHeight="1" x14ac:dyDescent="0.3">
      <c r="A41" s="9">
        <v>36</v>
      </c>
      <c r="B41" s="6" t="str">
        <f>Postkarten!A36</f>
        <v>AK-2026-0035</v>
      </c>
      <c r="C41" s="8" t="str">
        <f>Postkarten!B36</f>
        <v>Parsberg i. Opf. – Südansicht &amp; Östliche Ansicht (Mehrbild)</v>
      </c>
      <c r="D41" s="30">
        <f>Postkarten!L36</f>
        <v>4</v>
      </c>
      <c r="E41" s="30">
        <f>Postkarten!M36</f>
        <v>8</v>
      </c>
      <c r="F41" s="30">
        <f>Postkarten!N36</f>
        <v>8</v>
      </c>
      <c r="G41" s="30">
        <v>4</v>
      </c>
      <c r="H41" s="30">
        <v>8</v>
      </c>
      <c r="I41" s="30">
        <v>8</v>
      </c>
      <c r="J41" s="30">
        <f t="shared" si="0"/>
        <v>0</v>
      </c>
      <c r="K41" s="30">
        <f t="shared" si="1"/>
        <v>0</v>
      </c>
      <c r="L41" s="30">
        <f t="shared" si="2"/>
        <v>0</v>
      </c>
      <c r="M41" s="9" t="str">
        <f t="shared" si="3"/>
        <v>Unverändert</v>
      </c>
    </row>
    <row r="42" spans="1:13" ht="30" customHeight="1" x14ac:dyDescent="0.3">
      <c r="A42" s="9">
        <v>37</v>
      </c>
      <c r="B42" s="6" t="str">
        <f>Postkarten!A37</f>
        <v>AK-2026-0036</v>
      </c>
      <c r="C42" s="8" t="str">
        <f>Postkarten!B37</f>
        <v>Amberg Opf. – St. Georgskirche</v>
      </c>
      <c r="D42" s="30">
        <f>Postkarten!L37</f>
        <v>3</v>
      </c>
      <c r="E42" s="30">
        <f>Postkarten!M37</f>
        <v>6</v>
      </c>
      <c r="F42" s="30">
        <f>Postkarten!N37</f>
        <v>6</v>
      </c>
      <c r="G42" s="30">
        <v>3</v>
      </c>
      <c r="H42" s="30">
        <v>6</v>
      </c>
      <c r="I42" s="30">
        <v>6</v>
      </c>
      <c r="J42" s="30">
        <f t="shared" si="0"/>
        <v>0</v>
      </c>
      <c r="K42" s="30">
        <f t="shared" si="1"/>
        <v>0</v>
      </c>
      <c r="L42" s="30">
        <f t="shared" si="2"/>
        <v>0</v>
      </c>
      <c r="M42" s="9" t="str">
        <f t="shared" si="3"/>
        <v>Unverändert</v>
      </c>
    </row>
    <row r="43" spans="1:13" ht="30" customHeight="1" x14ac:dyDescent="0.3">
      <c r="A43" s="9">
        <v>38</v>
      </c>
      <c r="B43" s="6" t="str">
        <f>Postkarten!A38</f>
        <v>AK-2026-0037</v>
      </c>
      <c r="C43" s="8" t="str">
        <f>Postkarten!B38</f>
        <v>Regensburg – Seminar Obermünster, Portal</v>
      </c>
      <c r="D43" s="30">
        <f>Postkarten!L38</f>
        <v>3</v>
      </c>
      <c r="E43" s="30">
        <f>Postkarten!M38</f>
        <v>6</v>
      </c>
      <c r="F43" s="30">
        <f>Postkarten!N38</f>
        <v>6</v>
      </c>
      <c r="G43" s="30">
        <v>3</v>
      </c>
      <c r="H43" s="30">
        <v>6</v>
      </c>
      <c r="I43" s="30">
        <v>6</v>
      </c>
      <c r="J43" s="30">
        <f t="shared" si="0"/>
        <v>0</v>
      </c>
      <c r="K43" s="30">
        <f t="shared" si="1"/>
        <v>0</v>
      </c>
      <c r="L43" s="30">
        <f t="shared" si="2"/>
        <v>0</v>
      </c>
      <c r="M43" s="9" t="str">
        <f t="shared" si="3"/>
        <v>Unverändert</v>
      </c>
    </row>
    <row r="44" spans="1:13" ht="30" customHeight="1" x14ac:dyDescent="0.3">
      <c r="A44" s="9">
        <v>39</v>
      </c>
      <c r="B44" s="6" t="str">
        <f>Postkarten!A39</f>
        <v>AK-2026-0038</v>
      </c>
      <c r="C44" s="8" t="str">
        <f>Postkarten!B39</f>
        <v>Bad Reichenhall – Bayerisches Feuerwehr-Erholungsheim &amp; Predigtstuhl</v>
      </c>
      <c r="D44" s="30">
        <f>Postkarten!L39</f>
        <v>4</v>
      </c>
      <c r="E44" s="30">
        <f>Postkarten!M39</f>
        <v>8</v>
      </c>
      <c r="F44" s="30">
        <f>Postkarten!N39</f>
        <v>8</v>
      </c>
      <c r="G44" s="30">
        <v>4</v>
      </c>
      <c r="H44" s="30">
        <v>8</v>
      </c>
      <c r="I44" s="30">
        <v>8</v>
      </c>
      <c r="J44" s="30">
        <f t="shared" si="0"/>
        <v>0</v>
      </c>
      <c r="K44" s="30">
        <f t="shared" si="1"/>
        <v>0</v>
      </c>
      <c r="L44" s="30">
        <f t="shared" si="2"/>
        <v>0</v>
      </c>
      <c r="M44" s="9" t="str">
        <f t="shared" si="3"/>
        <v>Unverändert</v>
      </c>
    </row>
    <row r="45" spans="1:13" ht="30" customHeight="1" x14ac:dyDescent="0.3">
      <c r="A45" s="9">
        <v>40</v>
      </c>
      <c r="B45" s="6" t="str">
        <f>Postkarten!A40</f>
        <v>AK-2026-0039</v>
      </c>
      <c r="C45" s="8" t="str">
        <f>Postkarten!B40</f>
        <v>Linz a. D. – Pöstlingberg (Fliegeraufnahme / Luftbild)</v>
      </c>
      <c r="D45" s="30">
        <f>Postkarten!L40</f>
        <v>3</v>
      </c>
      <c r="E45" s="30">
        <f>Postkarten!M40</f>
        <v>6</v>
      </c>
      <c r="F45" s="30">
        <f>Postkarten!N40</f>
        <v>6</v>
      </c>
      <c r="G45" s="30">
        <v>3</v>
      </c>
      <c r="H45" s="30">
        <v>6</v>
      </c>
      <c r="I45" s="30">
        <v>6</v>
      </c>
      <c r="J45" s="30">
        <f t="shared" si="0"/>
        <v>0</v>
      </c>
      <c r="K45" s="30">
        <f t="shared" si="1"/>
        <v>0</v>
      </c>
      <c r="L45" s="30">
        <f t="shared" si="2"/>
        <v>0</v>
      </c>
      <c r="M45" s="9" t="str">
        <f t="shared" si="3"/>
        <v>Unverändert</v>
      </c>
    </row>
    <row r="46" spans="1:13" ht="30" customHeight="1" x14ac:dyDescent="0.3">
      <c r="A46" s="9">
        <v>41</v>
      </c>
      <c r="B46" s="6" t="str">
        <f>Postkarten!A41</f>
        <v>AK-2026-0040</v>
      </c>
      <c r="C46" s="8" t="str">
        <f>Postkarten!B41</f>
        <v>Donaustauf bei Regensburg – Walhalla</v>
      </c>
      <c r="D46" s="30">
        <f>Postkarten!L41</f>
        <v>3</v>
      </c>
      <c r="E46" s="30">
        <f>Postkarten!M41</f>
        <v>6</v>
      </c>
      <c r="F46" s="30">
        <f>Postkarten!N41</f>
        <v>6</v>
      </c>
      <c r="G46" s="30">
        <v>3</v>
      </c>
      <c r="H46" s="30">
        <v>6</v>
      </c>
      <c r="I46" s="30">
        <v>6</v>
      </c>
      <c r="J46" s="30">
        <f t="shared" si="0"/>
        <v>0</v>
      </c>
      <c r="K46" s="30">
        <f t="shared" si="1"/>
        <v>0</v>
      </c>
      <c r="L46" s="30">
        <f t="shared" si="2"/>
        <v>0</v>
      </c>
      <c r="M46" s="9" t="str">
        <f t="shared" si="3"/>
        <v>Unverändert</v>
      </c>
    </row>
    <row r="47" spans="1:13" ht="30" customHeight="1" x14ac:dyDescent="0.3">
      <c r="A47" s="9">
        <v>42</v>
      </c>
      <c r="B47" s="6" t="str">
        <f>Postkarten!A42</f>
        <v>AK-2026-0041</v>
      </c>
      <c r="C47" s="8" t="str">
        <f>Postkarten!B42</f>
        <v>Donaustauf – Walhalla (Tempel deutscher Ehren)</v>
      </c>
      <c r="D47" s="30">
        <f>Postkarten!L42</f>
        <v>4</v>
      </c>
      <c r="E47" s="30">
        <f>Postkarten!M42</f>
        <v>8</v>
      </c>
      <c r="F47" s="30">
        <f>Postkarten!N42</f>
        <v>8</v>
      </c>
      <c r="G47" s="30">
        <v>4</v>
      </c>
      <c r="H47" s="30">
        <v>8</v>
      </c>
      <c r="I47" s="30">
        <v>8</v>
      </c>
      <c r="J47" s="30">
        <f t="shared" si="0"/>
        <v>0</v>
      </c>
      <c r="K47" s="30">
        <f t="shared" si="1"/>
        <v>0</v>
      </c>
      <c r="L47" s="30">
        <f t="shared" si="2"/>
        <v>0</v>
      </c>
      <c r="M47" s="9" t="str">
        <f t="shared" si="3"/>
        <v>Unverändert</v>
      </c>
    </row>
    <row r="48" spans="1:13" ht="30" customHeight="1" x14ac:dyDescent="0.3">
      <c r="A48" s="9">
        <v>43</v>
      </c>
      <c r="B48" s="6" t="str">
        <f>Postkarten!A43</f>
        <v>AK-2026-0042</v>
      </c>
      <c r="C48" s="8" t="str">
        <f>Postkarten!B43</f>
        <v>Parsberg – Schloßaufgang</v>
      </c>
      <c r="D48" s="30">
        <f>Postkarten!L43</f>
        <v>2</v>
      </c>
      <c r="E48" s="30">
        <f>Postkarten!M43</f>
        <v>5</v>
      </c>
      <c r="F48" s="30">
        <f>Postkarten!N43</f>
        <v>5</v>
      </c>
      <c r="G48" s="30">
        <v>2</v>
      </c>
      <c r="H48" s="30">
        <v>5</v>
      </c>
      <c r="I48" s="30">
        <v>5</v>
      </c>
      <c r="J48" s="30">
        <f t="shared" si="0"/>
        <v>0</v>
      </c>
      <c r="K48" s="30">
        <f t="shared" si="1"/>
        <v>0</v>
      </c>
      <c r="L48" s="30">
        <f t="shared" si="2"/>
        <v>0</v>
      </c>
      <c r="M48" s="9" t="str">
        <f t="shared" si="3"/>
        <v>Unverändert</v>
      </c>
    </row>
    <row r="49" spans="1:13" ht="30" customHeight="1" x14ac:dyDescent="0.3">
      <c r="A49" s="9">
        <v>44</v>
      </c>
      <c r="B49" s="6" t="str">
        <f>Postkarten!A44</f>
        <v>AK-2026-0043</v>
      </c>
      <c r="C49" s="8" t="str">
        <f>Postkarten!B44</f>
        <v>Regensburg – Am Wiedfang</v>
      </c>
      <c r="D49" s="30">
        <f>Postkarten!L44</f>
        <v>3</v>
      </c>
      <c r="E49" s="30">
        <f>Postkarten!M44</f>
        <v>6</v>
      </c>
      <c r="F49" s="30">
        <f>Postkarten!N44</f>
        <v>6</v>
      </c>
      <c r="G49" s="30">
        <v>3</v>
      </c>
      <c r="H49" s="30">
        <v>6</v>
      </c>
      <c r="I49" s="30">
        <v>6</v>
      </c>
      <c r="J49" s="30">
        <f t="shared" si="0"/>
        <v>0</v>
      </c>
      <c r="K49" s="30">
        <f t="shared" si="1"/>
        <v>0</v>
      </c>
      <c r="L49" s="30">
        <f t="shared" si="2"/>
        <v>0</v>
      </c>
      <c r="M49" s="9" t="str">
        <f t="shared" si="3"/>
        <v>Unverändert</v>
      </c>
    </row>
    <row r="50" spans="1:13" ht="30" customHeight="1" x14ac:dyDescent="0.3">
      <c r="A50" s="9">
        <v>45</v>
      </c>
      <c r="B50" s="6" t="str">
        <f>Postkarten!A45</f>
        <v>AK-2026-0044</v>
      </c>
      <c r="C50" s="8" t="str">
        <f>Postkarten!B45</f>
        <v>Lupburg – Neue Pfarrkirche (Innenraum / Altarraum)</v>
      </c>
      <c r="D50" s="30">
        <f>Postkarten!L45</f>
        <v>2</v>
      </c>
      <c r="E50" s="30">
        <f>Postkarten!M45</f>
        <v>5</v>
      </c>
      <c r="F50" s="30">
        <f>Postkarten!N45</f>
        <v>5</v>
      </c>
      <c r="G50" s="30">
        <v>2</v>
      </c>
      <c r="H50" s="30">
        <v>5</v>
      </c>
      <c r="I50" s="30">
        <v>5</v>
      </c>
      <c r="J50" s="30">
        <f t="shared" si="0"/>
        <v>0</v>
      </c>
      <c r="K50" s="30">
        <f t="shared" si="1"/>
        <v>0</v>
      </c>
      <c r="L50" s="30">
        <f t="shared" si="2"/>
        <v>0</v>
      </c>
      <c r="M50" s="9" t="str">
        <f t="shared" si="3"/>
        <v>Unverändert</v>
      </c>
    </row>
    <row r="51" spans="1:13" ht="30" customHeight="1" x14ac:dyDescent="0.3">
      <c r="A51" s="9">
        <v>46</v>
      </c>
      <c r="B51" s="6" t="str">
        <f>Postkarten!A46</f>
        <v>AK-2026-0045</v>
      </c>
      <c r="C51" s="8" t="str">
        <f>Postkarten!B46</f>
        <v>München – Königl. Hofbräuhaus (Gruss aus München)</v>
      </c>
      <c r="D51" s="30">
        <f>Postkarten!L46</f>
        <v>4</v>
      </c>
      <c r="E51" s="30">
        <f>Postkarten!M46</f>
        <v>8</v>
      </c>
      <c r="F51" s="30">
        <f>Postkarten!N46</f>
        <v>8</v>
      </c>
      <c r="G51" s="30">
        <v>4</v>
      </c>
      <c r="H51" s="30">
        <v>8</v>
      </c>
      <c r="I51" s="30">
        <v>8</v>
      </c>
      <c r="J51" s="30">
        <f t="shared" si="0"/>
        <v>0</v>
      </c>
      <c r="K51" s="30">
        <f t="shared" si="1"/>
        <v>0</v>
      </c>
      <c r="L51" s="30">
        <f t="shared" si="2"/>
        <v>0</v>
      </c>
      <c r="M51" s="9" t="str">
        <f t="shared" si="3"/>
        <v>Unverändert</v>
      </c>
    </row>
    <row r="52" spans="1:13" ht="30" customHeight="1" x14ac:dyDescent="0.3">
      <c r="A52" s="9">
        <v>47</v>
      </c>
      <c r="B52" s="6" t="str">
        <f>Postkarten!A47</f>
        <v>AK-2026-0046</v>
      </c>
      <c r="C52" s="8" t="str">
        <f>Postkarten!B47</f>
        <v>Rosenheim – Gruss aus Rosenheim (Alpenpanorama)</v>
      </c>
      <c r="D52" s="30">
        <f>Postkarten!L47</f>
        <v>4</v>
      </c>
      <c r="E52" s="30">
        <f>Postkarten!M47</f>
        <v>8</v>
      </c>
      <c r="F52" s="30">
        <f>Postkarten!N47</f>
        <v>8</v>
      </c>
      <c r="G52" s="30">
        <v>4</v>
      </c>
      <c r="H52" s="30">
        <v>8</v>
      </c>
      <c r="I52" s="30">
        <v>8</v>
      </c>
      <c r="J52" s="30">
        <f t="shared" si="0"/>
        <v>0</v>
      </c>
      <c r="K52" s="30">
        <f t="shared" si="1"/>
        <v>0</v>
      </c>
      <c r="L52" s="30">
        <f t="shared" si="2"/>
        <v>0</v>
      </c>
      <c r="M52" s="9" t="str">
        <f t="shared" si="3"/>
        <v>Unverändert</v>
      </c>
    </row>
    <row r="53" spans="1:13" ht="30" customHeight="1" x14ac:dyDescent="0.3">
      <c r="A53" s="9">
        <v>48</v>
      </c>
      <c r="B53" s="6" t="str">
        <f>Postkarten!A48</f>
        <v>AK-2026-0047</v>
      </c>
      <c r="C53" s="8" t="str">
        <f>Postkarten!B48</f>
        <v>Regensburg – Der Dom (107m, Westfassade)</v>
      </c>
      <c r="D53" s="30">
        <f>Postkarten!L48</f>
        <v>2.5</v>
      </c>
      <c r="E53" s="30">
        <f>Postkarten!M48</f>
        <v>5.5</v>
      </c>
      <c r="F53" s="30">
        <f>Postkarten!N48</f>
        <v>5.5</v>
      </c>
      <c r="G53" s="30">
        <v>2.5</v>
      </c>
      <c r="H53" s="30">
        <v>5.5</v>
      </c>
      <c r="I53" s="30">
        <v>5.5</v>
      </c>
      <c r="J53" s="30">
        <f t="shared" si="0"/>
        <v>0</v>
      </c>
      <c r="K53" s="30">
        <f t="shared" si="1"/>
        <v>0</v>
      </c>
      <c r="L53" s="30">
        <f t="shared" si="2"/>
        <v>0</v>
      </c>
      <c r="M53" s="9" t="str">
        <f t="shared" si="3"/>
        <v>Unverändert</v>
      </c>
    </row>
    <row r="54" spans="1:13" ht="30" customHeight="1" x14ac:dyDescent="0.3">
      <c r="A54" s="9">
        <v>49</v>
      </c>
      <c r="B54" s="6" t="str">
        <f>Postkarten!A49</f>
        <v>AK-2026-0048</v>
      </c>
      <c r="C54" s="8" t="str">
        <f>Postkarten!B49</f>
        <v>Regensburg – Haus Thurn und Taxis (Jubiläums-Ansichtskarte 1748–1898)</v>
      </c>
      <c r="D54" s="30">
        <f>Postkarten!L49</f>
        <v>3</v>
      </c>
      <c r="E54" s="30">
        <f>Postkarten!M49</f>
        <v>6.5</v>
      </c>
      <c r="F54" s="30">
        <f>Postkarten!N49</f>
        <v>6.5</v>
      </c>
      <c r="G54" s="30">
        <v>3</v>
      </c>
      <c r="H54" s="30">
        <v>6.5</v>
      </c>
      <c r="I54" s="30">
        <v>6.5</v>
      </c>
      <c r="J54" s="30">
        <f t="shared" si="0"/>
        <v>0</v>
      </c>
      <c r="K54" s="30">
        <f t="shared" si="1"/>
        <v>0</v>
      </c>
      <c r="L54" s="30">
        <f t="shared" si="2"/>
        <v>0</v>
      </c>
      <c r="M54" s="9" t="str">
        <f t="shared" si="3"/>
        <v>Unverändert</v>
      </c>
    </row>
    <row r="55" spans="1:13" ht="30" customHeight="1" x14ac:dyDescent="0.3">
      <c r="A55" s="9">
        <v>50</v>
      </c>
      <c r="B55" s="6" t="str">
        <f>Postkarten!A50</f>
        <v>AK-2026-0049</v>
      </c>
      <c r="C55" s="8" t="str">
        <f>Postkarten!B50</f>
        <v>München – Marienplatz gegen altes Rathaus (Flaggenschmuck)</v>
      </c>
      <c r="D55" s="30">
        <f>Postkarten!L50</f>
        <v>2.5</v>
      </c>
      <c r="E55" s="30">
        <f>Postkarten!M50</f>
        <v>5.5</v>
      </c>
      <c r="F55" s="30">
        <f>Postkarten!N50</f>
        <v>5.5</v>
      </c>
      <c r="G55" s="30">
        <v>2.5</v>
      </c>
      <c r="H55" s="30">
        <v>5.5</v>
      </c>
      <c r="I55" s="30">
        <v>5.5</v>
      </c>
      <c r="J55" s="30">
        <f t="shared" si="0"/>
        <v>0</v>
      </c>
      <c r="K55" s="30">
        <f t="shared" si="1"/>
        <v>0</v>
      </c>
      <c r="L55" s="30">
        <f t="shared" si="2"/>
        <v>0</v>
      </c>
      <c r="M55" s="9" t="str">
        <f t="shared" si="3"/>
        <v>Unverändert</v>
      </c>
    </row>
    <row r="56" spans="1:13" ht="30" customHeight="1" x14ac:dyDescent="0.3">
      <c r="A56" s="9">
        <v>51</v>
      </c>
      <c r="B56" s="6" t="str">
        <f>Postkarten!A51</f>
        <v>AK-2026-0050</v>
      </c>
      <c r="C56" s="8" t="str">
        <f>Postkarten!B51</f>
        <v>Metz – Gruss aus Metz (Theater, Paradeplatz, Kathedrale)</v>
      </c>
      <c r="D56" s="30">
        <f>Postkarten!L51</f>
        <v>3</v>
      </c>
      <c r="E56" s="30">
        <f>Postkarten!M51</f>
        <v>6.5</v>
      </c>
      <c r="F56" s="30">
        <f>Postkarten!N51</f>
        <v>6.5</v>
      </c>
      <c r="G56" s="30">
        <v>3</v>
      </c>
      <c r="H56" s="30">
        <v>6.5</v>
      </c>
      <c r="I56" s="30">
        <v>6.5</v>
      </c>
      <c r="J56" s="30">
        <f t="shared" si="0"/>
        <v>0</v>
      </c>
      <c r="K56" s="30">
        <f t="shared" si="1"/>
        <v>0</v>
      </c>
      <c r="L56" s="30">
        <f t="shared" si="2"/>
        <v>0</v>
      </c>
      <c r="M56" s="9" t="str">
        <f t="shared" si="3"/>
        <v>Unverändert</v>
      </c>
    </row>
    <row r="57" spans="1:13" ht="30" customHeight="1" x14ac:dyDescent="0.3">
      <c r="A57" s="9">
        <v>52</v>
      </c>
      <c r="B57" s="6" t="str">
        <f>Postkarten!A52</f>
        <v>AK-2026-0051</v>
      </c>
      <c r="C57" s="8" t="str">
        <f>Postkarten!B52</f>
        <v>Seubersdorf – Schulhaus</v>
      </c>
      <c r="D57" s="30">
        <f>Postkarten!L52</f>
        <v>3</v>
      </c>
      <c r="E57" s="30">
        <f>Postkarten!M52</f>
        <v>14</v>
      </c>
      <c r="F57" s="30">
        <f>Postkarten!N52</f>
        <v>14</v>
      </c>
      <c r="G57" s="30">
        <v>8</v>
      </c>
      <c r="H57" s="30">
        <v>16</v>
      </c>
      <c r="I57" s="30">
        <v>14</v>
      </c>
      <c r="J57" s="30">
        <f t="shared" si="0"/>
        <v>5</v>
      </c>
      <c r="K57" s="30">
        <f t="shared" si="1"/>
        <v>2</v>
      </c>
      <c r="L57" s="30">
        <f t="shared" si="2"/>
        <v>0</v>
      </c>
      <c r="M57" s="9" t="str">
        <f t="shared" si="3"/>
        <v>Unverändert</v>
      </c>
    </row>
    <row r="58" spans="1:13" ht="30" customHeight="1" x14ac:dyDescent="0.3">
      <c r="A58" s="9">
        <v>53</v>
      </c>
      <c r="B58" s="6" t="str">
        <f>Postkarten!A53</f>
        <v>AK-2026-0052</v>
      </c>
      <c r="C58" s="8" t="str">
        <f>Postkarten!B53</f>
        <v>Nürnberg – Gruss aus Nürnberg (Burg)</v>
      </c>
      <c r="D58" s="30">
        <f>Postkarten!L53</f>
        <v>2.5</v>
      </c>
      <c r="E58" s="30">
        <f>Postkarten!M53</f>
        <v>5.5</v>
      </c>
      <c r="F58" s="30">
        <f>Postkarten!N53</f>
        <v>5.5</v>
      </c>
      <c r="G58" s="30">
        <v>2.5</v>
      </c>
      <c r="H58" s="30">
        <v>5.5</v>
      </c>
      <c r="I58" s="30">
        <v>5.5</v>
      </c>
      <c r="J58" s="30">
        <f t="shared" si="0"/>
        <v>0</v>
      </c>
      <c r="K58" s="30">
        <f t="shared" si="1"/>
        <v>0</v>
      </c>
      <c r="L58" s="30">
        <f t="shared" si="2"/>
        <v>0</v>
      </c>
      <c r="M58" s="9" t="str">
        <f t="shared" si="3"/>
        <v>Unverändert</v>
      </c>
    </row>
    <row r="59" spans="1:13" ht="30" customHeight="1" x14ac:dyDescent="0.3">
      <c r="A59" s="9">
        <v>54</v>
      </c>
      <c r="B59" s="6" t="str">
        <f>Postkarten!A54</f>
        <v>AK-2026-0053</v>
      </c>
      <c r="C59" s="8" t="str">
        <f>Postkarten!B54</f>
        <v>München – Saal im kgl. Hofbräuhaus</v>
      </c>
      <c r="D59" s="30">
        <f>Postkarten!L54</f>
        <v>3</v>
      </c>
      <c r="E59" s="30">
        <f>Postkarten!M54</f>
        <v>6.5</v>
      </c>
      <c r="F59" s="30">
        <f>Postkarten!N54</f>
        <v>6.5</v>
      </c>
      <c r="G59" s="30">
        <v>3</v>
      </c>
      <c r="H59" s="30">
        <v>6.5</v>
      </c>
      <c r="I59" s="30">
        <v>6.5</v>
      </c>
      <c r="J59" s="30">
        <f t="shared" si="0"/>
        <v>0</v>
      </c>
      <c r="K59" s="30">
        <f t="shared" si="1"/>
        <v>0</v>
      </c>
      <c r="L59" s="30">
        <f t="shared" si="2"/>
        <v>0</v>
      </c>
      <c r="M59" s="9" t="str">
        <f t="shared" si="3"/>
        <v>Unverändert</v>
      </c>
    </row>
    <row r="60" spans="1:13" ht="30" customHeight="1" x14ac:dyDescent="0.3">
      <c r="A60" s="9">
        <v>55</v>
      </c>
      <c r="B60" s="6" t="str">
        <f>Postkarten!A55</f>
        <v>AK-2026-0054</v>
      </c>
      <c r="C60" s="8" t="str">
        <f>Postkarten!B55</f>
        <v>Tegernsee – Gesamtansicht mit See und Bergen</v>
      </c>
      <c r="D60" s="30">
        <f>Postkarten!L55</f>
        <v>3</v>
      </c>
      <c r="E60" s="30">
        <f>Postkarten!M55</f>
        <v>6.5</v>
      </c>
      <c r="F60" s="30">
        <f>Postkarten!N55</f>
        <v>6.5</v>
      </c>
      <c r="G60" s="30">
        <v>3</v>
      </c>
      <c r="H60" s="30">
        <v>6.5</v>
      </c>
      <c r="I60" s="30">
        <v>6.5</v>
      </c>
      <c r="J60" s="30">
        <f t="shared" si="0"/>
        <v>0</v>
      </c>
      <c r="K60" s="30">
        <f t="shared" si="1"/>
        <v>0</v>
      </c>
      <c r="L60" s="30">
        <f t="shared" si="2"/>
        <v>0</v>
      </c>
      <c r="M60" s="9" t="str">
        <f t="shared" si="3"/>
        <v>Unverändert</v>
      </c>
    </row>
    <row r="61" spans="1:13" ht="30" customHeight="1" x14ac:dyDescent="0.3">
      <c r="A61" s="9">
        <v>56</v>
      </c>
      <c r="B61" s="6" t="str">
        <f>Postkarten!A56</f>
        <v>AK-2026-0055</v>
      </c>
      <c r="C61" s="8" t="str">
        <f>Postkarten!B56</f>
        <v>Oberpfraudorf – Gruß aus Oberpfraudorf (Schreinerei &amp; Gemischtwaren Krottner)</v>
      </c>
      <c r="D61" s="30">
        <f>Postkarten!L56</f>
        <v>4</v>
      </c>
      <c r="E61" s="30">
        <f>Postkarten!M56</f>
        <v>9</v>
      </c>
      <c r="F61" s="30">
        <f>Postkarten!N56</f>
        <v>9</v>
      </c>
      <c r="G61" s="30">
        <v>4</v>
      </c>
      <c r="H61" s="30">
        <v>9</v>
      </c>
      <c r="I61" s="30">
        <v>9</v>
      </c>
      <c r="J61" s="30">
        <f t="shared" si="0"/>
        <v>0</v>
      </c>
      <c r="K61" s="30">
        <f t="shared" si="1"/>
        <v>0</v>
      </c>
      <c r="L61" s="30">
        <f t="shared" si="2"/>
        <v>0</v>
      </c>
      <c r="M61" s="9" t="str">
        <f t="shared" si="3"/>
        <v>Unverändert</v>
      </c>
    </row>
    <row r="62" spans="1:13" ht="30" customHeight="1" x14ac:dyDescent="0.3">
      <c r="A62" s="9">
        <v>57</v>
      </c>
      <c r="B62" s="6" t="str">
        <f>Postkarten!A57</f>
        <v>AK-2026-0056</v>
      </c>
      <c r="C62" s="8" t="str">
        <f>Postkarten!B57</f>
        <v>Regensburg – Steinerne Brücke, Salzspeicher und Dom</v>
      </c>
      <c r="D62" s="30">
        <f>Postkarten!L57</f>
        <v>2.5</v>
      </c>
      <c r="E62" s="30">
        <f>Postkarten!M57</f>
        <v>5.5</v>
      </c>
      <c r="F62" s="30">
        <f>Postkarten!N57</f>
        <v>5.5</v>
      </c>
      <c r="G62" s="30">
        <v>2.5</v>
      </c>
      <c r="H62" s="30">
        <v>5.5</v>
      </c>
      <c r="I62" s="30">
        <v>5.5</v>
      </c>
      <c r="J62" s="30">
        <f t="shared" si="0"/>
        <v>0</v>
      </c>
      <c r="K62" s="30">
        <f t="shared" si="1"/>
        <v>0</v>
      </c>
      <c r="L62" s="30">
        <f t="shared" si="2"/>
        <v>0</v>
      </c>
      <c r="M62" s="9" t="str">
        <f t="shared" si="3"/>
        <v>Unverändert</v>
      </c>
    </row>
    <row r="63" spans="1:13" ht="30" customHeight="1" x14ac:dyDescent="0.3">
      <c r="A63" s="9">
        <v>58</v>
      </c>
      <c r="B63" s="6" t="str">
        <f>Postkarten!A58</f>
        <v>AK-2026-0057</v>
      </c>
      <c r="C63" s="8" t="str">
        <f>Postkarten!B58</f>
        <v>Regensburg – Mehrfelderkarte (Steinerne Brücke, Walhalla, Donaupartie, Adolf-Hitler-Brücke)</v>
      </c>
      <c r="D63" s="30">
        <f>Postkarten!L58</f>
        <v>2.5</v>
      </c>
      <c r="E63" s="30">
        <f>Postkarten!M58</f>
        <v>5</v>
      </c>
      <c r="F63" s="30">
        <f>Postkarten!N58</f>
        <v>5</v>
      </c>
      <c r="G63" s="30">
        <v>2.5</v>
      </c>
      <c r="H63" s="30">
        <v>5</v>
      </c>
      <c r="I63" s="30">
        <v>5</v>
      </c>
      <c r="J63" s="30">
        <f t="shared" si="0"/>
        <v>0</v>
      </c>
      <c r="K63" s="30">
        <f t="shared" si="1"/>
        <v>0</v>
      </c>
      <c r="L63" s="30">
        <f t="shared" si="2"/>
        <v>0</v>
      </c>
      <c r="M63" s="9" t="str">
        <f t="shared" si="3"/>
        <v>Unverändert</v>
      </c>
    </row>
    <row r="64" spans="1:13" ht="30" customHeight="1" x14ac:dyDescent="0.3">
      <c r="A64" s="9">
        <v>59</v>
      </c>
      <c r="B64" s="6" t="str">
        <f>Postkarten!A59</f>
        <v>AK-2026-0058</v>
      </c>
      <c r="C64" s="8" t="str">
        <f>Postkarten!B59</f>
        <v>Altötting – Kapellplatz und Basilika</v>
      </c>
      <c r="D64" s="30">
        <f>Postkarten!L59</f>
        <v>3</v>
      </c>
      <c r="E64" s="30">
        <f>Postkarten!M59</f>
        <v>7</v>
      </c>
      <c r="F64" s="30">
        <f>Postkarten!N59</f>
        <v>7</v>
      </c>
      <c r="G64" s="30">
        <v>3</v>
      </c>
      <c r="H64" s="30">
        <v>7</v>
      </c>
      <c r="I64" s="30">
        <v>7</v>
      </c>
      <c r="J64" s="30">
        <f t="shared" si="0"/>
        <v>0</v>
      </c>
      <c r="K64" s="30">
        <f t="shared" si="1"/>
        <v>0</v>
      </c>
      <c r="L64" s="30">
        <f t="shared" si="2"/>
        <v>0</v>
      </c>
      <c r="M64" s="9" t="str">
        <f t="shared" si="3"/>
        <v>Unverändert</v>
      </c>
    </row>
    <row r="65" spans="1:13" ht="30" customHeight="1" x14ac:dyDescent="0.3">
      <c r="A65" s="9">
        <v>60</v>
      </c>
      <c r="B65" s="6" t="str">
        <f>Postkarten!A60</f>
        <v>AK-2026-0059</v>
      </c>
      <c r="C65" s="8" t="str">
        <f>Postkarten!B60</f>
        <v>Obersalzberg – Mehrfelderkarte mit historischen Motiven (Hitler-Haus, Kehlsteinhaus, Göring-Haus etc.)</v>
      </c>
      <c r="D65" s="30">
        <f>Postkarten!L60</f>
        <v>3</v>
      </c>
      <c r="E65" s="30">
        <f>Postkarten!M60</f>
        <v>7</v>
      </c>
      <c r="F65" s="30">
        <f>Postkarten!N60</f>
        <v>7</v>
      </c>
      <c r="G65" s="30">
        <v>3</v>
      </c>
      <c r="H65" s="30">
        <v>7</v>
      </c>
      <c r="I65" s="30">
        <v>7</v>
      </c>
      <c r="J65" s="30">
        <f t="shared" si="0"/>
        <v>0</v>
      </c>
      <c r="K65" s="30">
        <f t="shared" si="1"/>
        <v>0</v>
      </c>
      <c r="L65" s="30">
        <f t="shared" si="2"/>
        <v>0</v>
      </c>
      <c r="M65" s="9" t="str">
        <f t="shared" si="3"/>
        <v>Unverändert</v>
      </c>
    </row>
    <row r="66" spans="1:13" ht="30" customHeight="1" x14ac:dyDescent="0.3">
      <c r="A66" s="9">
        <v>61</v>
      </c>
      <c r="B66" s="6" t="str">
        <f>Postkarten!A61</f>
        <v>AK-2026-0060</v>
      </c>
      <c r="C66" s="8" t="str">
        <f>Postkarten!B61</f>
        <v>Lupburg – Gruss aus Lupburg (Ortsansicht mit Burg)</v>
      </c>
      <c r="D66" s="30">
        <f>Postkarten!L61</f>
        <v>5</v>
      </c>
      <c r="E66" s="30">
        <f>Postkarten!M61</f>
        <v>13</v>
      </c>
      <c r="F66" s="30">
        <f>Postkarten!N61</f>
        <v>13</v>
      </c>
      <c r="G66" s="30">
        <v>7</v>
      </c>
      <c r="H66" s="30">
        <v>15</v>
      </c>
      <c r="I66" s="30">
        <v>13</v>
      </c>
      <c r="J66" s="30">
        <f t="shared" si="0"/>
        <v>2</v>
      </c>
      <c r="K66" s="30">
        <f t="shared" si="1"/>
        <v>2</v>
      </c>
      <c r="L66" s="30">
        <f t="shared" si="2"/>
        <v>0</v>
      </c>
      <c r="M66" s="9" t="str">
        <f t="shared" si="3"/>
        <v>Unverändert</v>
      </c>
    </row>
    <row r="67" spans="1:13" ht="30" customHeight="1" x14ac:dyDescent="0.3">
      <c r="A67" s="9">
        <v>62</v>
      </c>
      <c r="B67" s="6" t="str">
        <f>Postkarten!A62</f>
        <v>AK-2026-0061</v>
      </c>
      <c r="C67" s="8" t="str">
        <f>Postkarten!B62</f>
        <v>Vichtenstein a. Donau – Burg Vichtenstein</v>
      </c>
      <c r="D67" s="30">
        <f>Postkarten!L62</f>
        <v>2.5</v>
      </c>
      <c r="E67" s="30">
        <f>Postkarten!M62</f>
        <v>5.5</v>
      </c>
      <c r="F67" s="30">
        <f>Postkarten!N62</f>
        <v>5.5</v>
      </c>
      <c r="G67" s="30">
        <v>2.5</v>
      </c>
      <c r="H67" s="30">
        <v>5.5</v>
      </c>
      <c r="I67" s="30">
        <v>5.5</v>
      </c>
      <c r="J67" s="30">
        <f t="shared" si="0"/>
        <v>0</v>
      </c>
      <c r="K67" s="30">
        <f t="shared" si="1"/>
        <v>0</v>
      </c>
      <c r="L67" s="30">
        <f t="shared" si="2"/>
        <v>0</v>
      </c>
      <c r="M67" s="9" t="str">
        <f t="shared" si="3"/>
        <v>Unverändert</v>
      </c>
    </row>
    <row r="68" spans="1:13" ht="30" customHeight="1" x14ac:dyDescent="0.3">
      <c r="A68" s="9">
        <v>63</v>
      </c>
      <c r="B68" s="6" t="str">
        <f>Postkarten!A63</f>
        <v>AK-2026-0062</v>
      </c>
      <c r="C68" s="8" t="str">
        <f>Postkarten!B63</f>
        <v>München – Theatinerkirche und Feldherrnhalle</v>
      </c>
      <c r="D68" s="30">
        <f>Postkarten!L63</f>
        <v>3</v>
      </c>
      <c r="E68" s="30">
        <f>Postkarten!M63</f>
        <v>7</v>
      </c>
      <c r="F68" s="30">
        <f>Postkarten!N63</f>
        <v>7</v>
      </c>
      <c r="G68" s="30">
        <v>3</v>
      </c>
      <c r="H68" s="30">
        <v>7</v>
      </c>
      <c r="I68" s="30">
        <v>7</v>
      </c>
      <c r="J68" s="30">
        <f t="shared" si="0"/>
        <v>0</v>
      </c>
      <c r="K68" s="30">
        <f t="shared" si="1"/>
        <v>0</v>
      </c>
      <c r="L68" s="30">
        <f t="shared" si="2"/>
        <v>0</v>
      </c>
      <c r="M68" s="9" t="str">
        <f t="shared" si="3"/>
        <v>Unverändert</v>
      </c>
    </row>
    <row r="69" spans="1:13" ht="30" customHeight="1" x14ac:dyDescent="0.3">
      <c r="A69" s="9">
        <v>64</v>
      </c>
      <c r="B69" s="6" t="str">
        <f>Postkarten!A64</f>
        <v>AK-2026-0063</v>
      </c>
      <c r="C69" s="8" t="str">
        <f>Postkarten!B64</f>
        <v>München – Maximilianskirche</v>
      </c>
      <c r="D69" s="30">
        <f>Postkarten!L64</f>
        <v>3</v>
      </c>
      <c r="E69" s="30">
        <f>Postkarten!M64</f>
        <v>7</v>
      </c>
      <c r="F69" s="30">
        <f>Postkarten!N64</f>
        <v>7</v>
      </c>
      <c r="G69" s="30">
        <v>3</v>
      </c>
      <c r="H69" s="30">
        <v>7</v>
      </c>
      <c r="I69" s="30">
        <v>7</v>
      </c>
      <c r="J69" s="30">
        <f t="shared" si="0"/>
        <v>0</v>
      </c>
      <c r="K69" s="30">
        <f t="shared" si="1"/>
        <v>0</v>
      </c>
      <c r="L69" s="30">
        <f t="shared" si="2"/>
        <v>0</v>
      </c>
      <c r="M69" s="9" t="str">
        <f t="shared" si="3"/>
        <v>Unverändert</v>
      </c>
    </row>
    <row r="70" spans="1:13" ht="30" customHeight="1" x14ac:dyDescent="0.3">
      <c r="A70" s="9">
        <v>65</v>
      </c>
      <c r="B70" s="6" t="str">
        <f>Postkarten!A65</f>
        <v>AK-2026-0064</v>
      </c>
      <c r="C70" s="8" t="str">
        <f>Postkarten!B65</f>
        <v>München – Prinzregenten-Theater</v>
      </c>
      <c r="D70" s="30">
        <f>Postkarten!L65</f>
        <v>3</v>
      </c>
      <c r="E70" s="30">
        <f>Postkarten!M65</f>
        <v>7</v>
      </c>
      <c r="F70" s="30">
        <f>Postkarten!N65</f>
        <v>7</v>
      </c>
      <c r="G70" s="30">
        <v>3</v>
      </c>
      <c r="H70" s="30">
        <v>7</v>
      </c>
      <c r="I70" s="30">
        <v>7</v>
      </c>
      <c r="J70" s="30">
        <f t="shared" si="0"/>
        <v>0</v>
      </c>
      <c r="K70" s="30">
        <f t="shared" si="1"/>
        <v>0</v>
      </c>
      <c r="L70" s="30">
        <f t="shared" si="2"/>
        <v>0</v>
      </c>
      <c r="M70" s="9" t="str">
        <f t="shared" si="3"/>
        <v>Unverändert</v>
      </c>
    </row>
    <row r="71" spans="1:13" ht="30" customHeight="1" x14ac:dyDescent="0.3">
      <c r="A71" s="9">
        <v>66</v>
      </c>
      <c r="B71" s="6" t="str">
        <f>Postkarten!A66</f>
        <v>AK-2026-0065</v>
      </c>
      <c r="C71" s="8" t="str">
        <f>Postkarten!B66</f>
        <v>München – Frauenkirche</v>
      </c>
      <c r="D71" s="30">
        <f>Postkarten!L66</f>
        <v>3</v>
      </c>
      <c r="E71" s="30">
        <f>Postkarten!M66</f>
        <v>7</v>
      </c>
      <c r="F71" s="30">
        <f>Postkarten!N66</f>
        <v>7</v>
      </c>
      <c r="G71" s="30">
        <v>3</v>
      </c>
      <c r="H71" s="30">
        <v>7</v>
      </c>
      <c r="I71" s="30">
        <v>7</v>
      </c>
      <c r="J71" s="30">
        <f t="shared" si="0"/>
        <v>0</v>
      </c>
      <c r="K71" s="30">
        <f t="shared" si="1"/>
        <v>0</v>
      </c>
      <c r="L71" s="30">
        <f t="shared" si="2"/>
        <v>0</v>
      </c>
      <c r="M71" s="9" t="str">
        <f t="shared" si="3"/>
        <v>Unverändert</v>
      </c>
    </row>
    <row r="72" spans="1:13" ht="30" customHeight="1" x14ac:dyDescent="0.3">
      <c r="A72" s="9">
        <v>67</v>
      </c>
      <c r="B72" s="6" t="str">
        <f>Postkarten!A67</f>
        <v>AK-2026-0066</v>
      </c>
      <c r="C72" s="8" t="str">
        <f>Postkarten!B67</f>
        <v>München – Neues Rathaus</v>
      </c>
      <c r="D72" s="30">
        <f>Postkarten!L67</f>
        <v>4</v>
      </c>
      <c r="E72" s="30">
        <f>Postkarten!M67</f>
        <v>10</v>
      </c>
      <c r="F72" s="30">
        <f>Postkarten!N67</f>
        <v>10</v>
      </c>
      <c r="G72" s="30">
        <v>4</v>
      </c>
      <c r="H72" s="30">
        <v>10</v>
      </c>
      <c r="I72" s="30">
        <v>10</v>
      </c>
      <c r="J72" s="30">
        <f t="shared" ref="J72:J135" si="4">G72-D72</f>
        <v>0</v>
      </c>
      <c r="K72" s="30">
        <f t="shared" ref="K72:K135" si="5">H72-E72</f>
        <v>0</v>
      </c>
      <c r="L72" s="30">
        <f t="shared" ref="L72:L135" si="6">I72-F72</f>
        <v>0</v>
      </c>
      <c r="M72" s="9" t="str">
        <f t="shared" ref="M72:M135" si="7">IF(L72&gt;0,"Erhöhen",IF(L72&lt;0,"Senken","Unverändert"))</f>
        <v>Unverändert</v>
      </c>
    </row>
    <row r="73" spans="1:13" ht="30" customHeight="1" x14ac:dyDescent="0.3">
      <c r="A73" s="9">
        <v>68</v>
      </c>
      <c r="B73" s="6" t="str">
        <f>Postkarten!A68</f>
        <v>AK-2026-0067</v>
      </c>
      <c r="C73" s="8" t="str">
        <f>Postkarten!B68</f>
        <v>Bayreuth – Röhrensee mit Springbrunnen</v>
      </c>
      <c r="D73" s="30">
        <f>Postkarten!L68</f>
        <v>2.5</v>
      </c>
      <c r="E73" s="30">
        <f>Postkarten!M68</f>
        <v>5.5</v>
      </c>
      <c r="F73" s="30">
        <f>Postkarten!N68</f>
        <v>5.5</v>
      </c>
      <c r="G73" s="30">
        <v>2.5</v>
      </c>
      <c r="H73" s="30">
        <v>5.5</v>
      </c>
      <c r="I73" s="30">
        <v>5.5</v>
      </c>
      <c r="J73" s="30">
        <f t="shared" si="4"/>
        <v>0</v>
      </c>
      <c r="K73" s="30">
        <f t="shared" si="5"/>
        <v>0</v>
      </c>
      <c r="L73" s="30">
        <f t="shared" si="6"/>
        <v>0</v>
      </c>
      <c r="M73" s="9" t="str">
        <f t="shared" si="7"/>
        <v>Unverändert</v>
      </c>
    </row>
    <row r="74" spans="1:13" ht="30" customHeight="1" x14ac:dyDescent="0.3">
      <c r="A74" s="9">
        <v>69</v>
      </c>
      <c r="B74" s="6" t="str">
        <f>Postkarten!A69</f>
        <v>AK-2026-0068</v>
      </c>
      <c r="C74" s="8" t="str">
        <f>Postkarten!B69</f>
        <v>Bayreuth – Justizpalast</v>
      </c>
      <c r="D74" s="30">
        <f>Postkarten!L69</f>
        <v>3</v>
      </c>
      <c r="E74" s="30">
        <f>Postkarten!M69</f>
        <v>7</v>
      </c>
      <c r="F74" s="30">
        <f>Postkarten!N69</f>
        <v>7</v>
      </c>
      <c r="G74" s="30">
        <v>3</v>
      </c>
      <c r="H74" s="30">
        <v>7</v>
      </c>
      <c r="I74" s="30">
        <v>7</v>
      </c>
      <c r="J74" s="30">
        <f t="shared" si="4"/>
        <v>0</v>
      </c>
      <c r="K74" s="30">
        <f t="shared" si="5"/>
        <v>0</v>
      </c>
      <c r="L74" s="30">
        <f t="shared" si="6"/>
        <v>0</v>
      </c>
      <c r="M74" s="9" t="str">
        <f t="shared" si="7"/>
        <v>Unverändert</v>
      </c>
    </row>
    <row r="75" spans="1:13" ht="30" customHeight="1" x14ac:dyDescent="0.3">
      <c r="A75" s="9">
        <v>70</v>
      </c>
      <c r="B75" s="6" t="str">
        <f>Postkarten!A70</f>
        <v>AK-2026-0069</v>
      </c>
      <c r="C75" s="8" t="str">
        <f>Postkarten!B70</f>
        <v>Nürnberg – Panorama vom Sebaldusturm</v>
      </c>
      <c r="D75" s="30">
        <f>Postkarten!L70</f>
        <v>3</v>
      </c>
      <c r="E75" s="30">
        <f>Postkarten!M70</f>
        <v>7</v>
      </c>
      <c r="F75" s="30">
        <f>Postkarten!N70</f>
        <v>7</v>
      </c>
      <c r="G75" s="30">
        <v>3</v>
      </c>
      <c r="H75" s="30">
        <v>7</v>
      </c>
      <c r="I75" s="30">
        <v>7</v>
      </c>
      <c r="J75" s="30">
        <f t="shared" si="4"/>
        <v>0</v>
      </c>
      <c r="K75" s="30">
        <f t="shared" si="5"/>
        <v>0</v>
      </c>
      <c r="L75" s="30">
        <f t="shared" si="6"/>
        <v>0</v>
      </c>
      <c r="M75" s="9" t="str">
        <f t="shared" si="7"/>
        <v>Unverändert</v>
      </c>
    </row>
    <row r="76" spans="1:13" ht="30" customHeight="1" x14ac:dyDescent="0.3">
      <c r="A76" s="9">
        <v>71</v>
      </c>
      <c r="B76" s="6" t="str">
        <f>Postkarten!A71</f>
        <v>AK-2026-0070</v>
      </c>
      <c r="C76" s="8" t="str">
        <f>Postkarten!B71</f>
        <v>Oberammergau – Passionstheater 1900 (Blick in den Zuschauerraum)</v>
      </c>
      <c r="D76" s="30">
        <f>Postkarten!L71</f>
        <v>4</v>
      </c>
      <c r="E76" s="30">
        <f>Postkarten!M71</f>
        <v>10</v>
      </c>
      <c r="F76" s="30">
        <f>Postkarten!N71</f>
        <v>10</v>
      </c>
      <c r="G76" s="30">
        <v>4</v>
      </c>
      <c r="H76" s="30">
        <v>10</v>
      </c>
      <c r="I76" s="30">
        <v>10</v>
      </c>
      <c r="J76" s="30">
        <f t="shared" si="4"/>
        <v>0</v>
      </c>
      <c r="K76" s="30">
        <f t="shared" si="5"/>
        <v>0</v>
      </c>
      <c r="L76" s="30">
        <f t="shared" si="6"/>
        <v>0</v>
      </c>
      <c r="M76" s="9" t="str">
        <f t="shared" si="7"/>
        <v>Unverändert</v>
      </c>
    </row>
    <row r="77" spans="1:13" ht="30" customHeight="1" x14ac:dyDescent="0.3">
      <c r="A77" s="9">
        <v>72</v>
      </c>
      <c r="B77" s="6" t="str">
        <f>Postkarten!A72</f>
        <v>AK-2026-0071</v>
      </c>
      <c r="C77" s="8" t="str">
        <f>Postkarten!B72</f>
        <v>München – Bavaria und Ruhmeshalle</v>
      </c>
      <c r="D77" s="30">
        <f>Postkarten!L72</f>
        <v>3</v>
      </c>
      <c r="E77" s="30">
        <f>Postkarten!M72</f>
        <v>7</v>
      </c>
      <c r="F77" s="30">
        <f>Postkarten!N72</f>
        <v>7</v>
      </c>
      <c r="G77" s="30">
        <v>3</v>
      </c>
      <c r="H77" s="30">
        <v>7</v>
      </c>
      <c r="I77" s="30">
        <v>7</v>
      </c>
      <c r="J77" s="30">
        <f t="shared" si="4"/>
        <v>0</v>
      </c>
      <c r="K77" s="30">
        <f t="shared" si="5"/>
        <v>0</v>
      </c>
      <c r="L77" s="30">
        <f t="shared" si="6"/>
        <v>0</v>
      </c>
      <c r="M77" s="9" t="str">
        <f t="shared" si="7"/>
        <v>Unverändert</v>
      </c>
    </row>
    <row r="78" spans="1:13" ht="30" customHeight="1" x14ac:dyDescent="0.3">
      <c r="A78" s="9">
        <v>73</v>
      </c>
      <c r="B78" s="6" t="str">
        <f>Postkarten!A73</f>
        <v>AK-2026-0072</v>
      </c>
      <c r="C78" s="8" t="str">
        <f>Postkarten!B73</f>
        <v>München – Maximiliansbrücke mit Maximilianeum</v>
      </c>
      <c r="D78" s="30">
        <f>Postkarten!L73</f>
        <v>4</v>
      </c>
      <c r="E78" s="30">
        <f>Postkarten!M73</f>
        <v>10</v>
      </c>
      <c r="F78" s="30">
        <f>Postkarten!N73</f>
        <v>10</v>
      </c>
      <c r="G78" s="30">
        <v>4</v>
      </c>
      <c r="H78" s="30">
        <v>10</v>
      </c>
      <c r="I78" s="30">
        <v>10</v>
      </c>
      <c r="J78" s="30">
        <f t="shared" si="4"/>
        <v>0</v>
      </c>
      <c r="K78" s="30">
        <f t="shared" si="5"/>
        <v>0</v>
      </c>
      <c r="L78" s="30">
        <f t="shared" si="6"/>
        <v>0</v>
      </c>
      <c r="M78" s="9" t="str">
        <f t="shared" si="7"/>
        <v>Unverändert</v>
      </c>
    </row>
    <row r="79" spans="1:13" ht="30" customHeight="1" x14ac:dyDescent="0.3">
      <c r="A79" s="9">
        <v>74</v>
      </c>
      <c r="B79" s="6" t="str">
        <f>Postkarten!A74</f>
        <v>AK-2026-0073</v>
      </c>
      <c r="C79" s="8" t="str">
        <f>Postkarten!B74</f>
        <v>Nürnberg – Königstrasse mit Künstlerhaus</v>
      </c>
      <c r="D79" s="30">
        <f>Postkarten!L74</f>
        <v>2.5</v>
      </c>
      <c r="E79" s="30">
        <f>Postkarten!M74</f>
        <v>6</v>
      </c>
      <c r="F79" s="30">
        <f>Postkarten!N74</f>
        <v>6</v>
      </c>
      <c r="G79" s="30">
        <v>2.5</v>
      </c>
      <c r="H79" s="30">
        <v>6</v>
      </c>
      <c r="I79" s="30">
        <v>6</v>
      </c>
      <c r="J79" s="30">
        <f t="shared" si="4"/>
        <v>0</v>
      </c>
      <c r="K79" s="30">
        <f t="shared" si="5"/>
        <v>0</v>
      </c>
      <c r="L79" s="30">
        <f t="shared" si="6"/>
        <v>0</v>
      </c>
      <c r="M79" s="9" t="str">
        <f t="shared" si="7"/>
        <v>Unverändert</v>
      </c>
    </row>
    <row r="80" spans="1:13" ht="30" customHeight="1" x14ac:dyDescent="0.3">
      <c r="A80" s="9">
        <v>75</v>
      </c>
      <c r="B80" s="6" t="str">
        <f>Postkarten!A75</f>
        <v>AK-2026-0074</v>
      </c>
      <c r="C80" s="8" t="str">
        <f>Postkarten!B75</f>
        <v>Dresden – Postplatz</v>
      </c>
      <c r="D80" s="30">
        <f>Postkarten!L75</f>
        <v>4</v>
      </c>
      <c r="E80" s="30">
        <f>Postkarten!M75</f>
        <v>9</v>
      </c>
      <c r="F80" s="30">
        <f>Postkarten!N75</f>
        <v>9</v>
      </c>
      <c r="G80" s="30">
        <v>4</v>
      </c>
      <c r="H80" s="30">
        <v>9</v>
      </c>
      <c r="I80" s="30">
        <v>9</v>
      </c>
      <c r="J80" s="30">
        <f t="shared" si="4"/>
        <v>0</v>
      </c>
      <c r="K80" s="30">
        <f t="shared" si="5"/>
        <v>0</v>
      </c>
      <c r="L80" s="30">
        <f t="shared" si="6"/>
        <v>0</v>
      </c>
      <c r="M80" s="9" t="str">
        <f t="shared" si="7"/>
        <v>Unverändert</v>
      </c>
    </row>
    <row r="81" spans="1:13" ht="30" customHeight="1" x14ac:dyDescent="0.3">
      <c r="A81" s="9">
        <v>76</v>
      </c>
      <c r="B81" s="6" t="str">
        <f>Postkarten!A76</f>
        <v>AK-2026-0075</v>
      </c>
      <c r="C81" s="8" t="str">
        <f>Postkarten!B76</f>
        <v>Ansbach – Mehrbild-Ansichtskarte (9 Motive)</v>
      </c>
      <c r="D81" s="30">
        <f>Postkarten!L76</f>
        <v>2</v>
      </c>
      <c r="E81" s="30">
        <f>Postkarten!M76</f>
        <v>5</v>
      </c>
      <c r="F81" s="30">
        <f>Postkarten!N76</f>
        <v>5</v>
      </c>
      <c r="G81" s="30">
        <v>2</v>
      </c>
      <c r="H81" s="30">
        <v>5</v>
      </c>
      <c r="I81" s="30">
        <v>5</v>
      </c>
      <c r="J81" s="30">
        <f t="shared" si="4"/>
        <v>0</v>
      </c>
      <c r="K81" s="30">
        <f t="shared" si="5"/>
        <v>0</v>
      </c>
      <c r="L81" s="30">
        <f t="shared" si="6"/>
        <v>0</v>
      </c>
      <c r="M81" s="9" t="str">
        <f t="shared" si="7"/>
        <v>Unverändert</v>
      </c>
    </row>
    <row r="82" spans="1:13" ht="30" customHeight="1" x14ac:dyDescent="0.3">
      <c r="A82" s="9">
        <v>77</v>
      </c>
      <c r="B82" s="6" t="str">
        <f>Postkarten!A77</f>
        <v>AK-2026-0076</v>
      </c>
      <c r="C82" s="8" t="str">
        <f>Postkarten!B77</f>
        <v>Passau – Festung Oberhaus</v>
      </c>
      <c r="D82" s="30">
        <f>Postkarten!L77</f>
        <v>3</v>
      </c>
      <c r="E82" s="30">
        <f>Postkarten!M77</f>
        <v>7</v>
      </c>
      <c r="F82" s="30">
        <f>Postkarten!N77</f>
        <v>7</v>
      </c>
      <c r="G82" s="30">
        <v>3</v>
      </c>
      <c r="H82" s="30">
        <v>7</v>
      </c>
      <c r="I82" s="30">
        <v>7</v>
      </c>
      <c r="J82" s="30">
        <f t="shared" si="4"/>
        <v>0</v>
      </c>
      <c r="K82" s="30">
        <f t="shared" si="5"/>
        <v>0</v>
      </c>
      <c r="L82" s="30">
        <f t="shared" si="6"/>
        <v>0</v>
      </c>
      <c r="M82" s="9" t="str">
        <f t="shared" si="7"/>
        <v>Unverändert</v>
      </c>
    </row>
    <row r="83" spans="1:13" ht="30" customHeight="1" x14ac:dyDescent="0.3">
      <c r="A83" s="9">
        <v>78</v>
      </c>
      <c r="B83" s="6" t="str">
        <f>Postkarten!A78</f>
        <v>AK-2026-0077</v>
      </c>
      <c r="C83" s="8" t="str">
        <f>Postkarten!B78</f>
        <v>Metten – Kloster und Gesamtansicht</v>
      </c>
      <c r="D83" s="30">
        <f>Postkarten!L78</f>
        <v>3</v>
      </c>
      <c r="E83" s="30">
        <f>Postkarten!M78</f>
        <v>7</v>
      </c>
      <c r="F83" s="30">
        <f>Postkarten!N78</f>
        <v>7</v>
      </c>
      <c r="G83" s="30">
        <v>3</v>
      </c>
      <c r="H83" s="30">
        <v>7</v>
      </c>
      <c r="I83" s="30">
        <v>7</v>
      </c>
      <c r="J83" s="30">
        <f t="shared" si="4"/>
        <v>0</v>
      </c>
      <c r="K83" s="30">
        <f t="shared" si="5"/>
        <v>0</v>
      </c>
      <c r="L83" s="30">
        <f t="shared" si="6"/>
        <v>0</v>
      </c>
      <c r="M83" s="9" t="str">
        <f t="shared" si="7"/>
        <v>Unverändert</v>
      </c>
    </row>
    <row r="84" spans="1:13" ht="30" customHeight="1" x14ac:dyDescent="0.3">
      <c r="A84" s="9">
        <v>79</v>
      </c>
      <c r="B84" s="6" t="str">
        <f>Postkarten!A79</f>
        <v>AK-2026-0078</v>
      </c>
      <c r="C84" s="8" t="str">
        <f>Postkarten!B79</f>
        <v>München – Frauenkirche von der Michaeliskirche</v>
      </c>
      <c r="D84" s="30">
        <f>Postkarten!L79</f>
        <v>4</v>
      </c>
      <c r="E84" s="30">
        <f>Postkarten!M79</f>
        <v>8</v>
      </c>
      <c r="F84" s="30">
        <f>Postkarten!N79</f>
        <v>8</v>
      </c>
      <c r="G84" s="30">
        <v>4</v>
      </c>
      <c r="H84" s="30">
        <v>8</v>
      </c>
      <c r="I84" s="30">
        <v>8</v>
      </c>
      <c r="J84" s="30">
        <f t="shared" si="4"/>
        <v>0</v>
      </c>
      <c r="K84" s="30">
        <f t="shared" si="5"/>
        <v>0</v>
      </c>
      <c r="L84" s="30">
        <f t="shared" si="6"/>
        <v>0</v>
      </c>
      <c r="M84" s="9" t="str">
        <f t="shared" si="7"/>
        <v>Unverändert</v>
      </c>
    </row>
    <row r="85" spans="1:13" ht="30" customHeight="1" x14ac:dyDescent="0.3">
      <c r="A85" s="9">
        <v>80</v>
      </c>
      <c r="B85" s="6" t="str">
        <f>Postkarten!A80</f>
        <v>AK-2026-0079</v>
      </c>
      <c r="C85" s="8" t="str">
        <f>Postkarten!B80</f>
        <v>Gruss aus Regensburg – St. Theresienkirche in Kumpfmühl</v>
      </c>
      <c r="D85" s="30">
        <f>Postkarten!L80</f>
        <v>4</v>
      </c>
      <c r="E85" s="30">
        <f>Postkarten!M80</f>
        <v>8</v>
      </c>
      <c r="F85" s="30">
        <f>Postkarten!N80</f>
        <v>8</v>
      </c>
      <c r="G85" s="30">
        <v>4</v>
      </c>
      <c r="H85" s="30">
        <v>8</v>
      </c>
      <c r="I85" s="30">
        <v>8</v>
      </c>
      <c r="J85" s="30">
        <f t="shared" si="4"/>
        <v>0</v>
      </c>
      <c r="K85" s="30">
        <f t="shared" si="5"/>
        <v>0</v>
      </c>
      <c r="L85" s="30">
        <f t="shared" si="6"/>
        <v>0</v>
      </c>
      <c r="M85" s="9" t="str">
        <f t="shared" si="7"/>
        <v>Unverändert</v>
      </c>
    </row>
    <row r="86" spans="1:13" ht="30" customHeight="1" x14ac:dyDescent="0.3">
      <c r="A86" s="9">
        <v>81</v>
      </c>
      <c r="B86" s="6" t="str">
        <f>Postkarten!A81</f>
        <v>AK-2026-0080</v>
      </c>
      <c r="C86" s="8" t="str">
        <f>Postkarten!B81</f>
        <v>Eger – Mehrbild-Ansichtskarte (Historische Stadtansichten)</v>
      </c>
      <c r="D86" s="30">
        <f>Postkarten!L81</f>
        <v>4</v>
      </c>
      <c r="E86" s="30">
        <f>Postkarten!M81</f>
        <v>9</v>
      </c>
      <c r="F86" s="30">
        <f>Postkarten!N81</f>
        <v>9</v>
      </c>
      <c r="G86" s="30">
        <v>4</v>
      </c>
      <c r="H86" s="30">
        <v>9</v>
      </c>
      <c r="I86" s="30">
        <v>9</v>
      </c>
      <c r="J86" s="30">
        <f t="shared" si="4"/>
        <v>0</v>
      </c>
      <c r="K86" s="30">
        <f t="shared" si="5"/>
        <v>0</v>
      </c>
      <c r="L86" s="30">
        <f t="shared" si="6"/>
        <v>0</v>
      </c>
      <c r="M86" s="9" t="str">
        <f t="shared" si="7"/>
        <v>Unverändert</v>
      </c>
    </row>
    <row r="87" spans="1:13" ht="30" customHeight="1" x14ac:dyDescent="0.3">
      <c r="A87" s="9">
        <v>82</v>
      </c>
      <c r="B87" s="6" t="str">
        <f>Postkarten!A82</f>
        <v>AK-2026-0081</v>
      </c>
      <c r="C87" s="8" t="str">
        <f>Postkarten!B82</f>
        <v>Regensburg – Adolf-Hitler-Brücke (Nibelungenbrücke)</v>
      </c>
      <c r="D87" s="30">
        <f>Postkarten!L82</f>
        <v>3</v>
      </c>
      <c r="E87" s="30">
        <f>Postkarten!M82</f>
        <v>7</v>
      </c>
      <c r="F87" s="30">
        <f>Postkarten!N82</f>
        <v>7</v>
      </c>
      <c r="G87" s="30">
        <v>3</v>
      </c>
      <c r="H87" s="30">
        <v>7</v>
      </c>
      <c r="I87" s="30">
        <v>7</v>
      </c>
      <c r="J87" s="30">
        <f t="shared" si="4"/>
        <v>0</v>
      </c>
      <c r="K87" s="30">
        <f t="shared" si="5"/>
        <v>0</v>
      </c>
      <c r="L87" s="30">
        <f t="shared" si="6"/>
        <v>0</v>
      </c>
      <c r="M87" s="9" t="str">
        <f t="shared" si="7"/>
        <v>Unverändert</v>
      </c>
    </row>
    <row r="88" spans="1:13" ht="30" customHeight="1" x14ac:dyDescent="0.3">
      <c r="A88" s="9">
        <v>83</v>
      </c>
      <c r="B88" s="6" t="str">
        <f>Postkarten!A83</f>
        <v>AK-2026-0082</v>
      </c>
      <c r="C88" s="8" t="str">
        <f>Postkarten!B83</f>
        <v>Regensburg a. d. Donau – Blick auf den Dom</v>
      </c>
      <c r="D88" s="30">
        <f>Postkarten!L83</f>
        <v>3</v>
      </c>
      <c r="E88" s="30">
        <f>Postkarten!M83</f>
        <v>7</v>
      </c>
      <c r="F88" s="30">
        <f>Postkarten!N83</f>
        <v>7</v>
      </c>
      <c r="G88" s="30">
        <v>3</v>
      </c>
      <c r="H88" s="30">
        <v>7</v>
      </c>
      <c r="I88" s="30">
        <v>7</v>
      </c>
      <c r="J88" s="30">
        <f t="shared" si="4"/>
        <v>0</v>
      </c>
      <c r="K88" s="30">
        <f t="shared" si="5"/>
        <v>0</v>
      </c>
      <c r="L88" s="30">
        <f t="shared" si="6"/>
        <v>0</v>
      </c>
      <c r="M88" s="9" t="str">
        <f t="shared" si="7"/>
        <v>Unverändert</v>
      </c>
    </row>
    <row r="89" spans="1:13" ht="30" customHeight="1" x14ac:dyDescent="0.3">
      <c r="A89" s="9">
        <v>84</v>
      </c>
      <c r="B89" s="6" t="str">
        <f>Postkarten!A84</f>
        <v>AK-2026-0083</v>
      </c>
      <c r="C89" s="8" t="str">
        <f>Postkarten!B84</f>
        <v>München – Isarpartie mit Maximilianskirche</v>
      </c>
      <c r="D89" s="30">
        <f>Postkarten!L84</f>
        <v>4</v>
      </c>
      <c r="E89" s="30">
        <f>Postkarten!M84</f>
        <v>8</v>
      </c>
      <c r="F89" s="30">
        <f>Postkarten!N84</f>
        <v>8</v>
      </c>
      <c r="G89" s="30">
        <v>4</v>
      </c>
      <c r="H89" s="30">
        <v>8</v>
      </c>
      <c r="I89" s="30">
        <v>8</v>
      </c>
      <c r="J89" s="30">
        <f t="shared" si="4"/>
        <v>0</v>
      </c>
      <c r="K89" s="30">
        <f t="shared" si="5"/>
        <v>0</v>
      </c>
      <c r="L89" s="30">
        <f t="shared" si="6"/>
        <v>0</v>
      </c>
      <c r="M89" s="9" t="str">
        <f t="shared" si="7"/>
        <v>Unverändert</v>
      </c>
    </row>
    <row r="90" spans="1:13" ht="30" customHeight="1" x14ac:dyDescent="0.3">
      <c r="A90" s="9">
        <v>85</v>
      </c>
      <c r="B90" s="6" t="str">
        <f>Postkarten!A85</f>
        <v>AK-2026-0084</v>
      </c>
      <c r="C90" s="8" t="str">
        <f>Postkarten!B85</f>
        <v>Prinz Regent Luitpold von Bayern – Jubiläums-Postkarte 1821–1911</v>
      </c>
      <c r="D90" s="30">
        <f>Postkarten!L85</f>
        <v>8</v>
      </c>
      <c r="E90" s="30">
        <f>Postkarten!M85</f>
        <v>18</v>
      </c>
      <c r="F90" s="30">
        <f>Postkarten!N85</f>
        <v>18</v>
      </c>
      <c r="G90" s="30">
        <v>7</v>
      </c>
      <c r="H90" s="30">
        <v>14</v>
      </c>
      <c r="I90" s="30">
        <v>12</v>
      </c>
      <c r="J90" s="30">
        <f t="shared" si="4"/>
        <v>-1</v>
      </c>
      <c r="K90" s="30">
        <f t="shared" si="5"/>
        <v>-4</v>
      </c>
      <c r="L90" s="30">
        <f t="shared" si="6"/>
        <v>-6</v>
      </c>
      <c r="M90" s="9" t="str">
        <f t="shared" si="7"/>
        <v>Senken</v>
      </c>
    </row>
    <row r="91" spans="1:13" ht="30" customHeight="1" x14ac:dyDescent="0.3">
      <c r="A91" s="9">
        <v>86</v>
      </c>
      <c r="B91" s="6" t="str">
        <f>Postkarten!A86</f>
        <v>AK-2026-0085</v>
      </c>
      <c r="C91" s="8" t="str">
        <f>Postkarten!B86</f>
        <v>Prinz Regent Luitpold von Bayern – Jubiläums-Postkarte mit Mädchen (1911)</v>
      </c>
      <c r="D91" s="30">
        <f>Postkarten!L86</f>
        <v>8</v>
      </c>
      <c r="E91" s="30">
        <f>Postkarten!M86</f>
        <v>18</v>
      </c>
      <c r="F91" s="30">
        <f>Postkarten!N86</f>
        <v>18</v>
      </c>
      <c r="G91" s="30">
        <v>7</v>
      </c>
      <c r="H91" s="30">
        <v>14</v>
      </c>
      <c r="I91" s="30">
        <v>12</v>
      </c>
      <c r="J91" s="30">
        <f t="shared" si="4"/>
        <v>-1</v>
      </c>
      <c r="K91" s="30">
        <f t="shared" si="5"/>
        <v>-4</v>
      </c>
      <c r="L91" s="30">
        <f t="shared" si="6"/>
        <v>-6</v>
      </c>
      <c r="M91" s="9" t="str">
        <f t="shared" si="7"/>
        <v>Senken</v>
      </c>
    </row>
    <row r="92" spans="1:13" ht="30" customHeight="1" x14ac:dyDescent="0.3">
      <c r="A92" s="9">
        <v>87</v>
      </c>
      <c r="B92" s="6" t="str">
        <f>Postkarten!A87</f>
        <v>AK-2026-0086</v>
      </c>
      <c r="C92" s="8" t="str">
        <f>Postkarten!B87</f>
        <v>München – Blick auf Frauenkirche und Rathaus</v>
      </c>
      <c r="D92" s="30">
        <f>Postkarten!L87</f>
        <v>4</v>
      </c>
      <c r="E92" s="30">
        <f>Postkarten!M87</f>
        <v>8</v>
      </c>
      <c r="F92" s="30">
        <f>Postkarten!N87</f>
        <v>8</v>
      </c>
      <c r="G92" s="30">
        <v>4</v>
      </c>
      <c r="H92" s="30">
        <v>8</v>
      </c>
      <c r="I92" s="30">
        <v>8</v>
      </c>
      <c r="J92" s="30">
        <f t="shared" si="4"/>
        <v>0</v>
      </c>
      <c r="K92" s="30">
        <f t="shared" si="5"/>
        <v>0</v>
      </c>
      <c r="L92" s="30">
        <f t="shared" si="6"/>
        <v>0</v>
      </c>
      <c r="M92" s="9" t="str">
        <f t="shared" si="7"/>
        <v>Unverändert</v>
      </c>
    </row>
    <row r="93" spans="1:13" ht="30" customHeight="1" x14ac:dyDescent="0.3">
      <c r="A93" s="9">
        <v>88</v>
      </c>
      <c r="B93" s="6" t="str">
        <f>Postkarten!A88</f>
        <v>AK-2026-0087</v>
      </c>
      <c r="C93" s="8" t="str">
        <f>Postkarten!B88</f>
        <v>Lupburg i. d. Obpf. – Ortsansicht mit Burg</v>
      </c>
      <c r="D93" s="30">
        <f>Postkarten!L88</f>
        <v>4</v>
      </c>
      <c r="E93" s="30">
        <f>Postkarten!M88</f>
        <v>10</v>
      </c>
      <c r="F93" s="30">
        <f>Postkarten!N88</f>
        <v>10</v>
      </c>
      <c r="G93" s="30">
        <v>6</v>
      </c>
      <c r="H93" s="30">
        <v>12</v>
      </c>
      <c r="I93" s="30">
        <v>10</v>
      </c>
      <c r="J93" s="30">
        <f t="shared" si="4"/>
        <v>2</v>
      </c>
      <c r="K93" s="30">
        <f t="shared" si="5"/>
        <v>2</v>
      </c>
      <c r="L93" s="30">
        <f t="shared" si="6"/>
        <v>0</v>
      </c>
      <c r="M93" s="9" t="str">
        <f t="shared" si="7"/>
        <v>Unverändert</v>
      </c>
    </row>
    <row r="94" spans="1:13" ht="30" customHeight="1" x14ac:dyDescent="0.3">
      <c r="A94" s="9">
        <v>89</v>
      </c>
      <c r="B94" s="6" t="str">
        <f>Postkarten!A89</f>
        <v>AK-2026-0088</v>
      </c>
      <c r="C94" s="8" t="str">
        <f>Postkarten!B89</f>
        <v>Schloß Neuschwanstein, 1008 m ü. M.</v>
      </c>
      <c r="D94" s="30">
        <f>Postkarten!L89</f>
        <v>4</v>
      </c>
      <c r="E94" s="30">
        <f>Postkarten!M89</f>
        <v>8</v>
      </c>
      <c r="F94" s="30">
        <f>Postkarten!N89</f>
        <v>8</v>
      </c>
      <c r="G94" s="30">
        <v>4</v>
      </c>
      <c r="H94" s="30">
        <v>8</v>
      </c>
      <c r="I94" s="30">
        <v>8</v>
      </c>
      <c r="J94" s="30">
        <f t="shared" si="4"/>
        <v>0</v>
      </c>
      <c r="K94" s="30">
        <f t="shared" si="5"/>
        <v>0</v>
      </c>
      <c r="L94" s="30">
        <f t="shared" si="6"/>
        <v>0</v>
      </c>
      <c r="M94" s="9" t="str">
        <f t="shared" si="7"/>
        <v>Unverändert</v>
      </c>
    </row>
    <row r="95" spans="1:13" ht="30" customHeight="1" x14ac:dyDescent="0.3">
      <c r="A95" s="9">
        <v>90</v>
      </c>
      <c r="B95" s="6" t="str">
        <f>Postkarten!A90</f>
        <v>AK-2026-0089</v>
      </c>
      <c r="C95" s="8" t="str">
        <f>Postkarten!B90</f>
        <v>Marktredwitz – Am Schwanenteich im Stadtpark</v>
      </c>
      <c r="D95" s="30">
        <f>Postkarten!L90</f>
        <v>5</v>
      </c>
      <c r="E95" s="30">
        <f>Postkarten!M90</f>
        <v>10</v>
      </c>
      <c r="F95" s="30">
        <f>Postkarten!N90</f>
        <v>10</v>
      </c>
      <c r="G95" s="30">
        <v>5</v>
      </c>
      <c r="H95" s="30">
        <v>10</v>
      </c>
      <c r="I95" s="30">
        <v>10</v>
      </c>
      <c r="J95" s="30">
        <f t="shared" si="4"/>
        <v>0</v>
      </c>
      <c r="K95" s="30">
        <f t="shared" si="5"/>
        <v>0</v>
      </c>
      <c r="L95" s="30">
        <f t="shared" si="6"/>
        <v>0</v>
      </c>
      <c r="M95" s="9" t="str">
        <f t="shared" si="7"/>
        <v>Unverändert</v>
      </c>
    </row>
    <row r="96" spans="1:13" ht="30" customHeight="1" x14ac:dyDescent="0.3">
      <c r="A96" s="9">
        <v>91</v>
      </c>
      <c r="B96" s="6" t="str">
        <f>Postkarten!A91</f>
        <v>AK-2026-0090</v>
      </c>
      <c r="C96" s="8" t="str">
        <f>Postkarten!B91</f>
        <v>Bad Kissingen – Kurhaus</v>
      </c>
      <c r="D96" s="30">
        <f>Postkarten!L91</f>
        <v>4</v>
      </c>
      <c r="E96" s="30">
        <f>Postkarten!M91</f>
        <v>8</v>
      </c>
      <c r="F96" s="30">
        <f>Postkarten!N91</f>
        <v>8</v>
      </c>
      <c r="G96" s="30">
        <v>4</v>
      </c>
      <c r="H96" s="30">
        <v>8</v>
      </c>
      <c r="I96" s="30">
        <v>8</v>
      </c>
      <c r="J96" s="30">
        <f t="shared" si="4"/>
        <v>0</v>
      </c>
      <c r="K96" s="30">
        <f t="shared" si="5"/>
        <v>0</v>
      </c>
      <c r="L96" s="30">
        <f t="shared" si="6"/>
        <v>0</v>
      </c>
      <c r="M96" s="9" t="str">
        <f t="shared" si="7"/>
        <v>Unverändert</v>
      </c>
    </row>
    <row r="97" spans="1:13" ht="30" customHeight="1" x14ac:dyDescent="0.3">
      <c r="A97" s="9">
        <v>92</v>
      </c>
      <c r="B97" s="6" t="str">
        <f>Postkarten!A92</f>
        <v>AK-2026-0091</v>
      </c>
      <c r="C97" s="8" t="str">
        <f>Postkarten!B92</f>
        <v>Pfarrkirche Parsberg (Architekt H. Hauberrisser jun., Regensburg)</v>
      </c>
      <c r="D97" s="30">
        <f>Postkarten!L92</f>
        <v>5</v>
      </c>
      <c r="E97" s="30">
        <f>Postkarten!M92</f>
        <v>10</v>
      </c>
      <c r="F97" s="30">
        <f>Postkarten!N92</f>
        <v>10</v>
      </c>
      <c r="G97" s="30">
        <v>6</v>
      </c>
      <c r="H97" s="30">
        <v>12</v>
      </c>
      <c r="I97" s="30">
        <v>10</v>
      </c>
      <c r="J97" s="30">
        <f t="shared" si="4"/>
        <v>1</v>
      </c>
      <c r="K97" s="30">
        <f t="shared" si="5"/>
        <v>2</v>
      </c>
      <c r="L97" s="30">
        <f t="shared" si="6"/>
        <v>0</v>
      </c>
      <c r="M97" s="9" t="str">
        <f t="shared" si="7"/>
        <v>Unverändert</v>
      </c>
    </row>
    <row r="98" spans="1:13" ht="30" customHeight="1" x14ac:dyDescent="0.3">
      <c r="A98" s="9">
        <v>93</v>
      </c>
      <c r="B98" s="6" t="str">
        <f>Postkarten!A93</f>
        <v>AK-2026-0092</v>
      </c>
      <c r="C98" s="8" t="str">
        <f>Postkarten!B93</f>
        <v>Gruss aus Maria Eck (Kloster und Kirche)</v>
      </c>
      <c r="D98" s="30">
        <f>Postkarten!L93</f>
        <v>6</v>
      </c>
      <c r="E98" s="30">
        <f>Postkarten!M93</f>
        <v>12</v>
      </c>
      <c r="F98" s="30">
        <f>Postkarten!N93</f>
        <v>12</v>
      </c>
      <c r="G98" s="30">
        <v>6</v>
      </c>
      <c r="H98" s="30">
        <v>12</v>
      </c>
      <c r="I98" s="30">
        <v>12</v>
      </c>
      <c r="J98" s="30">
        <f t="shared" si="4"/>
        <v>0</v>
      </c>
      <c r="K98" s="30">
        <f t="shared" si="5"/>
        <v>0</v>
      </c>
      <c r="L98" s="30">
        <f t="shared" si="6"/>
        <v>0</v>
      </c>
      <c r="M98" s="9" t="str">
        <f t="shared" si="7"/>
        <v>Unverändert</v>
      </c>
    </row>
    <row r="99" spans="1:13" ht="30" customHeight="1" x14ac:dyDescent="0.3">
      <c r="A99" s="9">
        <v>94</v>
      </c>
      <c r="B99" s="6" t="str">
        <f>Postkarten!A94</f>
        <v>AK-2026-0093</v>
      </c>
      <c r="C99" s="8" t="str">
        <f>Postkarten!B94</f>
        <v>Gruß aus Regensburg (Dominikanerkirche, St. Blasius, Albertuskapelle)</v>
      </c>
      <c r="D99" s="30">
        <f>Postkarten!L94</f>
        <v>6</v>
      </c>
      <c r="E99" s="30">
        <f>Postkarten!M94</f>
        <v>12</v>
      </c>
      <c r="F99" s="30">
        <f>Postkarten!N94</f>
        <v>12</v>
      </c>
      <c r="G99" s="30">
        <v>6</v>
      </c>
      <c r="H99" s="30">
        <v>12</v>
      </c>
      <c r="I99" s="30">
        <v>12</v>
      </c>
      <c r="J99" s="30">
        <f t="shared" si="4"/>
        <v>0</v>
      </c>
      <c r="K99" s="30">
        <f t="shared" si="5"/>
        <v>0</v>
      </c>
      <c r="L99" s="30">
        <f t="shared" si="6"/>
        <v>0</v>
      </c>
      <c r="M99" s="9" t="str">
        <f t="shared" si="7"/>
        <v>Unverändert</v>
      </c>
    </row>
    <row r="100" spans="1:13" ht="30" customHeight="1" x14ac:dyDescent="0.3">
      <c r="A100" s="9">
        <v>95</v>
      </c>
      <c r="B100" s="6" t="str">
        <f>Postkarten!A95</f>
        <v>AK-2026-0094</v>
      </c>
      <c r="C100" s="8" t="str">
        <f>Postkarten!B95</f>
        <v>München – Hotel „Drei Raben“</v>
      </c>
      <c r="D100" s="30">
        <f>Postkarten!L95</f>
        <v>5</v>
      </c>
      <c r="E100" s="30">
        <f>Postkarten!M95</f>
        <v>10</v>
      </c>
      <c r="F100" s="30">
        <f>Postkarten!N95</f>
        <v>10</v>
      </c>
      <c r="G100" s="30">
        <v>5</v>
      </c>
      <c r="H100" s="30">
        <v>10</v>
      </c>
      <c r="I100" s="30">
        <v>10</v>
      </c>
      <c r="J100" s="30">
        <f t="shared" si="4"/>
        <v>0</v>
      </c>
      <c r="K100" s="30">
        <f t="shared" si="5"/>
        <v>0</v>
      </c>
      <c r="L100" s="30">
        <f t="shared" si="6"/>
        <v>0</v>
      </c>
      <c r="M100" s="9" t="str">
        <f t="shared" si="7"/>
        <v>Unverändert</v>
      </c>
    </row>
    <row r="101" spans="1:13" ht="30" customHeight="1" x14ac:dyDescent="0.3">
      <c r="A101" s="9">
        <v>96</v>
      </c>
      <c r="B101" s="6" t="str">
        <f>Postkarten!A96</f>
        <v>AK-2026-0095</v>
      </c>
      <c r="C101" s="8" t="str">
        <f>Postkarten!B96</f>
        <v>Gruss aus Regensburg (Kgl. Lyceum u. Studienkirche)</v>
      </c>
      <c r="D101" s="30">
        <f>Postkarten!L96</f>
        <v>5</v>
      </c>
      <c r="E101" s="30">
        <f>Postkarten!M96</f>
        <v>10</v>
      </c>
      <c r="F101" s="30">
        <f>Postkarten!N96</f>
        <v>10</v>
      </c>
      <c r="G101" s="30">
        <v>5</v>
      </c>
      <c r="H101" s="30">
        <v>10</v>
      </c>
      <c r="I101" s="30">
        <v>10</v>
      </c>
      <c r="J101" s="30">
        <f t="shared" si="4"/>
        <v>0</v>
      </c>
      <c r="K101" s="30">
        <f t="shared" si="5"/>
        <v>0</v>
      </c>
      <c r="L101" s="30">
        <f t="shared" si="6"/>
        <v>0</v>
      </c>
      <c r="M101" s="9" t="str">
        <f t="shared" si="7"/>
        <v>Unverändert</v>
      </c>
    </row>
    <row r="102" spans="1:13" ht="30" customHeight="1" x14ac:dyDescent="0.3">
      <c r="A102" s="9">
        <v>97</v>
      </c>
      <c r="B102" s="6" t="str">
        <f>Postkarten!A97</f>
        <v>AK-2026-0096</v>
      </c>
      <c r="C102" s="8" t="str">
        <f>Postkarten!B97</f>
        <v>Schloss Parsberg (Bayerische Oberpfalz) – Prof. Hans Rud. Schulze Nr. 6</v>
      </c>
      <c r="D102" s="30">
        <f>Postkarten!L97</f>
        <v>5</v>
      </c>
      <c r="E102" s="30">
        <f>Postkarten!M97</f>
        <v>10</v>
      </c>
      <c r="F102" s="30">
        <f>Postkarten!N97</f>
        <v>10</v>
      </c>
      <c r="G102" s="30">
        <v>6</v>
      </c>
      <c r="H102" s="30">
        <v>12</v>
      </c>
      <c r="I102" s="30">
        <v>10</v>
      </c>
      <c r="J102" s="30">
        <f t="shared" si="4"/>
        <v>1</v>
      </c>
      <c r="K102" s="30">
        <f t="shared" si="5"/>
        <v>2</v>
      </c>
      <c r="L102" s="30">
        <f t="shared" si="6"/>
        <v>0</v>
      </c>
      <c r="M102" s="9" t="str">
        <f t="shared" si="7"/>
        <v>Unverändert</v>
      </c>
    </row>
    <row r="103" spans="1:13" ht="30" customHeight="1" x14ac:dyDescent="0.3">
      <c r="A103" s="9">
        <v>98</v>
      </c>
      <c r="B103" s="6" t="str">
        <f>Postkarten!A98</f>
        <v>AK-2026-0097</v>
      </c>
      <c r="C103" s="8" t="str">
        <f>Postkarten!B98</f>
        <v>Regensburg – Dom, Westfront und Kgl. Villa</v>
      </c>
      <c r="D103" s="30">
        <f>Postkarten!L98</f>
        <v>5</v>
      </c>
      <c r="E103" s="30">
        <f>Postkarten!M98</f>
        <v>10</v>
      </c>
      <c r="F103" s="30">
        <f>Postkarten!N98</f>
        <v>10</v>
      </c>
      <c r="G103" s="30">
        <v>5</v>
      </c>
      <c r="H103" s="30">
        <v>10</v>
      </c>
      <c r="I103" s="30">
        <v>10</v>
      </c>
      <c r="J103" s="30">
        <f t="shared" si="4"/>
        <v>0</v>
      </c>
      <c r="K103" s="30">
        <f t="shared" si="5"/>
        <v>0</v>
      </c>
      <c r="L103" s="30">
        <f t="shared" si="6"/>
        <v>0</v>
      </c>
      <c r="M103" s="9" t="str">
        <f t="shared" si="7"/>
        <v>Unverändert</v>
      </c>
    </row>
    <row r="104" spans="1:13" ht="30" customHeight="1" x14ac:dyDescent="0.3">
      <c r="A104" s="9">
        <v>99</v>
      </c>
      <c r="B104" s="6" t="str">
        <f>Postkarten!A99</f>
        <v>AK-2026-0098</v>
      </c>
      <c r="C104" s="8" t="str">
        <f>Postkarten!B99</f>
        <v>Schloss Parsberg (Bayerische Oberpfalz) – Prof. Hans Rud. Schulze Nr. 6</v>
      </c>
      <c r="D104" s="30">
        <f>Postkarten!L99</f>
        <v>4</v>
      </c>
      <c r="E104" s="30">
        <f>Postkarten!M99</f>
        <v>10</v>
      </c>
      <c r="F104" s="30">
        <f>Postkarten!N99</f>
        <v>10</v>
      </c>
      <c r="G104" s="30">
        <v>6</v>
      </c>
      <c r="H104" s="30">
        <v>12</v>
      </c>
      <c r="I104" s="30">
        <v>10</v>
      </c>
      <c r="J104" s="30">
        <f t="shared" si="4"/>
        <v>2</v>
      </c>
      <c r="K104" s="30">
        <f t="shared" si="5"/>
        <v>2</v>
      </c>
      <c r="L104" s="30">
        <f t="shared" si="6"/>
        <v>0</v>
      </c>
      <c r="M104" s="9" t="str">
        <f t="shared" si="7"/>
        <v>Unverändert</v>
      </c>
    </row>
    <row r="105" spans="1:13" ht="30" customHeight="1" x14ac:dyDescent="0.3">
      <c r="A105" s="9">
        <v>100</v>
      </c>
      <c r="B105" s="6" t="str">
        <f>Postkarten!A100</f>
        <v>AK-2026-0099</v>
      </c>
      <c r="C105" s="8" t="str">
        <f>Postkarten!B100</f>
        <v>Gruss aus Schladming (Steiermark) – Mehrfachansicht mit Seilbahn &amp; Natur</v>
      </c>
      <c r="D105" s="30">
        <f>Postkarten!L100</f>
        <v>4</v>
      </c>
      <c r="E105" s="30">
        <f>Postkarten!M100</f>
        <v>8</v>
      </c>
      <c r="F105" s="30">
        <f>Postkarten!N100</f>
        <v>8</v>
      </c>
      <c r="G105" s="30">
        <v>4</v>
      </c>
      <c r="H105" s="30">
        <v>8</v>
      </c>
      <c r="I105" s="30">
        <v>8</v>
      </c>
      <c r="J105" s="30">
        <f t="shared" si="4"/>
        <v>0</v>
      </c>
      <c r="K105" s="30">
        <f t="shared" si="5"/>
        <v>0</v>
      </c>
      <c r="L105" s="30">
        <f t="shared" si="6"/>
        <v>0</v>
      </c>
      <c r="M105" s="9" t="str">
        <f t="shared" si="7"/>
        <v>Unverändert</v>
      </c>
    </row>
    <row r="106" spans="1:13" ht="30" customHeight="1" x14ac:dyDescent="0.3">
      <c r="A106" s="9">
        <v>101</v>
      </c>
      <c r="B106" s="6" t="str">
        <f>Postkarten!A101</f>
        <v>AK-2026-0100</v>
      </c>
      <c r="C106" s="8" t="str">
        <f>Postkarten!B101</f>
        <v>Gruss aus dem Klerikal-Seminar (Regensburg)</v>
      </c>
      <c r="D106" s="30">
        <f>Postkarten!L101</f>
        <v>5</v>
      </c>
      <c r="E106" s="30">
        <f>Postkarten!M101</f>
        <v>10</v>
      </c>
      <c r="F106" s="30">
        <f>Postkarten!N101</f>
        <v>10</v>
      </c>
      <c r="G106" s="30">
        <v>5</v>
      </c>
      <c r="H106" s="30">
        <v>10</v>
      </c>
      <c r="I106" s="30">
        <v>10</v>
      </c>
      <c r="J106" s="30">
        <f t="shared" si="4"/>
        <v>0</v>
      </c>
      <c r="K106" s="30">
        <f t="shared" si="5"/>
        <v>0</v>
      </c>
      <c r="L106" s="30">
        <f t="shared" si="6"/>
        <v>0</v>
      </c>
      <c r="M106" s="9" t="str">
        <f t="shared" si="7"/>
        <v>Unverändert</v>
      </c>
    </row>
    <row r="107" spans="1:13" ht="30" customHeight="1" x14ac:dyDescent="0.3">
      <c r="A107" s="9">
        <v>102</v>
      </c>
      <c r="B107" s="6" t="str">
        <f>Postkarten!A102</f>
        <v>AK-2026-0101</v>
      </c>
      <c r="C107" s="8" t="str">
        <f>Postkarten!B102</f>
        <v>Rothenburg ob der Tauber – Burgtor</v>
      </c>
      <c r="D107" s="30">
        <f>Postkarten!L102</f>
        <v>4</v>
      </c>
      <c r="E107" s="30">
        <f>Postkarten!M102</f>
        <v>8</v>
      </c>
      <c r="F107" s="30">
        <f>Postkarten!N102</f>
        <v>8</v>
      </c>
      <c r="G107" s="30">
        <v>4</v>
      </c>
      <c r="H107" s="30">
        <v>8</v>
      </c>
      <c r="I107" s="30">
        <v>8</v>
      </c>
      <c r="J107" s="30">
        <f t="shared" si="4"/>
        <v>0</v>
      </c>
      <c r="K107" s="30">
        <f t="shared" si="5"/>
        <v>0</v>
      </c>
      <c r="L107" s="30">
        <f t="shared" si="6"/>
        <v>0</v>
      </c>
      <c r="M107" s="9" t="str">
        <f t="shared" si="7"/>
        <v>Unverändert</v>
      </c>
    </row>
    <row r="108" spans="1:13" ht="30" customHeight="1" x14ac:dyDescent="0.3">
      <c r="A108" s="9">
        <v>103</v>
      </c>
      <c r="B108" s="6" t="str">
        <f>Postkarten!A103</f>
        <v>AK-2026-0102</v>
      </c>
      <c r="C108" s="8" t="str">
        <f>Postkarten!B103</f>
        <v>Gruss aus dem Maintal (Vierzehnheiligen – Staffelberg – Schloss Banz)</v>
      </c>
      <c r="D108" s="30">
        <f>Postkarten!L103</f>
        <v>4</v>
      </c>
      <c r="E108" s="30">
        <f>Postkarten!M103</f>
        <v>8</v>
      </c>
      <c r="F108" s="30">
        <f>Postkarten!N103</f>
        <v>8</v>
      </c>
      <c r="G108" s="30">
        <v>4</v>
      </c>
      <c r="H108" s="30">
        <v>8</v>
      </c>
      <c r="I108" s="30">
        <v>8</v>
      </c>
      <c r="J108" s="30">
        <f t="shared" si="4"/>
        <v>0</v>
      </c>
      <c r="K108" s="30">
        <f t="shared" si="5"/>
        <v>0</v>
      </c>
      <c r="L108" s="30">
        <f t="shared" si="6"/>
        <v>0</v>
      </c>
      <c r="M108" s="9" t="str">
        <f t="shared" si="7"/>
        <v>Unverändert</v>
      </c>
    </row>
    <row r="109" spans="1:13" ht="30" customHeight="1" x14ac:dyDescent="0.3">
      <c r="A109" s="9">
        <v>104</v>
      </c>
      <c r="B109" s="6" t="str">
        <f>Postkarten!A104</f>
        <v>AK-2026-0103</v>
      </c>
      <c r="C109" s="8" t="str">
        <f>Postkarten!B104</f>
        <v>Kloster Weltenburg an der Donau</v>
      </c>
      <c r="D109" s="30">
        <f>Postkarten!L104</f>
        <v>4</v>
      </c>
      <c r="E109" s="30">
        <f>Postkarten!M104</f>
        <v>8</v>
      </c>
      <c r="F109" s="30">
        <f>Postkarten!N104</f>
        <v>8</v>
      </c>
      <c r="G109" s="30">
        <v>4</v>
      </c>
      <c r="H109" s="30">
        <v>8</v>
      </c>
      <c r="I109" s="30">
        <v>8</v>
      </c>
      <c r="J109" s="30">
        <f t="shared" si="4"/>
        <v>0</v>
      </c>
      <c r="K109" s="30">
        <f t="shared" si="5"/>
        <v>0</v>
      </c>
      <c r="L109" s="30">
        <f t="shared" si="6"/>
        <v>0</v>
      </c>
      <c r="M109" s="9" t="str">
        <f t="shared" si="7"/>
        <v>Unverändert</v>
      </c>
    </row>
    <row r="110" spans="1:13" ht="30" customHeight="1" x14ac:dyDescent="0.3">
      <c r="A110" s="9">
        <v>105</v>
      </c>
      <c r="B110" s="6" t="str">
        <f>Postkarten!A105</f>
        <v>AK-2026-0104</v>
      </c>
      <c r="C110" s="8" t="str">
        <f>Postkarten!B105</f>
        <v>Neigermühle b. Regen / Bayer. Wald – Seegasthof und Mühle</v>
      </c>
      <c r="D110" s="30">
        <f>Postkarten!L105</f>
        <v>4</v>
      </c>
      <c r="E110" s="30">
        <f>Postkarten!M105</f>
        <v>8</v>
      </c>
      <c r="F110" s="30">
        <f>Postkarten!N105</f>
        <v>8</v>
      </c>
      <c r="G110" s="30">
        <v>4</v>
      </c>
      <c r="H110" s="30">
        <v>8</v>
      </c>
      <c r="I110" s="30">
        <v>8</v>
      </c>
      <c r="J110" s="30">
        <f t="shared" si="4"/>
        <v>0</v>
      </c>
      <c r="K110" s="30">
        <f t="shared" si="5"/>
        <v>0</v>
      </c>
      <c r="L110" s="30">
        <f t="shared" si="6"/>
        <v>0</v>
      </c>
      <c r="M110" s="9" t="str">
        <f t="shared" si="7"/>
        <v>Unverändert</v>
      </c>
    </row>
    <row r="111" spans="1:13" ht="30" customHeight="1" x14ac:dyDescent="0.3">
      <c r="A111" s="9">
        <v>106</v>
      </c>
      <c r="B111" s="6" t="str">
        <f>Postkarten!A106</f>
        <v>AK-2026-0105</v>
      </c>
      <c r="C111" s="8" t="str">
        <f>Postkarten!B106</f>
        <v>Gruss aus Lupburg (Oberpfalz) – Gesamtansicht mit Burg</v>
      </c>
      <c r="D111" s="30">
        <f>Postkarten!L106</f>
        <v>5</v>
      </c>
      <c r="E111" s="30">
        <f>Postkarten!M106</f>
        <v>13</v>
      </c>
      <c r="F111" s="30">
        <f>Postkarten!N106</f>
        <v>13</v>
      </c>
      <c r="G111" s="30">
        <v>7</v>
      </c>
      <c r="H111" s="30">
        <v>15</v>
      </c>
      <c r="I111" s="30">
        <v>13</v>
      </c>
      <c r="J111" s="30">
        <f t="shared" si="4"/>
        <v>2</v>
      </c>
      <c r="K111" s="30">
        <f t="shared" si="5"/>
        <v>2</v>
      </c>
      <c r="L111" s="30">
        <f t="shared" si="6"/>
        <v>0</v>
      </c>
      <c r="M111" s="9" t="str">
        <f t="shared" si="7"/>
        <v>Unverändert</v>
      </c>
    </row>
    <row r="112" spans="1:13" ht="30" customHeight="1" x14ac:dyDescent="0.3">
      <c r="A112" s="9">
        <v>107</v>
      </c>
      <c r="B112" s="6" t="str">
        <f>Postkarten!A107</f>
        <v>AK-2026-0106</v>
      </c>
      <c r="C112" s="8" t="str">
        <f>Postkarten!B107</f>
        <v>Neue kath. Pfarrkirche Seubersdorf / Opf.</v>
      </c>
      <c r="D112" s="30">
        <f>Postkarten!L107</f>
        <v>4</v>
      </c>
      <c r="E112" s="30">
        <f>Postkarten!M107</f>
        <v>13</v>
      </c>
      <c r="F112" s="30">
        <f>Postkarten!N107</f>
        <v>13</v>
      </c>
      <c r="G112" s="30">
        <v>7</v>
      </c>
      <c r="H112" s="30">
        <v>15</v>
      </c>
      <c r="I112" s="30">
        <v>13</v>
      </c>
      <c r="J112" s="30">
        <f t="shared" si="4"/>
        <v>3</v>
      </c>
      <c r="K112" s="30">
        <f t="shared" si="5"/>
        <v>2</v>
      </c>
      <c r="L112" s="30">
        <f t="shared" si="6"/>
        <v>0</v>
      </c>
      <c r="M112" s="9" t="str">
        <f t="shared" si="7"/>
        <v>Unverändert</v>
      </c>
    </row>
    <row r="113" spans="1:13" ht="30" customHeight="1" x14ac:dyDescent="0.3">
      <c r="A113" s="9">
        <v>108</v>
      </c>
      <c r="B113" s="6" t="str">
        <f>Postkarten!A108</f>
        <v>AK-2026-0107</v>
      </c>
      <c r="C113" s="8" t="str">
        <f>Postkarten!B108</f>
        <v>Walchenseekraftwerk (Nutzbares Gefälle 200m, Leistung 108000 P.S.)</v>
      </c>
      <c r="D113" s="30">
        <f>Postkarten!L108</f>
        <v>4</v>
      </c>
      <c r="E113" s="30">
        <f>Postkarten!M108</f>
        <v>8</v>
      </c>
      <c r="F113" s="30">
        <f>Postkarten!N108</f>
        <v>8</v>
      </c>
      <c r="G113" s="30">
        <v>4</v>
      </c>
      <c r="H113" s="30">
        <v>8</v>
      </c>
      <c r="I113" s="30">
        <v>8</v>
      </c>
      <c r="J113" s="30">
        <f t="shared" si="4"/>
        <v>0</v>
      </c>
      <c r="K113" s="30">
        <f t="shared" si="5"/>
        <v>0</v>
      </c>
      <c r="L113" s="30">
        <f t="shared" si="6"/>
        <v>0</v>
      </c>
      <c r="M113" s="9" t="str">
        <f t="shared" si="7"/>
        <v>Unverändert</v>
      </c>
    </row>
    <row r="114" spans="1:13" ht="30" customHeight="1" x14ac:dyDescent="0.3">
      <c r="A114" s="9">
        <v>109</v>
      </c>
      <c r="B114" s="6" t="str">
        <f>Postkarten!A109</f>
        <v>AK-2026-0108</v>
      </c>
      <c r="C114" s="8" t="str">
        <f>Postkarten!B109</f>
        <v>München – Löwenbräukeller</v>
      </c>
      <c r="D114" s="30">
        <f>Postkarten!L109</f>
        <v>5</v>
      </c>
      <c r="E114" s="30">
        <f>Postkarten!M109</f>
        <v>10</v>
      </c>
      <c r="F114" s="30">
        <f>Postkarten!N109</f>
        <v>10</v>
      </c>
      <c r="G114" s="30">
        <v>5</v>
      </c>
      <c r="H114" s="30">
        <v>10</v>
      </c>
      <c r="I114" s="30">
        <v>10</v>
      </c>
      <c r="J114" s="30">
        <f t="shared" si="4"/>
        <v>0</v>
      </c>
      <c r="K114" s="30">
        <f t="shared" si="5"/>
        <v>0</v>
      </c>
      <c r="L114" s="30">
        <f t="shared" si="6"/>
        <v>0</v>
      </c>
      <c r="M114" s="9" t="str">
        <f t="shared" si="7"/>
        <v>Unverändert</v>
      </c>
    </row>
    <row r="115" spans="1:13" ht="30" customHeight="1" x14ac:dyDescent="0.3">
      <c r="A115" s="9">
        <v>110</v>
      </c>
      <c r="B115" s="6" t="str">
        <f>Postkarten!A110</f>
        <v>AK-2026-0109</v>
      </c>
      <c r="C115" s="8" t="str">
        <f>Postkarten!B110</f>
        <v>Nürnberg vom Hallertor</v>
      </c>
      <c r="D115" s="30">
        <f>Postkarten!L110</f>
        <v>5</v>
      </c>
      <c r="E115" s="30">
        <f>Postkarten!M110</f>
        <v>10</v>
      </c>
      <c r="F115" s="30">
        <f>Postkarten!N110</f>
        <v>10</v>
      </c>
      <c r="G115" s="30">
        <v>5</v>
      </c>
      <c r="H115" s="30">
        <v>10</v>
      </c>
      <c r="I115" s="30">
        <v>10</v>
      </c>
      <c r="J115" s="30">
        <f t="shared" si="4"/>
        <v>0</v>
      </c>
      <c r="K115" s="30">
        <f t="shared" si="5"/>
        <v>0</v>
      </c>
      <c r="L115" s="30">
        <f t="shared" si="6"/>
        <v>0</v>
      </c>
      <c r="M115" s="9" t="str">
        <f t="shared" si="7"/>
        <v>Unverändert</v>
      </c>
    </row>
    <row r="116" spans="1:13" ht="30" customHeight="1" x14ac:dyDescent="0.3">
      <c r="A116" s="9">
        <v>111</v>
      </c>
      <c r="B116" s="6" t="str">
        <f>Postkarten!A111</f>
        <v>AK-2026-0110</v>
      </c>
      <c r="C116" s="8" t="str">
        <f>Postkarten!B111</f>
        <v>Bamberg – Krankenhaus mit Michelsberg</v>
      </c>
      <c r="D116" s="30">
        <f>Postkarten!L111</f>
        <v>4</v>
      </c>
      <c r="E116" s="30">
        <f>Postkarten!M111</f>
        <v>8</v>
      </c>
      <c r="F116" s="30">
        <f>Postkarten!N111</f>
        <v>8</v>
      </c>
      <c r="G116" s="30">
        <v>4</v>
      </c>
      <c r="H116" s="30">
        <v>8</v>
      </c>
      <c r="I116" s="30">
        <v>8</v>
      </c>
      <c r="J116" s="30">
        <f t="shared" si="4"/>
        <v>0</v>
      </c>
      <c r="K116" s="30">
        <f t="shared" si="5"/>
        <v>0</v>
      </c>
      <c r="L116" s="30">
        <f t="shared" si="6"/>
        <v>0</v>
      </c>
      <c r="M116" s="9" t="str">
        <f t="shared" si="7"/>
        <v>Unverändert</v>
      </c>
    </row>
    <row r="117" spans="1:13" ht="30" customHeight="1" x14ac:dyDescent="0.3">
      <c r="A117" s="9">
        <v>112</v>
      </c>
      <c r="B117" s="6" t="str">
        <f>Postkarten!A112</f>
        <v>AK-2026-0111</v>
      </c>
      <c r="C117" s="8" t="str">
        <f>Postkarten!B112</f>
        <v>Blick auf München vom Maximilianeum aus</v>
      </c>
      <c r="D117" s="30">
        <f>Postkarten!L112</f>
        <v>8</v>
      </c>
      <c r="E117" s="30">
        <f>Postkarten!M112</f>
        <v>15</v>
      </c>
      <c r="F117" s="30">
        <f>Postkarten!N112</f>
        <v>15</v>
      </c>
      <c r="G117" s="30">
        <v>8</v>
      </c>
      <c r="H117" s="30">
        <v>15</v>
      </c>
      <c r="I117" s="30">
        <v>15</v>
      </c>
      <c r="J117" s="30">
        <f t="shared" si="4"/>
        <v>0</v>
      </c>
      <c r="K117" s="30">
        <f t="shared" si="5"/>
        <v>0</v>
      </c>
      <c r="L117" s="30">
        <f t="shared" si="6"/>
        <v>0</v>
      </c>
      <c r="M117" s="9" t="str">
        <f t="shared" si="7"/>
        <v>Unverändert</v>
      </c>
    </row>
    <row r="118" spans="1:13" ht="30" customHeight="1" x14ac:dyDescent="0.3">
      <c r="A118" s="9">
        <v>113</v>
      </c>
      <c r="B118" s="6" t="str">
        <f>Postkarten!A113</f>
        <v>AK-2026-0112</v>
      </c>
      <c r="C118" s="8" t="str">
        <f>Postkarten!B113</f>
        <v>Rothenburg o. T. (Gesamtansicht)</v>
      </c>
      <c r="D118" s="30">
        <f>Postkarten!L113</f>
        <v>5</v>
      </c>
      <c r="E118" s="30">
        <f>Postkarten!M113</f>
        <v>10</v>
      </c>
      <c r="F118" s="30">
        <f>Postkarten!N113</f>
        <v>10</v>
      </c>
      <c r="G118" s="30">
        <v>5</v>
      </c>
      <c r="H118" s="30">
        <v>10</v>
      </c>
      <c r="I118" s="30">
        <v>10</v>
      </c>
      <c r="J118" s="30">
        <f t="shared" si="4"/>
        <v>0</v>
      </c>
      <c r="K118" s="30">
        <f t="shared" si="5"/>
        <v>0</v>
      </c>
      <c r="L118" s="30">
        <f t="shared" si="6"/>
        <v>0</v>
      </c>
      <c r="M118" s="9" t="str">
        <f t="shared" si="7"/>
        <v>Unverändert</v>
      </c>
    </row>
    <row r="119" spans="1:13" ht="30" customHeight="1" x14ac:dyDescent="0.3">
      <c r="A119" s="9">
        <v>114</v>
      </c>
      <c r="B119" s="6" t="str">
        <f>Postkarten!A114</f>
        <v>AK-2026-0113</v>
      </c>
      <c r="C119" s="8" t="str">
        <f>Postkarten!B114</f>
        <v>Berchtesgaden – Abfahrt aus dem Bergwerk (Ferdinand-Berg)</v>
      </c>
      <c r="D119" s="30">
        <f>Postkarten!L114</f>
        <v>4</v>
      </c>
      <c r="E119" s="30">
        <f>Postkarten!M114</f>
        <v>8</v>
      </c>
      <c r="F119" s="30">
        <f>Postkarten!N114</f>
        <v>8</v>
      </c>
      <c r="G119" s="30">
        <v>4</v>
      </c>
      <c r="H119" s="30">
        <v>8</v>
      </c>
      <c r="I119" s="30">
        <v>8</v>
      </c>
      <c r="J119" s="30">
        <f t="shared" si="4"/>
        <v>0</v>
      </c>
      <c r="K119" s="30">
        <f t="shared" si="5"/>
        <v>0</v>
      </c>
      <c r="L119" s="30">
        <f t="shared" si="6"/>
        <v>0</v>
      </c>
      <c r="M119" s="9" t="str">
        <f t="shared" si="7"/>
        <v>Unverändert</v>
      </c>
    </row>
    <row r="120" spans="1:13" ht="30" customHeight="1" x14ac:dyDescent="0.3">
      <c r="A120" s="9">
        <v>115</v>
      </c>
      <c r="B120" s="6" t="str">
        <f>Postkarten!A115</f>
        <v>AK-2026-0114</v>
      </c>
      <c r="C120" s="8" t="str">
        <f>Postkarten!B115</f>
        <v>Berchtesgaden m. Watzmann, Schönfeldspitze, Funtensee u. Grünsee-Tauern</v>
      </c>
      <c r="D120" s="30">
        <f>Postkarten!L115</f>
        <v>5</v>
      </c>
      <c r="E120" s="30">
        <f>Postkarten!M115</f>
        <v>10</v>
      </c>
      <c r="F120" s="30">
        <f>Postkarten!N115</f>
        <v>10</v>
      </c>
      <c r="G120" s="30">
        <v>5</v>
      </c>
      <c r="H120" s="30">
        <v>10</v>
      </c>
      <c r="I120" s="30">
        <v>10</v>
      </c>
      <c r="J120" s="30">
        <f t="shared" si="4"/>
        <v>0</v>
      </c>
      <c r="K120" s="30">
        <f t="shared" si="5"/>
        <v>0</v>
      </c>
      <c r="L120" s="30">
        <f t="shared" si="6"/>
        <v>0</v>
      </c>
      <c r="M120" s="9" t="str">
        <f t="shared" si="7"/>
        <v>Unverändert</v>
      </c>
    </row>
    <row r="121" spans="1:13" ht="30" customHeight="1" x14ac:dyDescent="0.3">
      <c r="A121" s="9">
        <v>116</v>
      </c>
      <c r="B121" s="6" t="str">
        <f>Postkarten!A116</f>
        <v>AK-2026-0115</v>
      </c>
      <c r="C121" s="8" t="str">
        <f>Postkarten!B116</f>
        <v>Lupburg / Opf. (Gesamtansicht mit Burg)</v>
      </c>
      <c r="D121" s="30">
        <f>Postkarten!L116</f>
        <v>4</v>
      </c>
      <c r="E121" s="30">
        <f>Postkarten!M116</f>
        <v>10</v>
      </c>
      <c r="F121" s="30">
        <f>Postkarten!N116</f>
        <v>10</v>
      </c>
      <c r="G121" s="30">
        <v>6</v>
      </c>
      <c r="H121" s="30">
        <v>12</v>
      </c>
      <c r="I121" s="30">
        <v>10</v>
      </c>
      <c r="J121" s="30">
        <f t="shared" si="4"/>
        <v>2</v>
      </c>
      <c r="K121" s="30">
        <f t="shared" si="5"/>
        <v>2</v>
      </c>
      <c r="L121" s="30">
        <f t="shared" si="6"/>
        <v>0</v>
      </c>
      <c r="M121" s="9" t="str">
        <f t="shared" si="7"/>
        <v>Unverändert</v>
      </c>
    </row>
    <row r="122" spans="1:13" ht="30" customHeight="1" x14ac:dyDescent="0.3">
      <c r="A122" s="9">
        <v>117</v>
      </c>
      <c r="B122" s="6" t="str">
        <f>Postkarten!A117</f>
        <v>AK-2026-0116</v>
      </c>
      <c r="C122" s="8" t="str">
        <f>Postkarten!B117</f>
        <v>Ensdorf / Oberpfalz (Mehrbildkarte)</v>
      </c>
      <c r="D122" s="30">
        <f>Postkarten!L117</f>
        <v>3</v>
      </c>
      <c r="E122" s="30">
        <f>Postkarten!M117</f>
        <v>6</v>
      </c>
      <c r="F122" s="30">
        <f>Postkarten!N117</f>
        <v>6</v>
      </c>
      <c r="G122" s="30">
        <v>3</v>
      </c>
      <c r="H122" s="30">
        <v>6</v>
      </c>
      <c r="I122" s="30">
        <v>6</v>
      </c>
      <c r="J122" s="30">
        <f t="shared" si="4"/>
        <v>0</v>
      </c>
      <c r="K122" s="30">
        <f t="shared" si="5"/>
        <v>0</v>
      </c>
      <c r="L122" s="30">
        <f t="shared" si="6"/>
        <v>0</v>
      </c>
      <c r="M122" s="9" t="str">
        <f t="shared" si="7"/>
        <v>Unverändert</v>
      </c>
    </row>
    <row r="123" spans="1:13" ht="30" customHeight="1" x14ac:dyDescent="0.3">
      <c r="A123" s="9">
        <v>118</v>
      </c>
      <c r="B123" s="6" t="str">
        <f>Postkarten!A118</f>
        <v>AK-2026-0117</v>
      </c>
      <c r="C123" s="8" t="str">
        <f>Postkarten!B118</f>
        <v>Oberammergau, Pilatushaus u. Kofel</v>
      </c>
      <c r="D123" s="30">
        <f>Postkarten!L118</f>
        <v>4</v>
      </c>
      <c r="E123" s="30">
        <f>Postkarten!M118</f>
        <v>8</v>
      </c>
      <c r="F123" s="30">
        <f>Postkarten!N118</f>
        <v>8</v>
      </c>
      <c r="G123" s="30">
        <v>4</v>
      </c>
      <c r="H123" s="30">
        <v>8</v>
      </c>
      <c r="I123" s="30">
        <v>8</v>
      </c>
      <c r="J123" s="30">
        <f t="shared" si="4"/>
        <v>0</v>
      </c>
      <c r="K123" s="30">
        <f t="shared" si="5"/>
        <v>0</v>
      </c>
      <c r="L123" s="30">
        <f t="shared" si="6"/>
        <v>0</v>
      </c>
      <c r="M123" s="9" t="str">
        <f t="shared" si="7"/>
        <v>Unverändert</v>
      </c>
    </row>
    <row r="124" spans="1:13" ht="30" customHeight="1" x14ac:dyDescent="0.3">
      <c r="A124" s="9">
        <v>119</v>
      </c>
      <c r="B124" s="6" t="str">
        <f>Postkarten!A119</f>
        <v>AK-2026-0118</v>
      </c>
      <c r="C124" s="8" t="str">
        <f>Postkarten!B119</f>
        <v>Hof i. B. – Anlagen auf dem Theresienstein / Bismarckturm</v>
      </c>
      <c r="D124" s="30">
        <f>Postkarten!L119</f>
        <v>4</v>
      </c>
      <c r="E124" s="30">
        <f>Postkarten!M119</f>
        <v>8</v>
      </c>
      <c r="F124" s="30">
        <f>Postkarten!N119</f>
        <v>8</v>
      </c>
      <c r="G124" s="30">
        <v>4</v>
      </c>
      <c r="H124" s="30">
        <v>8</v>
      </c>
      <c r="I124" s="30">
        <v>8</v>
      </c>
      <c r="J124" s="30">
        <f t="shared" si="4"/>
        <v>0</v>
      </c>
      <c r="K124" s="30">
        <f t="shared" si="5"/>
        <v>0</v>
      </c>
      <c r="L124" s="30">
        <f t="shared" si="6"/>
        <v>0</v>
      </c>
      <c r="M124" s="9" t="str">
        <f t="shared" si="7"/>
        <v>Unverändert</v>
      </c>
    </row>
    <row r="125" spans="1:13" ht="30" customHeight="1" x14ac:dyDescent="0.3">
      <c r="A125" s="9">
        <v>120</v>
      </c>
      <c r="B125" s="6" t="str">
        <f>Postkarten!A120</f>
        <v>AK-2026-0119</v>
      </c>
      <c r="C125" s="8" t="str">
        <f>Postkarten!B120</f>
        <v>Gruß aus Grafenau, Bayer. Wald (Mehrbildkarte mit Rachel &amp; Lusen)</v>
      </c>
      <c r="D125" s="30">
        <f>Postkarten!L120</f>
        <v>5</v>
      </c>
      <c r="E125" s="30">
        <f>Postkarten!M120</f>
        <v>10</v>
      </c>
      <c r="F125" s="30">
        <f>Postkarten!N120</f>
        <v>10</v>
      </c>
      <c r="G125" s="30">
        <v>5</v>
      </c>
      <c r="H125" s="30">
        <v>10</v>
      </c>
      <c r="I125" s="30">
        <v>10</v>
      </c>
      <c r="J125" s="30">
        <f t="shared" si="4"/>
        <v>0</v>
      </c>
      <c r="K125" s="30">
        <f t="shared" si="5"/>
        <v>0</v>
      </c>
      <c r="L125" s="30">
        <f t="shared" si="6"/>
        <v>0</v>
      </c>
      <c r="M125" s="9" t="str">
        <f t="shared" si="7"/>
        <v>Unverändert</v>
      </c>
    </row>
    <row r="126" spans="1:13" ht="30" customHeight="1" x14ac:dyDescent="0.3">
      <c r="A126" s="9">
        <v>121</v>
      </c>
      <c r="B126" s="6" t="str">
        <f>Postkarten!A121</f>
        <v>AK-2026-0120</v>
      </c>
      <c r="C126" s="8" t="str">
        <f>Postkarten!B121</f>
        <v>Oberammergau (Gesamtansicht mit Bergpanorama)</v>
      </c>
      <c r="D126" s="30">
        <f>Postkarten!L121</f>
        <v>5</v>
      </c>
      <c r="E126" s="30">
        <f>Postkarten!M121</f>
        <v>10</v>
      </c>
      <c r="F126" s="30">
        <f>Postkarten!N121</f>
        <v>10</v>
      </c>
      <c r="G126" s="30">
        <v>5</v>
      </c>
      <c r="H126" s="30">
        <v>10</v>
      </c>
      <c r="I126" s="30">
        <v>10</v>
      </c>
      <c r="J126" s="30">
        <f t="shared" si="4"/>
        <v>0</v>
      </c>
      <c r="K126" s="30">
        <f t="shared" si="5"/>
        <v>0</v>
      </c>
      <c r="L126" s="30">
        <f t="shared" si="6"/>
        <v>0</v>
      </c>
      <c r="M126" s="9" t="str">
        <f t="shared" si="7"/>
        <v>Unverändert</v>
      </c>
    </row>
    <row r="127" spans="1:13" ht="30" customHeight="1" x14ac:dyDescent="0.3">
      <c r="A127" s="9">
        <v>122</v>
      </c>
      <c r="B127" s="6" t="str">
        <f>Postkarten!A122</f>
        <v>AK-2026-0121</v>
      </c>
      <c r="C127" s="8" t="str">
        <f>Postkarten!B122</f>
        <v>Würzburg – Partie aus dem Hofgarten</v>
      </c>
      <c r="D127" s="30">
        <f>Postkarten!L122</f>
        <v>4</v>
      </c>
      <c r="E127" s="30">
        <f>Postkarten!M122</f>
        <v>8</v>
      </c>
      <c r="F127" s="30">
        <f>Postkarten!N122</f>
        <v>8</v>
      </c>
      <c r="G127" s="30">
        <v>4</v>
      </c>
      <c r="H127" s="30">
        <v>8</v>
      </c>
      <c r="I127" s="30">
        <v>8</v>
      </c>
      <c r="J127" s="30">
        <f t="shared" si="4"/>
        <v>0</v>
      </c>
      <c r="K127" s="30">
        <f t="shared" si="5"/>
        <v>0</v>
      </c>
      <c r="L127" s="30">
        <f t="shared" si="6"/>
        <v>0</v>
      </c>
      <c r="M127" s="9" t="str">
        <f t="shared" si="7"/>
        <v>Unverändert</v>
      </c>
    </row>
    <row r="128" spans="1:13" ht="30" customHeight="1" x14ac:dyDescent="0.3">
      <c r="A128" s="9">
        <v>123</v>
      </c>
      <c r="B128" s="6" t="str">
        <f>Postkarten!A123</f>
        <v>AK-2026-0122</v>
      </c>
      <c r="C128" s="8" t="str">
        <f>Postkarten!B123</f>
        <v>Gruss aus Nürnberg – Burgeingang (Kaiserburg)</v>
      </c>
      <c r="D128" s="30">
        <f>Postkarten!L123</f>
        <v>4</v>
      </c>
      <c r="E128" s="30">
        <f>Postkarten!M123</f>
        <v>8</v>
      </c>
      <c r="F128" s="30">
        <f>Postkarten!N123</f>
        <v>8</v>
      </c>
      <c r="G128" s="30">
        <v>4</v>
      </c>
      <c r="H128" s="30">
        <v>8</v>
      </c>
      <c r="I128" s="30">
        <v>8</v>
      </c>
      <c r="J128" s="30">
        <f t="shared" si="4"/>
        <v>0</v>
      </c>
      <c r="K128" s="30">
        <f t="shared" si="5"/>
        <v>0</v>
      </c>
      <c r="L128" s="30">
        <f t="shared" si="6"/>
        <v>0</v>
      </c>
      <c r="M128" s="9" t="str">
        <f t="shared" si="7"/>
        <v>Unverändert</v>
      </c>
    </row>
    <row r="129" spans="1:13" ht="30" customHeight="1" x14ac:dyDescent="0.3">
      <c r="A129" s="9">
        <v>124</v>
      </c>
      <c r="B129" s="6" t="str">
        <f>Postkarten!A124</f>
        <v>AK-2026-0123</v>
      </c>
      <c r="C129" s="8" t="str">
        <f>Postkarten!B124</f>
        <v>Westlicher Zugspitzgipfel (2964 m) mit Münchner Haus und Hochobservatorium</v>
      </c>
      <c r="D129" s="30">
        <f>Postkarten!L124</f>
        <v>4</v>
      </c>
      <c r="E129" s="30">
        <f>Postkarten!M124</f>
        <v>8</v>
      </c>
      <c r="F129" s="30">
        <f>Postkarten!N124</f>
        <v>8</v>
      </c>
      <c r="G129" s="30">
        <v>4</v>
      </c>
      <c r="H129" s="30">
        <v>8</v>
      </c>
      <c r="I129" s="30">
        <v>8</v>
      </c>
      <c r="J129" s="30">
        <f t="shared" si="4"/>
        <v>0</v>
      </c>
      <c r="K129" s="30">
        <f t="shared" si="5"/>
        <v>0</v>
      </c>
      <c r="L129" s="30">
        <f t="shared" si="6"/>
        <v>0</v>
      </c>
      <c r="M129" s="9" t="str">
        <f t="shared" si="7"/>
        <v>Unverändert</v>
      </c>
    </row>
    <row r="130" spans="1:13" ht="30" customHeight="1" x14ac:dyDescent="0.3">
      <c r="A130" s="9">
        <v>125</v>
      </c>
      <c r="B130" s="6" t="str">
        <f>Postkarten!A125</f>
        <v>AK-2026-0124</v>
      </c>
      <c r="C130" s="8" t="str">
        <f>Postkarten!B125</f>
        <v>Kulmbach – Blick auf die Petrikirche</v>
      </c>
      <c r="D130" s="30">
        <f>Postkarten!L125</f>
        <v>4</v>
      </c>
      <c r="E130" s="30">
        <f>Postkarten!M125</f>
        <v>8</v>
      </c>
      <c r="F130" s="30">
        <f>Postkarten!N125</f>
        <v>8</v>
      </c>
      <c r="G130" s="30">
        <v>4</v>
      </c>
      <c r="H130" s="30">
        <v>8</v>
      </c>
      <c r="I130" s="30">
        <v>8</v>
      </c>
      <c r="J130" s="30">
        <f t="shared" si="4"/>
        <v>0</v>
      </c>
      <c r="K130" s="30">
        <f t="shared" si="5"/>
        <v>0</v>
      </c>
      <c r="L130" s="30">
        <f t="shared" si="6"/>
        <v>0</v>
      </c>
      <c r="M130" s="9" t="str">
        <f t="shared" si="7"/>
        <v>Unverändert</v>
      </c>
    </row>
    <row r="131" spans="1:13" ht="30" customHeight="1" x14ac:dyDescent="0.3">
      <c r="A131" s="9">
        <v>126</v>
      </c>
      <c r="B131" s="6" t="str">
        <f>Postkarten!A126</f>
        <v>AK-2026-0125</v>
      </c>
      <c r="C131" s="8" t="str">
        <f>Postkarten!B126</f>
        <v>Kloster Andechs (Gesamtansicht mit Alpenpanorama)</v>
      </c>
      <c r="D131" s="30">
        <f>Postkarten!L126</f>
        <v>4</v>
      </c>
      <c r="E131" s="30">
        <f>Postkarten!M126</f>
        <v>8</v>
      </c>
      <c r="F131" s="30">
        <f>Postkarten!N126</f>
        <v>8</v>
      </c>
      <c r="G131" s="30">
        <v>4</v>
      </c>
      <c r="H131" s="30">
        <v>8</v>
      </c>
      <c r="I131" s="30">
        <v>8</v>
      </c>
      <c r="J131" s="30">
        <f t="shared" si="4"/>
        <v>0</v>
      </c>
      <c r="K131" s="30">
        <f t="shared" si="5"/>
        <v>0</v>
      </c>
      <c r="L131" s="30">
        <f t="shared" si="6"/>
        <v>0</v>
      </c>
      <c r="M131" s="9" t="str">
        <f t="shared" si="7"/>
        <v>Unverändert</v>
      </c>
    </row>
    <row r="132" spans="1:13" ht="30" customHeight="1" x14ac:dyDescent="0.3">
      <c r="A132" s="9">
        <v>127</v>
      </c>
      <c r="B132" s="6" t="str">
        <f>Postkarten!A127</f>
        <v>AK-2026-0126</v>
      </c>
      <c r="C132" s="8" t="str">
        <f>Postkarten!B127</f>
        <v>Kurort Wörishofen – Kneipp-Straße</v>
      </c>
      <c r="D132" s="30">
        <f>Postkarten!L127</f>
        <v>4</v>
      </c>
      <c r="E132" s="30">
        <f>Postkarten!M127</f>
        <v>8</v>
      </c>
      <c r="F132" s="30">
        <f>Postkarten!N127</f>
        <v>8</v>
      </c>
      <c r="G132" s="30">
        <v>4</v>
      </c>
      <c r="H132" s="30">
        <v>8</v>
      </c>
      <c r="I132" s="30">
        <v>8</v>
      </c>
      <c r="J132" s="30">
        <f t="shared" si="4"/>
        <v>0</v>
      </c>
      <c r="K132" s="30">
        <f t="shared" si="5"/>
        <v>0</v>
      </c>
      <c r="L132" s="30">
        <f t="shared" si="6"/>
        <v>0</v>
      </c>
      <c r="M132" s="9" t="str">
        <f t="shared" si="7"/>
        <v>Unverändert</v>
      </c>
    </row>
    <row r="133" spans="1:13" ht="30" customHeight="1" x14ac:dyDescent="0.3">
      <c r="A133" s="9">
        <v>128</v>
      </c>
      <c r="B133" s="6" t="str">
        <f>Postkarten!A128</f>
        <v>AK-2026-0127</v>
      </c>
      <c r="C133" s="8" t="str">
        <f>Postkarten!B128</f>
        <v>Gössweinstein (Fränk. Schweiz) – Gesamtansicht mit Basilika und Burg</v>
      </c>
      <c r="D133" s="30">
        <f>Postkarten!L128</f>
        <v>3</v>
      </c>
      <c r="E133" s="30">
        <f>Postkarten!M128</f>
        <v>6</v>
      </c>
      <c r="F133" s="30">
        <f>Postkarten!N128</f>
        <v>6</v>
      </c>
      <c r="G133" s="30">
        <v>3</v>
      </c>
      <c r="H133" s="30">
        <v>6</v>
      </c>
      <c r="I133" s="30">
        <v>6</v>
      </c>
      <c r="J133" s="30">
        <f t="shared" si="4"/>
        <v>0</v>
      </c>
      <c r="K133" s="30">
        <f t="shared" si="5"/>
        <v>0</v>
      </c>
      <c r="L133" s="30">
        <f t="shared" si="6"/>
        <v>0</v>
      </c>
      <c r="M133" s="9" t="str">
        <f t="shared" si="7"/>
        <v>Unverändert</v>
      </c>
    </row>
    <row r="134" spans="1:13" ht="30" customHeight="1" x14ac:dyDescent="0.3">
      <c r="A134" s="9">
        <v>129</v>
      </c>
      <c r="B134" s="6" t="str">
        <f>Postkarten!A129</f>
        <v>AK-2026-0128</v>
      </c>
      <c r="C134" s="8" t="str">
        <f>Postkarten!B129</f>
        <v>Bayreuth – Vor dem Festspielhaus</v>
      </c>
      <c r="D134" s="30">
        <f>Postkarten!L129</f>
        <v>4</v>
      </c>
      <c r="E134" s="30">
        <f>Postkarten!M129</f>
        <v>8</v>
      </c>
      <c r="F134" s="30">
        <f>Postkarten!N129</f>
        <v>8</v>
      </c>
      <c r="G134" s="30">
        <v>4</v>
      </c>
      <c r="H134" s="30">
        <v>8</v>
      </c>
      <c r="I134" s="30">
        <v>8</v>
      </c>
      <c r="J134" s="30">
        <f t="shared" si="4"/>
        <v>0</v>
      </c>
      <c r="K134" s="30">
        <f t="shared" si="5"/>
        <v>0</v>
      </c>
      <c r="L134" s="30">
        <f t="shared" si="6"/>
        <v>0</v>
      </c>
      <c r="M134" s="9" t="str">
        <f t="shared" si="7"/>
        <v>Unverändert</v>
      </c>
    </row>
    <row r="135" spans="1:13" ht="30" customHeight="1" x14ac:dyDescent="0.3">
      <c r="A135" s="9">
        <v>130</v>
      </c>
      <c r="B135" s="6" t="str">
        <f>Postkarten!A130</f>
        <v>AK-2026-0129</v>
      </c>
      <c r="C135" s="8" t="str">
        <f>Postkarten!B130</f>
        <v>Oberammergau – Total mit Kofel u. Noth</v>
      </c>
      <c r="D135" s="30">
        <f>Postkarten!L130</f>
        <v>3</v>
      </c>
      <c r="E135" s="30">
        <f>Postkarten!M130</f>
        <v>6</v>
      </c>
      <c r="F135" s="30">
        <f>Postkarten!N130</f>
        <v>6</v>
      </c>
      <c r="G135" s="30">
        <v>3</v>
      </c>
      <c r="H135" s="30">
        <v>6</v>
      </c>
      <c r="I135" s="30">
        <v>6</v>
      </c>
      <c r="J135" s="30">
        <f t="shared" si="4"/>
        <v>0</v>
      </c>
      <c r="K135" s="30">
        <f t="shared" si="5"/>
        <v>0</v>
      </c>
      <c r="L135" s="30">
        <f t="shared" si="6"/>
        <v>0</v>
      </c>
      <c r="M135" s="9" t="str">
        <f t="shared" si="7"/>
        <v>Unverändert</v>
      </c>
    </row>
    <row r="136" spans="1:13" ht="30" customHeight="1" x14ac:dyDescent="0.3">
      <c r="A136" s="9">
        <v>131</v>
      </c>
      <c r="B136" s="6" t="str">
        <f>Postkarten!A131</f>
        <v>AK-2026-0130</v>
      </c>
      <c r="C136" s="8" t="str">
        <f>Postkarten!B131</f>
        <v>München – Löwenbräu-Keller (Diplom-Scherzkarte)</v>
      </c>
      <c r="D136" s="30">
        <f>Postkarten!L131</f>
        <v>5</v>
      </c>
      <c r="E136" s="30">
        <f>Postkarten!M131</f>
        <v>10</v>
      </c>
      <c r="F136" s="30">
        <f>Postkarten!N131</f>
        <v>10</v>
      </c>
      <c r="G136" s="30">
        <v>5</v>
      </c>
      <c r="H136" s="30">
        <v>10</v>
      </c>
      <c r="I136" s="30">
        <v>10</v>
      </c>
      <c r="J136" s="30">
        <f t="shared" ref="J136:J199" si="8">G136-D136</f>
        <v>0</v>
      </c>
      <c r="K136" s="30">
        <f t="shared" ref="K136:K199" si="9">H136-E136</f>
        <v>0</v>
      </c>
      <c r="L136" s="30">
        <f t="shared" ref="L136:L199" si="10">I136-F136</f>
        <v>0</v>
      </c>
      <c r="M136" s="9" t="str">
        <f t="shared" ref="M136:M199" si="11">IF(L136&gt;0,"Erhöhen",IF(L136&lt;0,"Senken","Unverändert"))</f>
        <v>Unverändert</v>
      </c>
    </row>
    <row r="137" spans="1:13" ht="30" customHeight="1" x14ac:dyDescent="0.3">
      <c r="A137" s="9">
        <v>132</v>
      </c>
      <c r="B137" s="6" t="str">
        <f>Postkarten!A132</f>
        <v>AK-2026-0131</v>
      </c>
      <c r="C137" s="8" t="str">
        <f>Postkarten!B132</f>
        <v>Partie von Giesing (München) mit Heilig-Kreuz-Kirche</v>
      </c>
      <c r="D137" s="30">
        <f>Postkarten!L132</f>
        <v>4</v>
      </c>
      <c r="E137" s="30">
        <f>Postkarten!M132</f>
        <v>8</v>
      </c>
      <c r="F137" s="30">
        <f>Postkarten!N132</f>
        <v>8</v>
      </c>
      <c r="G137" s="30">
        <v>4</v>
      </c>
      <c r="H137" s="30">
        <v>8</v>
      </c>
      <c r="I137" s="30">
        <v>8</v>
      </c>
      <c r="J137" s="30">
        <f t="shared" si="8"/>
        <v>0</v>
      </c>
      <c r="K137" s="30">
        <f t="shared" si="9"/>
        <v>0</v>
      </c>
      <c r="L137" s="30">
        <f t="shared" si="10"/>
        <v>0</v>
      </c>
      <c r="M137" s="9" t="str">
        <f t="shared" si="11"/>
        <v>Unverändert</v>
      </c>
    </row>
    <row r="138" spans="1:13" ht="30" customHeight="1" x14ac:dyDescent="0.3">
      <c r="A138" s="9">
        <v>133</v>
      </c>
      <c r="B138" s="6" t="str">
        <f>Postkarten!A133</f>
        <v>AK-2026-0132</v>
      </c>
      <c r="C138" s="8" t="str">
        <f>Postkarten!B133</f>
        <v>Gruss aus dem Mathäserbräu München (Fest-Saal)</v>
      </c>
      <c r="D138" s="30">
        <f>Postkarten!L133</f>
        <v>5</v>
      </c>
      <c r="E138" s="30">
        <f>Postkarten!M133</f>
        <v>10</v>
      </c>
      <c r="F138" s="30">
        <f>Postkarten!N133</f>
        <v>10</v>
      </c>
      <c r="G138" s="30">
        <v>5</v>
      </c>
      <c r="H138" s="30">
        <v>10</v>
      </c>
      <c r="I138" s="30">
        <v>10</v>
      </c>
      <c r="J138" s="30">
        <f t="shared" si="8"/>
        <v>0</v>
      </c>
      <c r="K138" s="30">
        <f t="shared" si="9"/>
        <v>0</v>
      </c>
      <c r="L138" s="30">
        <f t="shared" si="10"/>
        <v>0</v>
      </c>
      <c r="M138" s="9" t="str">
        <f t="shared" si="11"/>
        <v>Unverändert</v>
      </c>
    </row>
    <row r="139" spans="1:13" ht="30" customHeight="1" x14ac:dyDescent="0.3">
      <c r="A139" s="9">
        <v>134</v>
      </c>
      <c r="B139" s="6" t="str">
        <f>Postkarten!A134</f>
        <v>AK-2026-0133</v>
      </c>
      <c r="C139" s="8" t="str">
        <f>Postkarten!B134</f>
        <v>XXIII. Bundestag des D. R. B. Nürnberg (Kaiserburg)</v>
      </c>
      <c r="D139" s="30">
        <f>Postkarten!L134</f>
        <v>8</v>
      </c>
      <c r="E139" s="30">
        <f>Postkarten!M134</f>
        <v>19</v>
      </c>
      <c r="F139" s="30">
        <f>Postkarten!N134</f>
        <v>19</v>
      </c>
      <c r="G139" s="30">
        <v>10</v>
      </c>
      <c r="H139" s="30">
        <v>22</v>
      </c>
      <c r="I139" s="30">
        <v>19</v>
      </c>
      <c r="J139" s="30">
        <f t="shared" si="8"/>
        <v>2</v>
      </c>
      <c r="K139" s="30">
        <f t="shared" si="9"/>
        <v>3</v>
      </c>
      <c r="L139" s="30">
        <f t="shared" si="10"/>
        <v>0</v>
      </c>
      <c r="M139" s="9" t="str">
        <f t="shared" si="11"/>
        <v>Unverändert</v>
      </c>
    </row>
    <row r="140" spans="1:13" ht="30" customHeight="1" x14ac:dyDescent="0.3">
      <c r="A140" s="9">
        <v>135</v>
      </c>
      <c r="B140" s="6" t="str">
        <f>Postkarten!A135</f>
        <v>AK-2026-0134</v>
      </c>
      <c r="C140" s="8" t="str">
        <f>Postkarten!B135</f>
        <v>München – Karolinenplatz mit Obelisk</v>
      </c>
      <c r="D140" s="30">
        <f>Postkarten!L135</f>
        <v>4</v>
      </c>
      <c r="E140" s="30">
        <f>Postkarten!M135</f>
        <v>8</v>
      </c>
      <c r="F140" s="30">
        <f>Postkarten!N135</f>
        <v>8</v>
      </c>
      <c r="G140" s="30">
        <v>4</v>
      </c>
      <c r="H140" s="30">
        <v>8</v>
      </c>
      <c r="I140" s="30">
        <v>8</v>
      </c>
      <c r="J140" s="30">
        <f t="shared" si="8"/>
        <v>0</v>
      </c>
      <c r="K140" s="30">
        <f t="shared" si="9"/>
        <v>0</v>
      </c>
      <c r="L140" s="30">
        <f t="shared" si="10"/>
        <v>0</v>
      </c>
      <c r="M140" s="9" t="str">
        <f t="shared" si="11"/>
        <v>Unverändert</v>
      </c>
    </row>
    <row r="141" spans="1:13" ht="30" customHeight="1" x14ac:dyDescent="0.3">
      <c r="A141" s="9">
        <v>136</v>
      </c>
      <c r="B141" s="6" t="str">
        <f>Postkarten!A136</f>
        <v>AK-2026-0135</v>
      </c>
      <c r="C141" s="8" t="str">
        <f>Postkarten!B136</f>
        <v>Momentaufnahme im Hofbräuhaus bei 35 Grad im Schatten</v>
      </c>
      <c r="D141" s="30">
        <f>Postkarten!L136</f>
        <v>5</v>
      </c>
      <c r="E141" s="30">
        <f>Postkarten!M136</f>
        <v>10</v>
      </c>
      <c r="F141" s="30">
        <f>Postkarten!N136</f>
        <v>10</v>
      </c>
      <c r="G141" s="30">
        <v>5</v>
      </c>
      <c r="H141" s="30">
        <v>10</v>
      </c>
      <c r="I141" s="30">
        <v>10</v>
      </c>
      <c r="J141" s="30">
        <f t="shared" si="8"/>
        <v>0</v>
      </c>
      <c r="K141" s="30">
        <f t="shared" si="9"/>
        <v>0</v>
      </c>
      <c r="L141" s="30">
        <f t="shared" si="10"/>
        <v>0</v>
      </c>
      <c r="M141" s="9" t="str">
        <f t="shared" si="11"/>
        <v>Unverändert</v>
      </c>
    </row>
    <row r="142" spans="1:13" ht="30" customHeight="1" x14ac:dyDescent="0.3">
      <c r="A142" s="9">
        <v>137</v>
      </c>
      <c r="B142" s="6" t="str">
        <f>Postkarten!A137</f>
        <v>AK-2026-0136</v>
      </c>
      <c r="C142" s="8" t="str">
        <f>Postkarten!B137</f>
        <v>Nürnberg vom Hallertor</v>
      </c>
      <c r="D142" s="30">
        <f>Postkarten!L137</f>
        <v>4</v>
      </c>
      <c r="E142" s="30">
        <f>Postkarten!M137</f>
        <v>8</v>
      </c>
      <c r="F142" s="30">
        <f>Postkarten!N137</f>
        <v>8</v>
      </c>
      <c r="G142" s="30">
        <v>4</v>
      </c>
      <c r="H142" s="30">
        <v>8</v>
      </c>
      <c r="I142" s="30">
        <v>8</v>
      </c>
      <c r="J142" s="30">
        <f t="shared" si="8"/>
        <v>0</v>
      </c>
      <c r="K142" s="30">
        <f t="shared" si="9"/>
        <v>0</v>
      </c>
      <c r="L142" s="30">
        <f t="shared" si="10"/>
        <v>0</v>
      </c>
      <c r="M142" s="9" t="str">
        <f t="shared" si="11"/>
        <v>Unverändert</v>
      </c>
    </row>
    <row r="143" spans="1:13" ht="30" customHeight="1" x14ac:dyDescent="0.3">
      <c r="A143" s="9">
        <v>138</v>
      </c>
      <c r="B143" s="6" t="str">
        <f>Postkarten!A138</f>
        <v>AK-2026-0137</v>
      </c>
      <c r="C143" s="8" t="str">
        <f>Postkarten!B138</f>
        <v>Nürnberg – Sebaldusklause und Handwerkskammer</v>
      </c>
      <c r="D143" s="30">
        <f>Postkarten!L138</f>
        <v>4</v>
      </c>
      <c r="E143" s="30">
        <f>Postkarten!M138</f>
        <v>8</v>
      </c>
      <c r="F143" s="30">
        <f>Postkarten!N138</f>
        <v>8</v>
      </c>
      <c r="G143" s="30">
        <v>4</v>
      </c>
      <c r="H143" s="30">
        <v>8</v>
      </c>
      <c r="I143" s="30">
        <v>8</v>
      </c>
      <c r="J143" s="30">
        <f t="shared" si="8"/>
        <v>0</v>
      </c>
      <c r="K143" s="30">
        <f t="shared" si="9"/>
        <v>0</v>
      </c>
      <c r="L143" s="30">
        <f t="shared" si="10"/>
        <v>0</v>
      </c>
      <c r="M143" s="9" t="str">
        <f t="shared" si="11"/>
        <v>Unverändert</v>
      </c>
    </row>
    <row r="144" spans="1:13" ht="30" customHeight="1" x14ac:dyDescent="0.3">
      <c r="A144" s="9">
        <v>139</v>
      </c>
      <c r="B144" s="6" t="str">
        <f>Postkarten!A139</f>
        <v>AK-2026-0138</v>
      </c>
      <c r="C144" s="8" t="str">
        <f>Postkarten!B139</f>
        <v>Nürnberg – Germanisches Museum</v>
      </c>
      <c r="D144" s="30">
        <f>Postkarten!L139</f>
        <v>4</v>
      </c>
      <c r="E144" s="30">
        <f>Postkarten!M139</f>
        <v>8</v>
      </c>
      <c r="F144" s="30">
        <f>Postkarten!N139</f>
        <v>8</v>
      </c>
      <c r="G144" s="30">
        <v>4</v>
      </c>
      <c r="H144" s="30">
        <v>8</v>
      </c>
      <c r="I144" s="30">
        <v>8</v>
      </c>
      <c r="J144" s="30">
        <f t="shared" si="8"/>
        <v>0</v>
      </c>
      <c r="K144" s="30">
        <f t="shared" si="9"/>
        <v>0</v>
      </c>
      <c r="L144" s="30">
        <f t="shared" si="10"/>
        <v>0</v>
      </c>
      <c r="M144" s="9" t="str">
        <f t="shared" si="11"/>
        <v>Unverändert</v>
      </c>
    </row>
    <row r="145" spans="1:13" ht="30" customHeight="1" x14ac:dyDescent="0.3">
      <c r="A145" s="9">
        <v>140</v>
      </c>
      <c r="B145" s="6" t="str">
        <f>Postkarten!A140</f>
        <v>AK-2026-0139</v>
      </c>
      <c r="C145" s="8" t="str">
        <f>Postkarten!B140</f>
        <v>München – Frauentürme</v>
      </c>
      <c r="D145" s="30">
        <f>Postkarten!L140</f>
        <v>4</v>
      </c>
      <c r="E145" s="30">
        <f>Postkarten!M140</f>
        <v>8</v>
      </c>
      <c r="F145" s="30">
        <f>Postkarten!N140</f>
        <v>8</v>
      </c>
      <c r="G145" s="30">
        <v>4</v>
      </c>
      <c r="H145" s="30">
        <v>8</v>
      </c>
      <c r="I145" s="30">
        <v>8</v>
      </c>
      <c r="J145" s="30">
        <f t="shared" si="8"/>
        <v>0</v>
      </c>
      <c r="K145" s="30">
        <f t="shared" si="9"/>
        <v>0</v>
      </c>
      <c r="L145" s="30">
        <f t="shared" si="10"/>
        <v>0</v>
      </c>
      <c r="M145" s="9" t="str">
        <f t="shared" si="11"/>
        <v>Unverändert</v>
      </c>
    </row>
    <row r="146" spans="1:13" ht="30" customHeight="1" x14ac:dyDescent="0.3">
      <c r="A146" s="9">
        <v>141</v>
      </c>
      <c r="B146" s="6" t="str">
        <f>Postkarten!A141</f>
        <v>AK-2026-0140</v>
      </c>
      <c r="C146" s="8" t="str">
        <f>Postkarten!B141</f>
        <v>München – Theatinerkirche u. Feldherrnhalle</v>
      </c>
      <c r="D146" s="30">
        <f>Postkarten!L141</f>
        <v>4</v>
      </c>
      <c r="E146" s="30">
        <f>Postkarten!M141</f>
        <v>8</v>
      </c>
      <c r="F146" s="30">
        <f>Postkarten!N141</f>
        <v>8</v>
      </c>
      <c r="G146" s="30">
        <v>4</v>
      </c>
      <c r="H146" s="30">
        <v>8</v>
      </c>
      <c r="I146" s="30">
        <v>8</v>
      </c>
      <c r="J146" s="30">
        <f t="shared" si="8"/>
        <v>0</v>
      </c>
      <c r="K146" s="30">
        <f t="shared" si="9"/>
        <v>0</v>
      </c>
      <c r="L146" s="30">
        <f t="shared" si="10"/>
        <v>0</v>
      </c>
      <c r="M146" s="9" t="str">
        <f t="shared" si="11"/>
        <v>Unverändert</v>
      </c>
    </row>
    <row r="147" spans="1:13" ht="30" customHeight="1" x14ac:dyDescent="0.3">
      <c r="A147" s="9">
        <v>142</v>
      </c>
      <c r="B147" s="6" t="str">
        <f>Postkarten!A142</f>
        <v>AK-2026-0141</v>
      </c>
      <c r="C147" s="8" t="str">
        <f>Postkarten!B142</f>
        <v>Gruss aus Cham</v>
      </c>
      <c r="D147" s="30">
        <f>Postkarten!L142</f>
        <v>4</v>
      </c>
      <c r="E147" s="30">
        <f>Postkarten!M142</f>
        <v>8</v>
      </c>
      <c r="F147" s="30">
        <f>Postkarten!N142</f>
        <v>8</v>
      </c>
      <c r="G147" s="30">
        <v>4</v>
      </c>
      <c r="H147" s="30">
        <v>8</v>
      </c>
      <c r="I147" s="30">
        <v>8</v>
      </c>
      <c r="J147" s="30">
        <f t="shared" si="8"/>
        <v>0</v>
      </c>
      <c r="K147" s="30">
        <f t="shared" si="9"/>
        <v>0</v>
      </c>
      <c r="L147" s="30">
        <f t="shared" si="10"/>
        <v>0</v>
      </c>
      <c r="M147" s="9" t="str">
        <f t="shared" si="11"/>
        <v>Unverändert</v>
      </c>
    </row>
    <row r="148" spans="1:13" ht="30" customHeight="1" x14ac:dyDescent="0.3">
      <c r="A148" s="9">
        <v>143</v>
      </c>
      <c r="B148" s="6" t="str">
        <f>Postkarten!A143</f>
        <v>AK-2026-0142</v>
      </c>
      <c r="C148" s="8" t="str">
        <f>Postkarten!B143</f>
        <v>Ingolstadt (Mehransichtenkarte)</v>
      </c>
      <c r="D148" s="30">
        <f>Postkarten!L143</f>
        <v>4</v>
      </c>
      <c r="E148" s="30">
        <f>Postkarten!M143</f>
        <v>8</v>
      </c>
      <c r="F148" s="30">
        <f>Postkarten!N143</f>
        <v>8</v>
      </c>
      <c r="G148" s="30">
        <v>4</v>
      </c>
      <c r="H148" s="30">
        <v>8</v>
      </c>
      <c r="I148" s="30">
        <v>8</v>
      </c>
      <c r="J148" s="30">
        <f t="shared" si="8"/>
        <v>0</v>
      </c>
      <c r="K148" s="30">
        <f t="shared" si="9"/>
        <v>0</v>
      </c>
      <c r="L148" s="30">
        <f t="shared" si="10"/>
        <v>0</v>
      </c>
      <c r="M148" s="9" t="str">
        <f t="shared" si="11"/>
        <v>Unverändert</v>
      </c>
    </row>
    <row r="149" spans="1:13" ht="30" customHeight="1" x14ac:dyDescent="0.3">
      <c r="A149" s="9">
        <v>144</v>
      </c>
      <c r="B149" s="6" t="str">
        <f>Postkarten!A144</f>
        <v>AK-2026-0143</v>
      </c>
      <c r="C149" s="8" t="str">
        <f>Postkarten!B144</f>
        <v>Berlin – Die Kaiser-Alexander-Garde-Grenadiere kommen!</v>
      </c>
      <c r="D149" s="30">
        <f>Postkarten!L144</f>
        <v>8</v>
      </c>
      <c r="E149" s="30">
        <f>Postkarten!M144</f>
        <v>14</v>
      </c>
      <c r="F149" s="30">
        <f>Postkarten!N144</f>
        <v>14</v>
      </c>
      <c r="G149" s="30">
        <v>8</v>
      </c>
      <c r="H149" s="30">
        <v>16</v>
      </c>
      <c r="I149" s="30">
        <v>14</v>
      </c>
      <c r="J149" s="30">
        <f t="shared" si="8"/>
        <v>0</v>
      </c>
      <c r="K149" s="30">
        <f t="shared" si="9"/>
        <v>2</v>
      </c>
      <c r="L149" s="30">
        <f t="shared" si="10"/>
        <v>0</v>
      </c>
      <c r="M149" s="9" t="str">
        <f t="shared" si="11"/>
        <v>Unverändert</v>
      </c>
    </row>
    <row r="150" spans="1:13" ht="30" customHeight="1" x14ac:dyDescent="0.3">
      <c r="A150" s="9">
        <v>145</v>
      </c>
      <c r="B150" s="6" t="str">
        <f>Postkarten!A145</f>
        <v>AK-2026-0144</v>
      </c>
      <c r="C150" s="8" t="str">
        <f>Postkarten!B145</f>
        <v>Regensburg – Dom-Süd-Portal</v>
      </c>
      <c r="D150" s="30">
        <f>Postkarten!L145</f>
        <v>3</v>
      </c>
      <c r="E150" s="30">
        <f>Postkarten!M145</f>
        <v>6</v>
      </c>
      <c r="F150" s="30">
        <f>Postkarten!N145</f>
        <v>6</v>
      </c>
      <c r="G150" s="30">
        <v>3</v>
      </c>
      <c r="H150" s="30">
        <v>6</v>
      </c>
      <c r="I150" s="30">
        <v>6</v>
      </c>
      <c r="J150" s="30">
        <f t="shared" si="8"/>
        <v>0</v>
      </c>
      <c r="K150" s="30">
        <f t="shared" si="9"/>
        <v>0</v>
      </c>
      <c r="L150" s="30">
        <f t="shared" si="10"/>
        <v>0</v>
      </c>
      <c r="M150" s="9" t="str">
        <f t="shared" si="11"/>
        <v>Unverändert</v>
      </c>
    </row>
    <row r="151" spans="1:13" ht="30" customHeight="1" x14ac:dyDescent="0.3">
      <c r="A151" s="9">
        <v>146</v>
      </c>
      <c r="B151" s="6" t="str">
        <f>Postkarten!A146</f>
        <v>AK-2026-0145</v>
      </c>
      <c r="C151" s="8" t="str">
        <f>Postkarten!B146</f>
        <v>Freiherr vom Stein (1831–1931) – Ganzsache</v>
      </c>
      <c r="D151" s="30">
        <f>Postkarten!L146</f>
        <v>2.5</v>
      </c>
      <c r="E151" s="30">
        <f>Postkarten!M146</f>
        <v>5</v>
      </c>
      <c r="F151" s="30">
        <f>Postkarten!N146</f>
        <v>5</v>
      </c>
      <c r="G151" s="30">
        <v>2.5</v>
      </c>
      <c r="H151" s="30">
        <v>5</v>
      </c>
      <c r="I151" s="30">
        <v>5</v>
      </c>
      <c r="J151" s="30">
        <f t="shared" si="8"/>
        <v>0</v>
      </c>
      <c r="K151" s="30">
        <f t="shared" si="9"/>
        <v>0</v>
      </c>
      <c r="L151" s="30">
        <f t="shared" si="10"/>
        <v>0</v>
      </c>
      <c r="M151" s="9" t="str">
        <f t="shared" si="11"/>
        <v>Unverändert</v>
      </c>
    </row>
    <row r="152" spans="1:13" ht="30" customHeight="1" x14ac:dyDescent="0.3">
      <c r="A152" s="9">
        <v>147</v>
      </c>
      <c r="B152" s="6" t="str">
        <f>Postkarten!A147</f>
        <v>AK-2026-0146</v>
      </c>
      <c r="C152" s="8" t="str">
        <f>Postkarten!B147</f>
        <v>Ammersee-Panorama vom Königsberg gegen Süden</v>
      </c>
      <c r="D152" s="30">
        <f>Postkarten!L147</f>
        <v>3</v>
      </c>
      <c r="E152" s="30">
        <f>Postkarten!M147</f>
        <v>6</v>
      </c>
      <c r="F152" s="30">
        <f>Postkarten!N147</f>
        <v>6</v>
      </c>
      <c r="G152" s="30">
        <v>3</v>
      </c>
      <c r="H152" s="30">
        <v>6</v>
      </c>
      <c r="I152" s="30">
        <v>6</v>
      </c>
      <c r="J152" s="30">
        <f t="shared" si="8"/>
        <v>0</v>
      </c>
      <c r="K152" s="30">
        <f t="shared" si="9"/>
        <v>0</v>
      </c>
      <c r="L152" s="30">
        <f t="shared" si="10"/>
        <v>0</v>
      </c>
      <c r="M152" s="9" t="str">
        <f t="shared" si="11"/>
        <v>Unverändert</v>
      </c>
    </row>
    <row r="153" spans="1:13" ht="30" customHeight="1" x14ac:dyDescent="0.3">
      <c r="A153" s="9">
        <v>148</v>
      </c>
      <c r="B153" s="6" t="str">
        <f>Postkarten!A148</f>
        <v>AK-2026-0147</v>
      </c>
      <c r="C153" s="8" t="str">
        <f>Postkarten!B148</f>
        <v>Se. Kgl. Hoheit Prinzregent Luitpold von Bayern (80. Geburtstag 1901)</v>
      </c>
      <c r="D153" s="30">
        <f>Postkarten!L148</f>
        <v>4</v>
      </c>
      <c r="E153" s="30">
        <f>Postkarten!M148</f>
        <v>8</v>
      </c>
      <c r="F153" s="30">
        <f>Postkarten!N148</f>
        <v>8</v>
      </c>
      <c r="G153" s="30">
        <v>4</v>
      </c>
      <c r="H153" s="30">
        <v>8</v>
      </c>
      <c r="I153" s="30">
        <v>8</v>
      </c>
      <c r="J153" s="30">
        <f t="shared" si="8"/>
        <v>0</v>
      </c>
      <c r="K153" s="30">
        <f t="shared" si="9"/>
        <v>0</v>
      </c>
      <c r="L153" s="30">
        <f t="shared" si="10"/>
        <v>0</v>
      </c>
      <c r="M153" s="9" t="str">
        <f t="shared" si="11"/>
        <v>Unverändert</v>
      </c>
    </row>
    <row r="154" spans="1:13" ht="30" customHeight="1" x14ac:dyDescent="0.3">
      <c r="A154" s="9">
        <v>149</v>
      </c>
      <c r="B154" s="6" t="str">
        <f>Postkarten!A149</f>
        <v>AK-2026-0148</v>
      </c>
      <c r="C154" s="8" t="str">
        <f>Postkarten!B149</f>
        <v>Albrecht Dürer (500. Geburtstag) – Flügel der Nebelkrähe (Ganzsache)</v>
      </c>
      <c r="D154" s="30">
        <f>Postkarten!L149</f>
        <v>2.5</v>
      </c>
      <c r="E154" s="30">
        <f>Postkarten!M149</f>
        <v>5</v>
      </c>
      <c r="F154" s="30">
        <f>Postkarten!N149</f>
        <v>5</v>
      </c>
      <c r="G154" s="30">
        <v>2.5</v>
      </c>
      <c r="H154" s="30">
        <v>5</v>
      </c>
      <c r="I154" s="30">
        <v>5</v>
      </c>
      <c r="J154" s="30">
        <f t="shared" si="8"/>
        <v>0</v>
      </c>
      <c r="K154" s="30">
        <f t="shared" si="9"/>
        <v>0</v>
      </c>
      <c r="L154" s="30">
        <f t="shared" si="10"/>
        <v>0</v>
      </c>
      <c r="M154" s="9" t="str">
        <f t="shared" si="11"/>
        <v>Unverändert</v>
      </c>
    </row>
    <row r="155" spans="1:13" ht="30" customHeight="1" x14ac:dyDescent="0.3">
      <c r="A155" s="9">
        <v>150</v>
      </c>
      <c r="B155" s="6" t="str">
        <f>Postkarten!A150</f>
        <v>AK-2026-0149</v>
      </c>
      <c r="C155" s="8" t="str">
        <f>Postkarten!B150</f>
        <v>Regensburg – Dom-Süd-Portal</v>
      </c>
      <c r="D155" s="30">
        <f>Postkarten!L150</f>
        <v>2</v>
      </c>
      <c r="E155" s="30">
        <f>Postkarten!M150</f>
        <v>9</v>
      </c>
      <c r="F155" s="30">
        <f>Postkarten!N150</f>
        <v>9</v>
      </c>
      <c r="G155" s="30">
        <v>5</v>
      </c>
      <c r="H155" s="30">
        <v>10</v>
      </c>
      <c r="I155" s="30">
        <v>9</v>
      </c>
      <c r="J155" s="30">
        <f t="shared" si="8"/>
        <v>3</v>
      </c>
      <c r="K155" s="30">
        <f t="shared" si="9"/>
        <v>1</v>
      </c>
      <c r="L155" s="30">
        <f t="shared" si="10"/>
        <v>0</v>
      </c>
      <c r="M155" s="9" t="str">
        <f t="shared" si="11"/>
        <v>Unverändert</v>
      </c>
    </row>
    <row r="156" spans="1:13" ht="30" customHeight="1" x14ac:dyDescent="0.3">
      <c r="A156" s="9">
        <v>151</v>
      </c>
      <c r="B156" s="6" t="str">
        <f>Postkarten!A151</f>
        <v>AK-2026-0150</v>
      </c>
      <c r="C156" s="8" t="str">
        <f>Postkarten!B151</f>
        <v>Walhalla bei Donaustauf (Mehransichten-Echtfoto)</v>
      </c>
      <c r="D156" s="30">
        <f>Postkarten!L151</f>
        <v>3</v>
      </c>
      <c r="E156" s="30">
        <f>Postkarten!M151</f>
        <v>10</v>
      </c>
      <c r="F156" s="30">
        <f>Postkarten!N151</f>
        <v>10</v>
      </c>
      <c r="G156" s="30">
        <v>5</v>
      </c>
      <c r="H156" s="30">
        <v>11</v>
      </c>
      <c r="I156" s="30">
        <v>10</v>
      </c>
      <c r="J156" s="30">
        <f t="shared" si="8"/>
        <v>2</v>
      </c>
      <c r="K156" s="30">
        <f t="shared" si="9"/>
        <v>1</v>
      </c>
      <c r="L156" s="30">
        <f t="shared" si="10"/>
        <v>0</v>
      </c>
      <c r="M156" s="9" t="str">
        <f t="shared" si="11"/>
        <v>Unverändert</v>
      </c>
    </row>
    <row r="157" spans="1:13" ht="30" customHeight="1" x14ac:dyDescent="0.3">
      <c r="A157" s="9">
        <v>152</v>
      </c>
      <c r="B157" s="6" t="str">
        <f>Postkarten!A152</f>
        <v>AK-2026-0151</v>
      </c>
      <c r="C157" s="8" t="str">
        <f>Postkarten!B152</f>
        <v>Pfarrkirche Parsberg (Architekt H. Hauberrisser jun.)</v>
      </c>
      <c r="D157" s="30">
        <f>Postkarten!L152</f>
        <v>4</v>
      </c>
      <c r="E157" s="30">
        <f>Postkarten!M152</f>
        <v>10</v>
      </c>
      <c r="F157" s="30">
        <f>Postkarten!N152</f>
        <v>10</v>
      </c>
      <c r="G157" s="30">
        <v>6</v>
      </c>
      <c r="H157" s="30">
        <v>12</v>
      </c>
      <c r="I157" s="30">
        <v>10</v>
      </c>
      <c r="J157" s="30">
        <f t="shared" si="8"/>
        <v>2</v>
      </c>
      <c r="K157" s="30">
        <f t="shared" si="9"/>
        <v>2</v>
      </c>
      <c r="L157" s="30">
        <f t="shared" si="10"/>
        <v>0</v>
      </c>
      <c r="M157" s="9" t="str">
        <f t="shared" si="11"/>
        <v>Unverändert</v>
      </c>
    </row>
    <row r="158" spans="1:13" ht="30" customHeight="1" x14ac:dyDescent="0.3">
      <c r="A158" s="9">
        <v>153</v>
      </c>
      <c r="B158" s="6" t="str">
        <f>Postkarten!A153</f>
        <v>AK-2026-0152</v>
      </c>
      <c r="C158" s="8" t="str">
        <f>Postkarten!B153</f>
        <v>Altenthann (Ort, Gasthof u. Metzgerei Jos. Gansmeier, Schulhaus)</v>
      </c>
      <c r="D158" s="30">
        <f>Postkarten!L153</f>
        <v>3</v>
      </c>
      <c r="E158" s="30">
        <f>Postkarten!M153</f>
        <v>10</v>
      </c>
      <c r="F158" s="30">
        <f>Postkarten!N153</f>
        <v>10</v>
      </c>
      <c r="G158" s="30">
        <v>6</v>
      </c>
      <c r="H158" s="30">
        <v>12</v>
      </c>
      <c r="I158" s="30">
        <v>10</v>
      </c>
      <c r="J158" s="30">
        <f t="shared" si="8"/>
        <v>3</v>
      </c>
      <c r="K158" s="30">
        <f t="shared" si="9"/>
        <v>2</v>
      </c>
      <c r="L158" s="30">
        <f t="shared" si="10"/>
        <v>0</v>
      </c>
      <c r="M158" s="9" t="str">
        <f t="shared" si="11"/>
        <v>Unverändert</v>
      </c>
    </row>
    <row r="159" spans="1:13" ht="30" customHeight="1" x14ac:dyDescent="0.3">
      <c r="A159" s="9">
        <v>154</v>
      </c>
      <c r="B159" s="6" t="str">
        <f>Postkarten!A154</f>
        <v>AK-2026-0153</v>
      </c>
      <c r="C159" s="8" t="str">
        <f>Postkarten!B154</f>
        <v>Schwarzhofen (Ortsansicht von oben)</v>
      </c>
      <c r="D159" s="30">
        <f>Postkarten!L154</f>
        <v>3</v>
      </c>
      <c r="E159" s="30">
        <f>Postkarten!M154</f>
        <v>9</v>
      </c>
      <c r="F159" s="30">
        <f>Postkarten!N154</f>
        <v>9</v>
      </c>
      <c r="G159" s="30">
        <v>5</v>
      </c>
      <c r="H159" s="30">
        <v>10</v>
      </c>
      <c r="I159" s="30">
        <v>9</v>
      </c>
      <c r="J159" s="30">
        <f t="shared" si="8"/>
        <v>2</v>
      </c>
      <c r="K159" s="30">
        <f t="shared" si="9"/>
        <v>1</v>
      </c>
      <c r="L159" s="30">
        <f t="shared" si="10"/>
        <v>0</v>
      </c>
      <c r="M159" s="9" t="str">
        <f t="shared" si="11"/>
        <v>Unverändert</v>
      </c>
    </row>
    <row r="160" spans="1:13" ht="30" customHeight="1" x14ac:dyDescent="0.3">
      <c r="A160" s="9">
        <v>155</v>
      </c>
      <c r="B160" s="6" t="str">
        <f>Postkarten!A155</f>
        <v>AK-2026-0154</v>
      </c>
      <c r="C160" s="8" t="str">
        <f>Postkarten!B155</f>
        <v>Parsberg/Opf. (Gesamtansicht mit Schloss)</v>
      </c>
      <c r="D160" s="30">
        <f>Postkarten!L155</f>
        <v>4</v>
      </c>
      <c r="E160" s="30">
        <f>Postkarten!M155</f>
        <v>10</v>
      </c>
      <c r="F160" s="30">
        <f>Postkarten!N155</f>
        <v>10</v>
      </c>
      <c r="G160" s="30">
        <v>6</v>
      </c>
      <c r="H160" s="30">
        <v>12</v>
      </c>
      <c r="I160" s="30">
        <v>10</v>
      </c>
      <c r="J160" s="30">
        <f t="shared" si="8"/>
        <v>2</v>
      </c>
      <c r="K160" s="30">
        <f t="shared" si="9"/>
        <v>2</v>
      </c>
      <c r="L160" s="30">
        <f t="shared" si="10"/>
        <v>0</v>
      </c>
      <c r="M160" s="9" t="str">
        <f t="shared" si="11"/>
        <v>Unverändert</v>
      </c>
    </row>
    <row r="161" spans="1:13" ht="30" customHeight="1" x14ac:dyDescent="0.3">
      <c r="A161" s="9">
        <v>156</v>
      </c>
      <c r="B161" s="6" t="str">
        <f>Postkarten!A156</f>
        <v>AK-2026-0155</v>
      </c>
      <c r="C161" s="8" t="str">
        <f>Postkarten!B156</f>
        <v>Haus des Rochus und Anton Lang (Passionsspiel Oberammergau 1900)</v>
      </c>
      <c r="D161" s="30">
        <f>Postkarten!L156</f>
        <v>6</v>
      </c>
      <c r="E161" s="30">
        <f>Postkarten!M156</f>
        <v>12</v>
      </c>
      <c r="F161" s="30">
        <f>Postkarten!N156</f>
        <v>12</v>
      </c>
      <c r="G161" s="30">
        <v>6</v>
      </c>
      <c r="H161" s="30">
        <v>13</v>
      </c>
      <c r="I161" s="30">
        <v>11</v>
      </c>
      <c r="J161" s="30">
        <f t="shared" si="8"/>
        <v>0</v>
      </c>
      <c r="K161" s="30">
        <f t="shared" si="9"/>
        <v>1</v>
      </c>
      <c r="L161" s="30">
        <f t="shared" si="10"/>
        <v>-1</v>
      </c>
      <c r="M161" s="9" t="str">
        <f t="shared" si="11"/>
        <v>Senken</v>
      </c>
    </row>
    <row r="162" spans="1:13" ht="30" customHeight="1" x14ac:dyDescent="0.3">
      <c r="A162" s="9">
        <v>157</v>
      </c>
      <c r="B162" s="6" t="str">
        <f>Postkarten!A157</f>
        <v>AK-2026-0156</v>
      </c>
      <c r="C162" s="8" t="str">
        <f>Postkarten!B157</f>
        <v>Gruss vom Oberammergauer Passionsspiel (Bühnenansicht)</v>
      </c>
      <c r="D162" s="30">
        <f>Postkarten!L157</f>
        <v>6</v>
      </c>
      <c r="E162" s="30">
        <f>Postkarten!M157</f>
        <v>12</v>
      </c>
      <c r="F162" s="30">
        <f>Postkarten!N157</f>
        <v>12</v>
      </c>
      <c r="G162" s="30">
        <v>5</v>
      </c>
      <c r="H162" s="30">
        <v>11</v>
      </c>
      <c r="I162" s="30">
        <v>9</v>
      </c>
      <c r="J162" s="30">
        <f t="shared" si="8"/>
        <v>-1</v>
      </c>
      <c r="K162" s="30">
        <f t="shared" si="9"/>
        <v>-1</v>
      </c>
      <c r="L162" s="30">
        <f t="shared" si="10"/>
        <v>-3</v>
      </c>
      <c r="M162" s="9" t="str">
        <f t="shared" si="11"/>
        <v>Senken</v>
      </c>
    </row>
    <row r="163" spans="1:13" ht="30" customHeight="1" x14ac:dyDescent="0.3">
      <c r="A163" s="9">
        <v>158</v>
      </c>
      <c r="B163" s="6" t="str">
        <f>Postkarten!A158</f>
        <v>AK-2026-0157</v>
      </c>
      <c r="C163" s="8" t="str">
        <f>Postkarten!B158</f>
        <v>Straubing (Waldvereinsenhalle)</v>
      </c>
      <c r="D163" s="30">
        <f>Postkarten!L158</f>
        <v>4</v>
      </c>
      <c r="E163" s="30">
        <f>Postkarten!M158</f>
        <v>9</v>
      </c>
      <c r="F163" s="30">
        <f>Postkarten!N158</f>
        <v>9</v>
      </c>
      <c r="G163" s="30">
        <v>5</v>
      </c>
      <c r="H163" s="30">
        <v>10</v>
      </c>
      <c r="I163" s="30">
        <v>9</v>
      </c>
      <c r="J163" s="30">
        <f t="shared" si="8"/>
        <v>1</v>
      </c>
      <c r="K163" s="30">
        <f t="shared" si="9"/>
        <v>1</v>
      </c>
      <c r="L163" s="30">
        <f t="shared" si="10"/>
        <v>0</v>
      </c>
      <c r="M163" s="9" t="str">
        <f t="shared" si="11"/>
        <v>Unverändert</v>
      </c>
    </row>
    <row r="164" spans="1:13" ht="30" customHeight="1" x14ac:dyDescent="0.3">
      <c r="A164" s="9">
        <v>159</v>
      </c>
      <c r="B164" s="6" t="str">
        <f>Postkarten!A159</f>
        <v>AK-2026-0158</v>
      </c>
      <c r="C164" s="8" t="str">
        <f>Postkarten!B159</f>
        <v>Granit-Steinbruch Zeinried!</v>
      </c>
      <c r="D164" s="30">
        <f>Postkarten!L159</f>
        <v>5</v>
      </c>
      <c r="E164" s="30">
        <f>Postkarten!M159</f>
        <v>18</v>
      </c>
      <c r="F164" s="30">
        <f>Postkarten!N159</f>
        <v>18</v>
      </c>
      <c r="G164" s="30">
        <v>10</v>
      </c>
      <c r="H164" s="30">
        <v>20</v>
      </c>
      <c r="I164" s="30">
        <v>18</v>
      </c>
      <c r="J164" s="30">
        <f t="shared" si="8"/>
        <v>5</v>
      </c>
      <c r="K164" s="30">
        <f t="shared" si="9"/>
        <v>2</v>
      </c>
      <c r="L164" s="30">
        <f t="shared" si="10"/>
        <v>0</v>
      </c>
      <c r="M164" s="9" t="str">
        <f t="shared" si="11"/>
        <v>Unverändert</v>
      </c>
    </row>
    <row r="165" spans="1:13" ht="30" customHeight="1" x14ac:dyDescent="0.3">
      <c r="A165" s="9">
        <v>160</v>
      </c>
      <c r="B165" s="6" t="str">
        <f>Postkarten!A160</f>
        <v>AK-2026-0159</v>
      </c>
      <c r="C165" s="8" t="str">
        <f>Postkarten!B160</f>
        <v>Landshut (Prinzregentenbrücke u. Theater)</v>
      </c>
      <c r="D165" s="30">
        <f>Postkarten!L160</f>
        <v>4</v>
      </c>
      <c r="E165" s="30">
        <f>Postkarten!M160</f>
        <v>8</v>
      </c>
      <c r="F165" s="30">
        <f>Postkarten!N160</f>
        <v>8</v>
      </c>
      <c r="G165" s="30">
        <v>4</v>
      </c>
      <c r="H165" s="30">
        <v>8</v>
      </c>
      <c r="I165" s="30">
        <v>8</v>
      </c>
      <c r="J165" s="30">
        <f t="shared" si="8"/>
        <v>0</v>
      </c>
      <c r="K165" s="30">
        <f t="shared" si="9"/>
        <v>0</v>
      </c>
      <c r="L165" s="30">
        <f t="shared" si="10"/>
        <v>0</v>
      </c>
      <c r="M165" s="9" t="str">
        <f t="shared" si="11"/>
        <v>Unverändert</v>
      </c>
    </row>
    <row r="166" spans="1:13" ht="30" customHeight="1" x14ac:dyDescent="0.3">
      <c r="A166" s="9">
        <v>161</v>
      </c>
      <c r="B166" s="6" t="str">
        <f>Postkarten!A161</f>
        <v>AK-2026-0160</v>
      </c>
      <c r="C166" s="8" t="str">
        <f>Postkarten!B161</f>
        <v>Königsschloss Herrenchiemsee (Große Spiegelgalerie)</v>
      </c>
      <c r="D166" s="30">
        <f>Postkarten!L161</f>
        <v>4</v>
      </c>
      <c r="E166" s="30">
        <f>Postkarten!M161</f>
        <v>8</v>
      </c>
      <c r="F166" s="30">
        <f>Postkarten!N161</f>
        <v>8</v>
      </c>
      <c r="G166" s="30">
        <v>4</v>
      </c>
      <c r="H166" s="30">
        <v>8</v>
      </c>
      <c r="I166" s="30">
        <v>8</v>
      </c>
      <c r="J166" s="30">
        <f t="shared" si="8"/>
        <v>0</v>
      </c>
      <c r="K166" s="30">
        <f t="shared" si="9"/>
        <v>0</v>
      </c>
      <c r="L166" s="30">
        <f t="shared" si="10"/>
        <v>0</v>
      </c>
      <c r="M166" s="9" t="str">
        <f t="shared" si="11"/>
        <v>Unverändert</v>
      </c>
    </row>
    <row r="167" spans="1:13" ht="30" customHeight="1" x14ac:dyDescent="0.3">
      <c r="A167" s="9">
        <v>162</v>
      </c>
      <c r="B167" s="6" t="str">
        <f>Postkarten!A162</f>
        <v>AK-2026-0161</v>
      </c>
      <c r="C167" s="8" t="str">
        <f>Postkarten!B162</f>
        <v>Kgl. Schloss Linderhof (Westliches Gobelinszimmer)</v>
      </c>
      <c r="D167" s="30">
        <f>Postkarten!L162</f>
        <v>3</v>
      </c>
      <c r="E167" s="30">
        <f>Postkarten!M162</f>
        <v>6</v>
      </c>
      <c r="F167" s="30">
        <f>Postkarten!N162</f>
        <v>6</v>
      </c>
      <c r="G167" s="30">
        <v>3</v>
      </c>
      <c r="H167" s="30">
        <v>6</v>
      </c>
      <c r="I167" s="30">
        <v>6</v>
      </c>
      <c r="J167" s="30">
        <f t="shared" si="8"/>
        <v>0</v>
      </c>
      <c r="K167" s="30">
        <f t="shared" si="9"/>
        <v>0</v>
      </c>
      <c r="L167" s="30">
        <f t="shared" si="10"/>
        <v>0</v>
      </c>
      <c r="M167" s="9" t="str">
        <f t="shared" si="11"/>
        <v>Unverändert</v>
      </c>
    </row>
    <row r="168" spans="1:13" ht="30" customHeight="1" x14ac:dyDescent="0.3">
      <c r="A168" s="9">
        <v>163</v>
      </c>
      <c r="B168" s="6" t="str">
        <f>Postkarten!A163</f>
        <v>AK-2026-0162</v>
      </c>
      <c r="C168" s="8" t="str">
        <f>Postkarten!B163</f>
        <v>Kgl. Schloss Herrenchiemsee (Jagdzimmer, Hellblauer Salon)</v>
      </c>
      <c r="D168" s="30">
        <f>Postkarten!L163</f>
        <v>4</v>
      </c>
      <c r="E168" s="30">
        <f>Postkarten!M163</f>
        <v>8</v>
      </c>
      <c r="F168" s="30">
        <f>Postkarten!N163</f>
        <v>8</v>
      </c>
      <c r="G168" s="30">
        <v>4</v>
      </c>
      <c r="H168" s="30">
        <v>8</v>
      </c>
      <c r="I168" s="30">
        <v>8</v>
      </c>
      <c r="J168" s="30">
        <f t="shared" si="8"/>
        <v>0</v>
      </c>
      <c r="K168" s="30">
        <f t="shared" si="9"/>
        <v>0</v>
      </c>
      <c r="L168" s="30">
        <f t="shared" si="10"/>
        <v>0</v>
      </c>
      <c r="M168" s="9" t="str">
        <f t="shared" si="11"/>
        <v>Unverändert</v>
      </c>
    </row>
    <row r="169" spans="1:13" ht="30" customHeight="1" x14ac:dyDescent="0.3">
      <c r="A169" s="9">
        <v>164</v>
      </c>
      <c r="B169" s="6" t="str">
        <f>Postkarten!A164</f>
        <v>AK-2026-0163</v>
      </c>
      <c r="C169" s="8" t="str">
        <f>Postkarten!B164</f>
        <v>Parsberg i. d. O.Pf. (Pfarrkirche konsekriert 1924 u. Kriegergedächtnisaltar)</v>
      </c>
      <c r="D169" s="30">
        <f>Postkarten!L164</f>
        <v>4</v>
      </c>
      <c r="E169" s="30">
        <f>Postkarten!M164</f>
        <v>9</v>
      </c>
      <c r="F169" s="30">
        <f>Postkarten!N164</f>
        <v>9</v>
      </c>
      <c r="G169" s="30">
        <v>5</v>
      </c>
      <c r="H169" s="30">
        <v>10</v>
      </c>
      <c r="I169" s="30">
        <v>9</v>
      </c>
      <c r="J169" s="30">
        <f t="shared" si="8"/>
        <v>1</v>
      </c>
      <c r="K169" s="30">
        <f t="shared" si="9"/>
        <v>1</v>
      </c>
      <c r="L169" s="30">
        <f t="shared" si="10"/>
        <v>0</v>
      </c>
      <c r="M169" s="9" t="str">
        <f t="shared" si="11"/>
        <v>Unverändert</v>
      </c>
    </row>
    <row r="170" spans="1:13" ht="30" customHeight="1" x14ac:dyDescent="0.3">
      <c r="A170" s="9">
        <v>165</v>
      </c>
      <c r="B170" s="6" t="str">
        <f>Postkarten!A165</f>
        <v>AK-2026-0164</v>
      </c>
      <c r="C170" s="8" t="str">
        <f>Postkarten!B165</f>
        <v>Kath. Pfarrkirche, Oberwinkling</v>
      </c>
      <c r="D170" s="30">
        <f>Postkarten!L165</f>
        <v>5</v>
      </c>
      <c r="E170" s="30">
        <f>Postkarten!M165</f>
        <v>10</v>
      </c>
      <c r="F170" s="30">
        <f>Postkarten!N165</f>
        <v>10</v>
      </c>
      <c r="G170" s="30">
        <v>6</v>
      </c>
      <c r="H170" s="30">
        <v>12</v>
      </c>
      <c r="I170" s="30">
        <v>10</v>
      </c>
      <c r="J170" s="30">
        <f t="shared" si="8"/>
        <v>1</v>
      </c>
      <c r="K170" s="30">
        <f t="shared" si="9"/>
        <v>2</v>
      </c>
      <c r="L170" s="30">
        <f t="shared" si="10"/>
        <v>0</v>
      </c>
      <c r="M170" s="9" t="str">
        <f t="shared" si="11"/>
        <v>Unverändert</v>
      </c>
    </row>
    <row r="171" spans="1:13" ht="30" customHeight="1" x14ac:dyDescent="0.3">
      <c r="A171" s="9">
        <v>166</v>
      </c>
      <c r="B171" s="6" t="str">
        <f>Postkarten!A166</f>
        <v>AK-2026-0165</v>
      </c>
      <c r="C171" s="8" t="str">
        <f>Postkarten!B166</f>
        <v>Walhalla vom Flugzeug aus / Inneres der Walhalla</v>
      </c>
      <c r="D171" s="30">
        <f>Postkarten!L166</f>
        <v>4</v>
      </c>
      <c r="E171" s="30">
        <f>Postkarten!M166</f>
        <v>8</v>
      </c>
      <c r="F171" s="30">
        <f>Postkarten!N166</f>
        <v>8</v>
      </c>
      <c r="G171" s="30">
        <v>4</v>
      </c>
      <c r="H171" s="30">
        <v>8</v>
      </c>
      <c r="I171" s="30">
        <v>8</v>
      </c>
      <c r="J171" s="30">
        <f t="shared" si="8"/>
        <v>0</v>
      </c>
      <c r="K171" s="30">
        <f t="shared" si="9"/>
        <v>0</v>
      </c>
      <c r="L171" s="30">
        <f t="shared" si="10"/>
        <v>0</v>
      </c>
      <c r="M171" s="9" t="str">
        <f t="shared" si="11"/>
        <v>Unverändert</v>
      </c>
    </row>
    <row r="172" spans="1:13" ht="30" customHeight="1" x14ac:dyDescent="0.3">
      <c r="A172" s="9">
        <v>167</v>
      </c>
      <c r="B172" s="6" t="str">
        <f>Postkarten!A167</f>
        <v>AK-2026-0166</v>
      </c>
      <c r="C172" s="8" t="str">
        <f>Postkarten!B167</f>
        <v>Walhalla bei Donaustauf</v>
      </c>
      <c r="D172" s="30">
        <f>Postkarten!L167</f>
        <v>4</v>
      </c>
      <c r="E172" s="30">
        <f>Postkarten!M167</f>
        <v>8</v>
      </c>
      <c r="F172" s="30">
        <f>Postkarten!N167</f>
        <v>8</v>
      </c>
      <c r="G172" s="30">
        <v>4</v>
      </c>
      <c r="H172" s="30">
        <v>8</v>
      </c>
      <c r="I172" s="30">
        <v>8</v>
      </c>
      <c r="J172" s="30">
        <f t="shared" si="8"/>
        <v>0</v>
      </c>
      <c r="K172" s="30">
        <f t="shared" si="9"/>
        <v>0</v>
      </c>
      <c r="L172" s="30">
        <f t="shared" si="10"/>
        <v>0</v>
      </c>
      <c r="M172" s="9" t="str">
        <f t="shared" si="11"/>
        <v>Unverändert</v>
      </c>
    </row>
    <row r="173" spans="1:13" ht="30" customHeight="1" x14ac:dyDescent="0.3">
      <c r="A173" s="9">
        <v>168</v>
      </c>
      <c r="B173" s="6" t="str">
        <f>Postkarten!A168</f>
        <v>AK-2026-0167</v>
      </c>
      <c r="C173" s="8" t="str">
        <f>Postkarten!B168</f>
        <v>Velburg (Oberpfalz)</v>
      </c>
      <c r="D173" s="30">
        <f>Postkarten!L168</f>
        <v>3</v>
      </c>
      <c r="E173" s="30">
        <f>Postkarten!M168</f>
        <v>9</v>
      </c>
      <c r="F173" s="30">
        <f>Postkarten!N168</f>
        <v>9</v>
      </c>
      <c r="G173" s="30">
        <v>5</v>
      </c>
      <c r="H173" s="30">
        <v>10</v>
      </c>
      <c r="I173" s="30">
        <v>9</v>
      </c>
      <c r="J173" s="30">
        <f t="shared" si="8"/>
        <v>2</v>
      </c>
      <c r="K173" s="30">
        <f t="shared" si="9"/>
        <v>1</v>
      </c>
      <c r="L173" s="30">
        <f t="shared" si="10"/>
        <v>0</v>
      </c>
      <c r="M173" s="9" t="str">
        <f t="shared" si="11"/>
        <v>Unverändert</v>
      </c>
    </row>
    <row r="174" spans="1:13" ht="30" customHeight="1" x14ac:dyDescent="0.3">
      <c r="A174" s="9">
        <v>169</v>
      </c>
      <c r="B174" s="6" t="str">
        <f>Postkarten!A169</f>
        <v>AK-2026-0168</v>
      </c>
      <c r="C174" s="8" t="str">
        <f>Postkarten!B169</f>
        <v>Hains-Jesu-Wallfahrtskirche, Velburg</v>
      </c>
      <c r="D174" s="30">
        <f>Postkarten!L169</f>
        <v>4</v>
      </c>
      <c r="E174" s="30">
        <f>Postkarten!M169</f>
        <v>9</v>
      </c>
      <c r="F174" s="30">
        <f>Postkarten!N169</f>
        <v>9</v>
      </c>
      <c r="G174" s="30">
        <v>5</v>
      </c>
      <c r="H174" s="30">
        <v>10</v>
      </c>
      <c r="I174" s="30">
        <v>9</v>
      </c>
      <c r="J174" s="30">
        <f t="shared" si="8"/>
        <v>1</v>
      </c>
      <c r="K174" s="30">
        <f t="shared" si="9"/>
        <v>1</v>
      </c>
      <c r="L174" s="30">
        <f t="shared" si="10"/>
        <v>0</v>
      </c>
      <c r="M174" s="9" t="str">
        <f t="shared" si="11"/>
        <v>Unverändert</v>
      </c>
    </row>
    <row r="175" spans="1:13" ht="30" customHeight="1" x14ac:dyDescent="0.3">
      <c r="A175" s="9">
        <v>170</v>
      </c>
      <c r="B175" s="6" t="str">
        <f>Postkarten!A170</f>
        <v>AK-2026-0169</v>
      </c>
      <c r="C175" s="8" t="str">
        <f>Postkarten!B170</f>
        <v>Straubing - Waldvereinshalle</v>
      </c>
      <c r="D175" s="30">
        <f>Postkarten!L170</f>
        <v>6</v>
      </c>
      <c r="E175" s="30">
        <f>Postkarten!M170</f>
        <v>10</v>
      </c>
      <c r="F175" s="30">
        <f>Postkarten!N170</f>
        <v>10</v>
      </c>
      <c r="G175" s="30">
        <v>6</v>
      </c>
      <c r="H175" s="30">
        <v>12</v>
      </c>
      <c r="I175" s="30">
        <v>10</v>
      </c>
      <c r="J175" s="30">
        <f t="shared" si="8"/>
        <v>0</v>
      </c>
      <c r="K175" s="30">
        <f t="shared" si="9"/>
        <v>2</v>
      </c>
      <c r="L175" s="30">
        <f t="shared" si="10"/>
        <v>0</v>
      </c>
      <c r="M175" s="9" t="str">
        <f t="shared" si="11"/>
        <v>Unverändert</v>
      </c>
    </row>
    <row r="176" spans="1:13" ht="30" customHeight="1" x14ac:dyDescent="0.3">
      <c r="A176" s="9">
        <v>171</v>
      </c>
      <c r="B176" s="6" t="str">
        <f>Postkarten!A171</f>
        <v>AK-2026-0170</v>
      </c>
      <c r="C176" s="8" t="str">
        <f>Postkarten!B171</f>
        <v>Nürnberg, Bratwurstglöcklein</v>
      </c>
      <c r="D176" s="30">
        <f>Postkarten!L171</f>
        <v>5</v>
      </c>
      <c r="E176" s="30">
        <f>Postkarten!M171</f>
        <v>10</v>
      </c>
      <c r="F176" s="30">
        <f>Postkarten!N171</f>
        <v>10</v>
      </c>
      <c r="G176" s="30">
        <v>5</v>
      </c>
      <c r="H176" s="30">
        <v>10</v>
      </c>
      <c r="I176" s="30">
        <v>10</v>
      </c>
      <c r="J176" s="30">
        <f t="shared" si="8"/>
        <v>0</v>
      </c>
      <c r="K176" s="30">
        <f t="shared" si="9"/>
        <v>0</v>
      </c>
      <c r="L176" s="30">
        <f t="shared" si="10"/>
        <v>0</v>
      </c>
      <c r="M176" s="9" t="str">
        <f t="shared" si="11"/>
        <v>Unverändert</v>
      </c>
    </row>
    <row r="177" spans="1:13" ht="30" customHeight="1" x14ac:dyDescent="0.3">
      <c r="A177" s="9">
        <v>172</v>
      </c>
      <c r="B177" s="6" t="str">
        <f>Postkarten!A172</f>
        <v>AK-2026-0171</v>
      </c>
      <c r="C177" s="8" t="str">
        <f>Postkarten!B172</f>
        <v>Würzburg - Veste Marienberg</v>
      </c>
      <c r="D177" s="30">
        <f>Postkarten!L172</f>
        <v>4</v>
      </c>
      <c r="E177" s="30">
        <f>Postkarten!M172</f>
        <v>8</v>
      </c>
      <c r="F177" s="30">
        <f>Postkarten!N172</f>
        <v>8</v>
      </c>
      <c r="G177" s="30">
        <v>4</v>
      </c>
      <c r="H177" s="30">
        <v>8</v>
      </c>
      <c r="I177" s="30">
        <v>8</v>
      </c>
      <c r="J177" s="30">
        <f t="shared" si="8"/>
        <v>0</v>
      </c>
      <c r="K177" s="30">
        <f t="shared" si="9"/>
        <v>0</v>
      </c>
      <c r="L177" s="30">
        <f t="shared" si="10"/>
        <v>0</v>
      </c>
      <c r="M177" s="9" t="str">
        <f t="shared" si="11"/>
        <v>Unverändert</v>
      </c>
    </row>
    <row r="178" spans="1:13" ht="30" customHeight="1" x14ac:dyDescent="0.3">
      <c r="A178" s="9">
        <v>173</v>
      </c>
      <c r="B178" s="6" t="str">
        <f>Postkarten!A173</f>
        <v>AK-2026-0172</v>
      </c>
      <c r="C178" s="8" t="str">
        <f>Postkarten!B173</f>
        <v>Bad Kissingen mit Rhönsanatorium</v>
      </c>
      <c r="D178" s="30">
        <f>Postkarten!L173</f>
        <v>3</v>
      </c>
      <c r="E178" s="30">
        <f>Postkarten!M173</f>
        <v>6</v>
      </c>
      <c r="F178" s="30">
        <f>Postkarten!N173</f>
        <v>6</v>
      </c>
      <c r="G178" s="30">
        <v>3</v>
      </c>
      <c r="H178" s="30">
        <v>6</v>
      </c>
      <c r="I178" s="30">
        <v>6</v>
      </c>
      <c r="J178" s="30">
        <f t="shared" si="8"/>
        <v>0</v>
      </c>
      <c r="K178" s="30">
        <f t="shared" si="9"/>
        <v>0</v>
      </c>
      <c r="L178" s="30">
        <f t="shared" si="10"/>
        <v>0</v>
      </c>
      <c r="M178" s="9" t="str">
        <f t="shared" si="11"/>
        <v>Unverändert</v>
      </c>
    </row>
    <row r="179" spans="1:13" ht="30" customHeight="1" x14ac:dyDescent="0.3">
      <c r="A179" s="9">
        <v>174</v>
      </c>
      <c r="B179" s="6" t="str">
        <f>Postkarten!A174</f>
        <v>AK-2026-0173</v>
      </c>
      <c r="C179" s="8" t="str">
        <f>Postkarten!B174</f>
        <v>Partie aus Starnberg mit Gebirgspanorama</v>
      </c>
      <c r="D179" s="30">
        <f>Postkarten!L174</f>
        <v>4</v>
      </c>
      <c r="E179" s="30">
        <f>Postkarten!M174</f>
        <v>8</v>
      </c>
      <c r="F179" s="30">
        <f>Postkarten!N174</f>
        <v>8</v>
      </c>
      <c r="G179" s="30">
        <v>4</v>
      </c>
      <c r="H179" s="30">
        <v>8</v>
      </c>
      <c r="I179" s="30">
        <v>8</v>
      </c>
      <c r="J179" s="30">
        <f t="shared" si="8"/>
        <v>0</v>
      </c>
      <c r="K179" s="30">
        <f t="shared" si="9"/>
        <v>0</v>
      </c>
      <c r="L179" s="30">
        <f t="shared" si="10"/>
        <v>0</v>
      </c>
      <c r="M179" s="9" t="str">
        <f t="shared" si="11"/>
        <v>Unverändert</v>
      </c>
    </row>
    <row r="180" spans="1:13" ht="30" customHeight="1" x14ac:dyDescent="0.3">
      <c r="A180" s="9">
        <v>175</v>
      </c>
      <c r="B180" s="6" t="str">
        <f>Postkarten!A175</f>
        <v>AK-2026-0174</v>
      </c>
      <c r="C180" s="8" t="str">
        <f>Postkarten!B175</f>
        <v>Regensburg - Historisches Tor mit Flaggen</v>
      </c>
      <c r="D180" s="30">
        <f>Postkarten!L175</f>
        <v>4</v>
      </c>
      <c r="E180" s="30">
        <f>Postkarten!M175</f>
        <v>8</v>
      </c>
      <c r="F180" s="30">
        <f>Postkarten!N175</f>
        <v>8</v>
      </c>
      <c r="G180" s="30">
        <v>4</v>
      </c>
      <c r="H180" s="30">
        <v>8</v>
      </c>
      <c r="I180" s="30">
        <v>8</v>
      </c>
      <c r="J180" s="30">
        <f t="shared" si="8"/>
        <v>0</v>
      </c>
      <c r="K180" s="30">
        <f t="shared" si="9"/>
        <v>0</v>
      </c>
      <c r="L180" s="30">
        <f t="shared" si="10"/>
        <v>0</v>
      </c>
      <c r="M180" s="9" t="str">
        <f t="shared" si="11"/>
        <v>Unverändert</v>
      </c>
    </row>
    <row r="181" spans="1:13" ht="30" customHeight="1" x14ac:dyDescent="0.3">
      <c r="A181" s="9">
        <v>176</v>
      </c>
      <c r="B181" s="6" t="str">
        <f>Postkarten!A176</f>
        <v>AK-2026-0175</v>
      </c>
      <c r="C181" s="8" t="str">
        <f>Postkarten!B176</f>
        <v>Regensburg - Blick von den Winzerhöhen</v>
      </c>
      <c r="D181" s="30">
        <f>Postkarten!L176</f>
        <v>3</v>
      </c>
      <c r="E181" s="30">
        <f>Postkarten!M176</f>
        <v>6</v>
      </c>
      <c r="F181" s="30">
        <f>Postkarten!N176</f>
        <v>6</v>
      </c>
      <c r="G181" s="30">
        <v>3</v>
      </c>
      <c r="H181" s="30">
        <v>6</v>
      </c>
      <c r="I181" s="30">
        <v>6</v>
      </c>
      <c r="J181" s="30">
        <f t="shared" si="8"/>
        <v>0</v>
      </c>
      <c r="K181" s="30">
        <f t="shared" si="9"/>
        <v>0</v>
      </c>
      <c r="L181" s="30">
        <f t="shared" si="10"/>
        <v>0</v>
      </c>
      <c r="M181" s="9" t="str">
        <f t="shared" si="11"/>
        <v>Unverändert</v>
      </c>
    </row>
    <row r="182" spans="1:13" ht="30" customHeight="1" x14ac:dyDescent="0.3">
      <c r="A182" s="9">
        <v>177</v>
      </c>
      <c r="B182" s="6" t="str">
        <f>Postkarten!A177</f>
        <v>AK-2026-0176</v>
      </c>
      <c r="C182" s="8" t="str">
        <f>Postkarten!B177</f>
        <v>Gruss aus dem Klerikal-Seminar, Regensburg</v>
      </c>
      <c r="D182" s="30">
        <f>Postkarten!L177</f>
        <v>4</v>
      </c>
      <c r="E182" s="30">
        <f>Postkarten!M177</f>
        <v>8</v>
      </c>
      <c r="F182" s="30">
        <f>Postkarten!N177</f>
        <v>8</v>
      </c>
      <c r="G182" s="30">
        <v>4</v>
      </c>
      <c r="H182" s="30">
        <v>8</v>
      </c>
      <c r="I182" s="30">
        <v>8</v>
      </c>
      <c r="J182" s="30">
        <f t="shared" si="8"/>
        <v>0</v>
      </c>
      <c r="K182" s="30">
        <f t="shared" si="9"/>
        <v>0</v>
      </c>
      <c r="L182" s="30">
        <f t="shared" si="10"/>
        <v>0</v>
      </c>
      <c r="M182" s="9" t="str">
        <f t="shared" si="11"/>
        <v>Unverändert</v>
      </c>
    </row>
    <row r="183" spans="1:13" ht="30" customHeight="1" x14ac:dyDescent="0.3">
      <c r="A183" s="9">
        <v>178</v>
      </c>
      <c r="B183" s="6" t="str">
        <f>Postkarten!A178</f>
        <v>AK-2026-0177</v>
      </c>
      <c r="C183" s="8" t="str">
        <f>Postkarten!B178</f>
        <v>Gruss aus Kulmbach (Plassenburg)</v>
      </c>
      <c r="D183" s="30">
        <f>Postkarten!L178</f>
        <v>4</v>
      </c>
      <c r="E183" s="30">
        <f>Postkarten!M178</f>
        <v>8</v>
      </c>
      <c r="F183" s="30">
        <f>Postkarten!N178</f>
        <v>8</v>
      </c>
      <c r="G183" s="30">
        <v>4</v>
      </c>
      <c r="H183" s="30">
        <v>8</v>
      </c>
      <c r="I183" s="30">
        <v>8</v>
      </c>
      <c r="J183" s="30">
        <f t="shared" si="8"/>
        <v>0</v>
      </c>
      <c r="K183" s="30">
        <f t="shared" si="9"/>
        <v>0</v>
      </c>
      <c r="L183" s="30">
        <f t="shared" si="10"/>
        <v>0</v>
      </c>
      <c r="M183" s="9" t="str">
        <f t="shared" si="11"/>
        <v>Unverändert</v>
      </c>
    </row>
    <row r="184" spans="1:13" ht="30" customHeight="1" x14ac:dyDescent="0.3">
      <c r="A184" s="9">
        <v>179</v>
      </c>
      <c r="B184" s="6" t="str">
        <f>Postkarten!A179</f>
        <v>AK-2026-0178</v>
      </c>
      <c r="C184" s="8" t="str">
        <f>Postkarten!B179</f>
        <v>Bayreuth - Festspielhaus</v>
      </c>
      <c r="D184" s="30">
        <f>Postkarten!L179</f>
        <v>3</v>
      </c>
      <c r="E184" s="30">
        <f>Postkarten!M179</f>
        <v>6</v>
      </c>
      <c r="F184" s="30">
        <f>Postkarten!N179</f>
        <v>6</v>
      </c>
      <c r="G184" s="30">
        <v>3</v>
      </c>
      <c r="H184" s="30">
        <v>6</v>
      </c>
      <c r="I184" s="30">
        <v>6</v>
      </c>
      <c r="J184" s="30">
        <f t="shared" si="8"/>
        <v>0</v>
      </c>
      <c r="K184" s="30">
        <f t="shared" si="9"/>
        <v>0</v>
      </c>
      <c r="L184" s="30">
        <f t="shared" si="10"/>
        <v>0</v>
      </c>
      <c r="M184" s="9" t="str">
        <f t="shared" si="11"/>
        <v>Unverändert</v>
      </c>
    </row>
    <row r="185" spans="1:13" ht="30" customHeight="1" x14ac:dyDescent="0.3">
      <c r="A185" s="9">
        <v>180</v>
      </c>
      <c r="B185" s="6" t="str">
        <f>Postkarten!A180</f>
        <v>AK-2026-0179</v>
      </c>
      <c r="C185" s="8" t="str">
        <f>Postkarten!B180</f>
        <v>Nürnberg - Hauptbahnhof</v>
      </c>
      <c r="D185" s="30">
        <f>Postkarten!L180</f>
        <v>3</v>
      </c>
      <c r="E185" s="30">
        <f>Postkarten!M180</f>
        <v>6</v>
      </c>
      <c r="F185" s="30">
        <f>Postkarten!N180</f>
        <v>6</v>
      </c>
      <c r="G185" s="30">
        <v>3</v>
      </c>
      <c r="H185" s="30">
        <v>6</v>
      </c>
      <c r="I185" s="30">
        <v>6</v>
      </c>
      <c r="J185" s="30">
        <f t="shared" si="8"/>
        <v>0</v>
      </c>
      <c r="K185" s="30">
        <f t="shared" si="9"/>
        <v>0</v>
      </c>
      <c r="L185" s="30">
        <f t="shared" si="10"/>
        <v>0</v>
      </c>
      <c r="M185" s="9" t="str">
        <f t="shared" si="11"/>
        <v>Unverändert</v>
      </c>
    </row>
    <row r="186" spans="1:13" ht="30" customHeight="1" x14ac:dyDescent="0.3">
      <c r="A186" s="9">
        <v>181</v>
      </c>
      <c r="B186" s="6" t="str">
        <f>Postkarten!A181</f>
        <v>AK-2026-0180</v>
      </c>
      <c r="C186" s="8" t="str">
        <f>Postkarten!B181</f>
        <v>Gruß aus München - Neues Nationalmuseum</v>
      </c>
      <c r="D186" s="30">
        <f>Postkarten!L181</f>
        <v>4</v>
      </c>
      <c r="E186" s="30">
        <f>Postkarten!M181</f>
        <v>8</v>
      </c>
      <c r="F186" s="30">
        <f>Postkarten!N181</f>
        <v>8</v>
      </c>
      <c r="G186" s="30">
        <v>4</v>
      </c>
      <c r="H186" s="30">
        <v>8</v>
      </c>
      <c r="I186" s="30">
        <v>8</v>
      </c>
      <c r="J186" s="30">
        <f t="shared" si="8"/>
        <v>0</v>
      </c>
      <c r="K186" s="30">
        <f t="shared" si="9"/>
        <v>0</v>
      </c>
      <c r="L186" s="30">
        <f t="shared" si="10"/>
        <v>0</v>
      </c>
      <c r="M186" s="9" t="str">
        <f t="shared" si="11"/>
        <v>Unverändert</v>
      </c>
    </row>
    <row r="187" spans="1:13" ht="30" customHeight="1" x14ac:dyDescent="0.3">
      <c r="A187" s="9">
        <v>182</v>
      </c>
      <c r="B187" s="6" t="str">
        <f>Postkarten!A182</f>
        <v>AK-2026-0181</v>
      </c>
      <c r="C187" s="8" t="str">
        <f>Postkarten!B182</f>
        <v>Gruss aus der Reconvalescenten-Anstalt Kostenz b. Englmar</v>
      </c>
      <c r="D187" s="30">
        <f>Postkarten!L182</f>
        <v>4</v>
      </c>
      <c r="E187" s="30">
        <f>Postkarten!M182</f>
        <v>10</v>
      </c>
      <c r="F187" s="30">
        <f>Postkarten!N182</f>
        <v>10</v>
      </c>
      <c r="G187" s="30">
        <v>6</v>
      </c>
      <c r="H187" s="30">
        <v>12</v>
      </c>
      <c r="I187" s="30">
        <v>10</v>
      </c>
      <c r="J187" s="30">
        <f t="shared" si="8"/>
        <v>2</v>
      </c>
      <c r="K187" s="30">
        <f t="shared" si="9"/>
        <v>2</v>
      </c>
      <c r="L187" s="30">
        <f t="shared" si="10"/>
        <v>0</v>
      </c>
      <c r="M187" s="9" t="str">
        <f t="shared" si="11"/>
        <v>Unverändert</v>
      </c>
    </row>
    <row r="188" spans="1:13" ht="30" customHeight="1" x14ac:dyDescent="0.3">
      <c r="A188" s="9">
        <v>183</v>
      </c>
      <c r="B188" s="6" t="str">
        <f>Postkarten!A183</f>
        <v>AK-2026-0182</v>
      </c>
      <c r="C188" s="8" t="str">
        <f>Postkarten!B183</f>
        <v>Altötting - Gesamtensemble</v>
      </c>
      <c r="D188" s="30">
        <f>Postkarten!L183</f>
        <v>4</v>
      </c>
      <c r="E188" s="30">
        <f>Postkarten!M183</f>
        <v>8</v>
      </c>
      <c r="F188" s="30">
        <f>Postkarten!N183</f>
        <v>8</v>
      </c>
      <c r="G188" s="30">
        <v>4</v>
      </c>
      <c r="H188" s="30">
        <v>8</v>
      </c>
      <c r="I188" s="30">
        <v>8</v>
      </c>
      <c r="J188" s="30">
        <f t="shared" si="8"/>
        <v>0</v>
      </c>
      <c r="K188" s="30">
        <f t="shared" si="9"/>
        <v>0</v>
      </c>
      <c r="L188" s="30">
        <f t="shared" si="10"/>
        <v>0</v>
      </c>
      <c r="M188" s="9" t="str">
        <f t="shared" si="11"/>
        <v>Unverändert</v>
      </c>
    </row>
    <row r="189" spans="1:13" ht="30" customHeight="1" x14ac:dyDescent="0.3">
      <c r="A189" s="9">
        <v>184</v>
      </c>
      <c r="B189" s="6" t="str">
        <f>Postkarten!A184</f>
        <v>AK-2026-0183</v>
      </c>
      <c r="C189" s="8" t="str">
        <f>Postkarten!B184</f>
        <v>Humoristische Ansichtskarte mit Bierkrug und bayerischem Spruch</v>
      </c>
      <c r="D189" s="30">
        <f>Postkarten!L184</f>
        <v>4</v>
      </c>
      <c r="E189" s="30">
        <f>Postkarten!M184</f>
        <v>8</v>
      </c>
      <c r="F189" s="30">
        <f>Postkarten!N184</f>
        <v>8</v>
      </c>
      <c r="G189" s="30">
        <v>4</v>
      </c>
      <c r="H189" s="30">
        <v>8</v>
      </c>
      <c r="I189" s="30">
        <v>8</v>
      </c>
      <c r="J189" s="30">
        <f t="shared" si="8"/>
        <v>0</v>
      </c>
      <c r="K189" s="30">
        <f t="shared" si="9"/>
        <v>0</v>
      </c>
      <c r="L189" s="30">
        <f t="shared" si="10"/>
        <v>0</v>
      </c>
      <c r="M189" s="9" t="str">
        <f t="shared" si="11"/>
        <v>Unverändert</v>
      </c>
    </row>
    <row r="190" spans="1:13" ht="30" customHeight="1" x14ac:dyDescent="0.3">
      <c r="A190" s="9">
        <v>185</v>
      </c>
      <c r="B190" s="6" t="str">
        <f>Postkarten!A185</f>
        <v>AK-2026-0184</v>
      </c>
      <c r="C190" s="8" t="str">
        <f>Postkarten!B185</f>
        <v>Regensburg - Blick auf Donau und Dom</v>
      </c>
      <c r="D190" s="30">
        <f>Postkarten!L185</f>
        <v>4</v>
      </c>
      <c r="E190" s="30">
        <f>Postkarten!M185</f>
        <v>8</v>
      </c>
      <c r="F190" s="30">
        <f>Postkarten!N185</f>
        <v>8</v>
      </c>
      <c r="G190" s="30">
        <v>4</v>
      </c>
      <c r="H190" s="30">
        <v>8</v>
      </c>
      <c r="I190" s="30">
        <v>8</v>
      </c>
      <c r="J190" s="30">
        <f t="shared" si="8"/>
        <v>0</v>
      </c>
      <c r="K190" s="30">
        <f t="shared" si="9"/>
        <v>0</v>
      </c>
      <c r="L190" s="30">
        <f t="shared" si="10"/>
        <v>0</v>
      </c>
      <c r="M190" s="9" t="str">
        <f t="shared" si="11"/>
        <v>Unverändert</v>
      </c>
    </row>
    <row r="191" spans="1:13" ht="30" customHeight="1" x14ac:dyDescent="0.3">
      <c r="A191" s="9">
        <v>186</v>
      </c>
      <c r="B191" s="6" t="str">
        <f>Postkarten!A186</f>
        <v>AK-2026-0185</v>
      </c>
      <c r="C191" s="8" t="str">
        <f>Postkarten!B186</f>
        <v>München - Justizpalast</v>
      </c>
      <c r="D191" s="30">
        <f>Postkarten!L186</f>
        <v>4</v>
      </c>
      <c r="E191" s="30">
        <f>Postkarten!M186</f>
        <v>8</v>
      </c>
      <c r="F191" s="30">
        <f>Postkarten!N186</f>
        <v>8</v>
      </c>
      <c r="G191" s="30">
        <v>4</v>
      </c>
      <c r="H191" s="30">
        <v>8</v>
      </c>
      <c r="I191" s="30">
        <v>8</v>
      </c>
      <c r="J191" s="30">
        <f t="shared" si="8"/>
        <v>0</v>
      </c>
      <c r="K191" s="30">
        <f t="shared" si="9"/>
        <v>0</v>
      </c>
      <c r="L191" s="30">
        <f t="shared" si="10"/>
        <v>0</v>
      </c>
      <c r="M191" s="9" t="str">
        <f t="shared" si="11"/>
        <v>Unverändert</v>
      </c>
    </row>
    <row r="192" spans="1:13" ht="30" customHeight="1" x14ac:dyDescent="0.3">
      <c r="A192" s="9">
        <v>187</v>
      </c>
      <c r="B192" s="6" t="str">
        <f>Postkarten!A187</f>
        <v>AK-2026-0186</v>
      </c>
      <c r="C192" s="8" t="str">
        <f>Postkarten!B187</f>
        <v>Blick auf Kloster Weltenburg</v>
      </c>
      <c r="D192" s="30">
        <f>Postkarten!L187</f>
        <v>3</v>
      </c>
      <c r="E192" s="30">
        <f>Postkarten!M187</f>
        <v>6</v>
      </c>
      <c r="F192" s="30">
        <f>Postkarten!N187</f>
        <v>6</v>
      </c>
      <c r="G192" s="30">
        <v>3</v>
      </c>
      <c r="H192" s="30">
        <v>6</v>
      </c>
      <c r="I192" s="30">
        <v>6</v>
      </c>
      <c r="J192" s="30">
        <f t="shared" si="8"/>
        <v>0</v>
      </c>
      <c r="K192" s="30">
        <f t="shared" si="9"/>
        <v>0</v>
      </c>
      <c r="L192" s="30">
        <f t="shared" si="10"/>
        <v>0</v>
      </c>
      <c r="M192" s="9" t="str">
        <f t="shared" si="11"/>
        <v>Unverändert</v>
      </c>
    </row>
    <row r="193" spans="1:13" ht="30" customHeight="1" x14ac:dyDescent="0.3">
      <c r="A193" s="9">
        <v>188</v>
      </c>
      <c r="B193" s="6" t="str">
        <f>Postkarten!A188</f>
        <v>AK-2026-0187</v>
      </c>
      <c r="C193" s="8" t="str">
        <f>Postkarten!B188</f>
        <v>Gruss aus München (Kind mit Brezen und Schmankerln)</v>
      </c>
      <c r="D193" s="30">
        <f>Postkarten!L188</f>
        <v>5</v>
      </c>
      <c r="E193" s="30">
        <f>Postkarten!M188</f>
        <v>10</v>
      </c>
      <c r="F193" s="30">
        <f>Postkarten!N188</f>
        <v>10</v>
      </c>
      <c r="G193" s="30">
        <v>5</v>
      </c>
      <c r="H193" s="30">
        <v>10</v>
      </c>
      <c r="I193" s="30">
        <v>9</v>
      </c>
      <c r="J193" s="30">
        <f t="shared" si="8"/>
        <v>0</v>
      </c>
      <c r="K193" s="30">
        <f t="shared" si="9"/>
        <v>0</v>
      </c>
      <c r="L193" s="30">
        <f t="shared" si="10"/>
        <v>-1</v>
      </c>
      <c r="M193" s="9" t="str">
        <f t="shared" si="11"/>
        <v>Senken</v>
      </c>
    </row>
    <row r="194" spans="1:13" ht="30" customHeight="1" x14ac:dyDescent="0.3">
      <c r="A194" s="9">
        <v>189</v>
      </c>
      <c r="B194" s="6" t="str">
        <f>Postkarten!A189</f>
        <v>AK-2026-0188</v>
      </c>
      <c r="C194" s="8" t="str">
        <f>Postkarten!B189</f>
        <v>Nürnberg - Albrecht Dürer-Haus</v>
      </c>
      <c r="D194" s="30">
        <f>Postkarten!L189</f>
        <v>3</v>
      </c>
      <c r="E194" s="30">
        <f>Postkarten!M189</f>
        <v>9</v>
      </c>
      <c r="F194" s="30">
        <f>Postkarten!N189</f>
        <v>9</v>
      </c>
      <c r="G194" s="30">
        <v>5</v>
      </c>
      <c r="H194" s="30">
        <v>10</v>
      </c>
      <c r="I194" s="30">
        <v>9</v>
      </c>
      <c r="J194" s="30">
        <f t="shared" si="8"/>
        <v>2</v>
      </c>
      <c r="K194" s="30">
        <f t="shared" si="9"/>
        <v>1</v>
      </c>
      <c r="L194" s="30">
        <f t="shared" si="10"/>
        <v>0</v>
      </c>
      <c r="M194" s="9" t="str">
        <f t="shared" si="11"/>
        <v>Unverändert</v>
      </c>
    </row>
    <row r="195" spans="1:13" ht="30" customHeight="1" x14ac:dyDescent="0.3">
      <c r="A195" s="9">
        <v>190</v>
      </c>
      <c r="B195" s="6" t="str">
        <f>Postkarten!A190</f>
        <v>AK-2026-0189</v>
      </c>
      <c r="C195" s="8" t="str">
        <f>Postkarten!B190</f>
        <v>Regensburg - Historische Federzeichnung mit Wappen</v>
      </c>
      <c r="D195" s="30">
        <f>Postkarten!L190</f>
        <v>3</v>
      </c>
      <c r="E195" s="30">
        <f>Postkarten!M190</f>
        <v>6</v>
      </c>
      <c r="F195" s="30">
        <f>Postkarten!N190</f>
        <v>6</v>
      </c>
      <c r="G195" s="30">
        <v>3</v>
      </c>
      <c r="H195" s="30">
        <v>6</v>
      </c>
      <c r="I195" s="30">
        <v>6</v>
      </c>
      <c r="J195" s="30">
        <f t="shared" si="8"/>
        <v>0</v>
      </c>
      <c r="K195" s="30">
        <f t="shared" si="9"/>
        <v>0</v>
      </c>
      <c r="L195" s="30">
        <f t="shared" si="10"/>
        <v>0</v>
      </c>
      <c r="M195" s="9" t="str">
        <f t="shared" si="11"/>
        <v>Unverändert</v>
      </c>
    </row>
    <row r="196" spans="1:13" ht="30" customHeight="1" x14ac:dyDescent="0.3">
      <c r="A196" s="9">
        <v>191</v>
      </c>
      <c r="B196" s="6" t="str">
        <f>Postkarten!A191</f>
        <v>AK-2026-0190</v>
      </c>
      <c r="C196" s="8" t="str">
        <f>Postkarten!B191</f>
        <v>Weißenhorn - Gesamtansicht mit geschichtlichem Text</v>
      </c>
      <c r="D196" s="30">
        <f>Postkarten!L191</f>
        <v>3</v>
      </c>
      <c r="E196" s="30">
        <f>Postkarten!M191</f>
        <v>6</v>
      </c>
      <c r="F196" s="30">
        <f>Postkarten!N191</f>
        <v>6</v>
      </c>
      <c r="G196" s="30">
        <v>3</v>
      </c>
      <c r="H196" s="30">
        <v>6</v>
      </c>
      <c r="I196" s="30">
        <v>6</v>
      </c>
      <c r="J196" s="30">
        <f t="shared" si="8"/>
        <v>0</v>
      </c>
      <c r="K196" s="30">
        <f t="shared" si="9"/>
        <v>0</v>
      </c>
      <c r="L196" s="30">
        <f t="shared" si="10"/>
        <v>0</v>
      </c>
      <c r="M196" s="9" t="str">
        <f t="shared" si="11"/>
        <v>Unverändert</v>
      </c>
    </row>
    <row r="197" spans="1:13" ht="30" customHeight="1" x14ac:dyDescent="0.3">
      <c r="A197" s="9">
        <v>192</v>
      </c>
      <c r="B197" s="6" t="str">
        <f>Postkarten!A192</f>
        <v>AK-2026-0191</v>
      </c>
      <c r="C197" s="8" t="str">
        <f>Postkarten!B192</f>
        <v>Passau - Partie an d. Donau</v>
      </c>
      <c r="D197" s="30">
        <f>Postkarten!L192</f>
        <v>3</v>
      </c>
      <c r="E197" s="30">
        <f>Postkarten!M192</f>
        <v>6</v>
      </c>
      <c r="F197" s="30">
        <f>Postkarten!N192</f>
        <v>6</v>
      </c>
      <c r="G197" s="30">
        <v>3</v>
      </c>
      <c r="H197" s="30">
        <v>6</v>
      </c>
      <c r="I197" s="30">
        <v>6</v>
      </c>
      <c r="J197" s="30">
        <f t="shared" si="8"/>
        <v>0</v>
      </c>
      <c r="K197" s="30">
        <f t="shared" si="9"/>
        <v>0</v>
      </c>
      <c r="L197" s="30">
        <f t="shared" si="10"/>
        <v>0</v>
      </c>
      <c r="M197" s="9" t="str">
        <f t="shared" si="11"/>
        <v>Unverändert</v>
      </c>
    </row>
    <row r="198" spans="1:13" ht="30" customHeight="1" x14ac:dyDescent="0.3">
      <c r="A198" s="9">
        <v>193</v>
      </c>
      <c r="B198" s="6" t="str">
        <f>Postkarten!A193</f>
        <v>AK-2026-0192</v>
      </c>
      <c r="C198" s="8" t="str">
        <f>Postkarten!B193</f>
        <v>Velburg i. Opf. Jura und König-Otto-Tropfsteinhöhle</v>
      </c>
      <c r="D198" s="30">
        <f>Postkarten!L193</f>
        <v>4</v>
      </c>
      <c r="E198" s="30">
        <f>Postkarten!M193</f>
        <v>9</v>
      </c>
      <c r="F198" s="30">
        <f>Postkarten!N193</f>
        <v>9</v>
      </c>
      <c r="G198" s="30">
        <v>5</v>
      </c>
      <c r="H198" s="30">
        <v>10</v>
      </c>
      <c r="I198" s="30">
        <v>9</v>
      </c>
      <c r="J198" s="30">
        <f t="shared" si="8"/>
        <v>1</v>
      </c>
      <c r="K198" s="30">
        <f t="shared" si="9"/>
        <v>1</v>
      </c>
      <c r="L198" s="30">
        <f t="shared" si="10"/>
        <v>0</v>
      </c>
      <c r="M198" s="9" t="str">
        <f t="shared" si="11"/>
        <v>Unverändert</v>
      </c>
    </row>
    <row r="199" spans="1:13" ht="30" customHeight="1" x14ac:dyDescent="0.3">
      <c r="A199" s="9">
        <v>194</v>
      </c>
      <c r="B199" s="6" t="str">
        <f>Postkarten!A194</f>
        <v>AK-2026-0193</v>
      </c>
      <c r="C199" s="8" t="str">
        <f>Postkarten!B194</f>
        <v>Utting am Ammersee</v>
      </c>
      <c r="D199" s="30">
        <f>Postkarten!L194</f>
        <v>3</v>
      </c>
      <c r="E199" s="30">
        <f>Postkarten!M194</f>
        <v>6</v>
      </c>
      <c r="F199" s="30">
        <f>Postkarten!N194</f>
        <v>6</v>
      </c>
      <c r="G199" s="30">
        <v>3</v>
      </c>
      <c r="H199" s="30">
        <v>6</v>
      </c>
      <c r="I199" s="30">
        <v>6</v>
      </c>
      <c r="J199" s="30">
        <f t="shared" si="8"/>
        <v>0</v>
      </c>
      <c r="K199" s="30">
        <f t="shared" si="9"/>
        <v>0</v>
      </c>
      <c r="L199" s="30">
        <f t="shared" si="10"/>
        <v>0</v>
      </c>
      <c r="M199" s="9" t="str">
        <f t="shared" si="11"/>
        <v>Unverändert</v>
      </c>
    </row>
    <row r="200" spans="1:13" ht="30" customHeight="1" x14ac:dyDescent="0.3">
      <c r="A200" s="9">
        <v>195</v>
      </c>
      <c r="B200" s="6" t="str">
        <f>Postkarten!A195</f>
        <v>AK-2026-0194</v>
      </c>
      <c r="C200" s="8" t="str">
        <f>Postkarten!B195</f>
        <v>Lupburg i. Opf. - Ortsansicht</v>
      </c>
      <c r="D200" s="30">
        <f>Postkarten!L195</f>
        <v>3</v>
      </c>
      <c r="E200" s="30">
        <f>Postkarten!M195</f>
        <v>10</v>
      </c>
      <c r="F200" s="30">
        <f>Postkarten!N195</f>
        <v>10</v>
      </c>
      <c r="G200" s="30">
        <v>5</v>
      </c>
      <c r="H200" s="30">
        <v>12</v>
      </c>
      <c r="I200" s="30">
        <v>10</v>
      </c>
      <c r="J200" s="30">
        <f t="shared" ref="J200:J263" si="12">G200-D200</f>
        <v>2</v>
      </c>
      <c r="K200" s="30">
        <f t="shared" ref="K200:K263" si="13">H200-E200</f>
        <v>2</v>
      </c>
      <c r="L200" s="30">
        <f t="shared" ref="L200:L263" si="14">I200-F200</f>
        <v>0</v>
      </c>
      <c r="M200" s="9" t="str">
        <f t="shared" ref="M200:M263" si="15">IF(L200&gt;0,"Erhöhen",IF(L200&lt;0,"Senken","Unverändert"))</f>
        <v>Unverändert</v>
      </c>
    </row>
    <row r="201" spans="1:13" ht="30" customHeight="1" x14ac:dyDescent="0.3">
      <c r="A201" s="9">
        <v>196</v>
      </c>
      <c r="B201" s="6" t="str">
        <f>Postkarten!A196</f>
        <v>AK-2026-0195</v>
      </c>
      <c r="C201" s="8" t="str">
        <f>Postkarten!B196</f>
        <v>Lupburg b. Parsberg, Obpf. - Ortsansicht mit Burg</v>
      </c>
      <c r="D201" s="30">
        <f>Postkarten!L196</f>
        <v>3</v>
      </c>
      <c r="E201" s="30">
        <f>Postkarten!M196</f>
        <v>12</v>
      </c>
      <c r="F201" s="30">
        <f>Postkarten!N196</f>
        <v>12</v>
      </c>
      <c r="G201" s="30">
        <v>6</v>
      </c>
      <c r="H201" s="30">
        <v>14</v>
      </c>
      <c r="I201" s="30">
        <v>12</v>
      </c>
      <c r="J201" s="30">
        <f t="shared" si="12"/>
        <v>3</v>
      </c>
      <c r="K201" s="30">
        <f t="shared" si="13"/>
        <v>2</v>
      </c>
      <c r="L201" s="30">
        <f t="shared" si="14"/>
        <v>0</v>
      </c>
      <c r="M201" s="9" t="str">
        <f t="shared" si="15"/>
        <v>Unverändert</v>
      </c>
    </row>
    <row r="202" spans="1:13" ht="30" customHeight="1" x14ac:dyDescent="0.3">
      <c r="A202" s="9">
        <v>197</v>
      </c>
      <c r="B202" s="6" t="str">
        <f>Postkarten!A197</f>
        <v>AK-2026-0196</v>
      </c>
      <c r="C202" s="8" t="str">
        <f>Postkarten!B197</f>
        <v>Die Plassenburg ob Kulmbach - Blick vom Marktturm in d. schönen Hof</v>
      </c>
      <c r="D202" s="30">
        <f>Postkarten!L197</f>
        <v>3</v>
      </c>
      <c r="E202" s="30">
        <f>Postkarten!M197</f>
        <v>6</v>
      </c>
      <c r="F202" s="30">
        <f>Postkarten!N197</f>
        <v>6</v>
      </c>
      <c r="G202" s="30">
        <v>3</v>
      </c>
      <c r="H202" s="30">
        <v>6</v>
      </c>
      <c r="I202" s="30">
        <v>6</v>
      </c>
      <c r="J202" s="30">
        <f t="shared" si="12"/>
        <v>0</v>
      </c>
      <c r="K202" s="30">
        <f t="shared" si="13"/>
        <v>0</v>
      </c>
      <c r="L202" s="30">
        <f t="shared" si="14"/>
        <v>0</v>
      </c>
      <c r="M202" s="9" t="str">
        <f t="shared" si="15"/>
        <v>Unverändert</v>
      </c>
    </row>
    <row r="203" spans="1:13" ht="30" customHeight="1" x14ac:dyDescent="0.3">
      <c r="A203" s="9">
        <v>198</v>
      </c>
      <c r="B203" s="6" t="str">
        <f>Postkarten!A198</f>
        <v>AK-2026-0197</v>
      </c>
      <c r="C203" s="8" t="str">
        <f>Postkarten!B198</f>
        <v>Rothenburg ob der Tauber - Partie beim Siebers Turm</v>
      </c>
      <c r="D203" s="30">
        <f>Postkarten!L198</f>
        <v>3</v>
      </c>
      <c r="E203" s="30">
        <f>Postkarten!M198</f>
        <v>6</v>
      </c>
      <c r="F203" s="30">
        <f>Postkarten!N198</f>
        <v>6</v>
      </c>
      <c r="G203" s="30">
        <v>3</v>
      </c>
      <c r="H203" s="30">
        <v>6</v>
      </c>
      <c r="I203" s="30">
        <v>6</v>
      </c>
      <c r="J203" s="30">
        <f t="shared" si="12"/>
        <v>0</v>
      </c>
      <c r="K203" s="30">
        <f t="shared" si="13"/>
        <v>0</v>
      </c>
      <c r="L203" s="30">
        <f t="shared" si="14"/>
        <v>0</v>
      </c>
      <c r="M203" s="9" t="str">
        <f t="shared" si="15"/>
        <v>Unverändert</v>
      </c>
    </row>
    <row r="204" spans="1:13" ht="30" customHeight="1" x14ac:dyDescent="0.3">
      <c r="A204" s="9">
        <v>199</v>
      </c>
      <c r="B204" s="6" t="str">
        <f>Postkarten!A199</f>
        <v>AK-2026-0198</v>
      </c>
      <c r="C204" s="8" t="str">
        <f>Postkarten!B199</f>
        <v>Nürnberg - Albrecht Dürer-Haus</v>
      </c>
      <c r="D204" s="30">
        <f>Postkarten!L199</f>
        <v>3</v>
      </c>
      <c r="E204" s="30">
        <f>Postkarten!M199</f>
        <v>6</v>
      </c>
      <c r="F204" s="30">
        <f>Postkarten!N199</f>
        <v>6</v>
      </c>
      <c r="G204" s="30">
        <v>3</v>
      </c>
      <c r="H204" s="30">
        <v>6</v>
      </c>
      <c r="I204" s="30">
        <v>6</v>
      </c>
      <c r="J204" s="30">
        <f t="shared" si="12"/>
        <v>0</v>
      </c>
      <c r="K204" s="30">
        <f t="shared" si="13"/>
        <v>0</v>
      </c>
      <c r="L204" s="30">
        <f t="shared" si="14"/>
        <v>0</v>
      </c>
      <c r="M204" s="9" t="str">
        <f t="shared" si="15"/>
        <v>Unverändert</v>
      </c>
    </row>
    <row r="205" spans="1:13" ht="30" customHeight="1" x14ac:dyDescent="0.3">
      <c r="A205" s="9">
        <v>200</v>
      </c>
      <c r="B205" s="6" t="str">
        <f>Postkarten!A200</f>
        <v>AK-2026-0199</v>
      </c>
      <c r="C205" s="8" t="str">
        <f>Postkarten!B200</f>
        <v>Königssee - Gruß aus weiter Ferne</v>
      </c>
      <c r="D205" s="30">
        <f>Postkarten!L200</f>
        <v>3</v>
      </c>
      <c r="E205" s="30">
        <f>Postkarten!M200</f>
        <v>6</v>
      </c>
      <c r="F205" s="30">
        <f>Postkarten!N200</f>
        <v>6</v>
      </c>
      <c r="G205" s="30">
        <v>3</v>
      </c>
      <c r="H205" s="30">
        <v>6</v>
      </c>
      <c r="I205" s="30">
        <v>6</v>
      </c>
      <c r="J205" s="30">
        <f t="shared" si="12"/>
        <v>0</v>
      </c>
      <c r="K205" s="30">
        <f t="shared" si="13"/>
        <v>0</v>
      </c>
      <c r="L205" s="30">
        <f t="shared" si="14"/>
        <v>0</v>
      </c>
      <c r="M205" s="9" t="str">
        <f t="shared" si="15"/>
        <v>Unverändert</v>
      </c>
    </row>
    <row r="206" spans="1:13" ht="30" customHeight="1" x14ac:dyDescent="0.3">
      <c r="A206" s="9">
        <v>201</v>
      </c>
      <c r="B206" s="6" t="str">
        <f>Postkarten!A201</f>
        <v>AK-2026-0200</v>
      </c>
      <c r="C206" s="8" t="str">
        <f>Postkarten!B201</f>
        <v>Nürnberg - Gesamtansicht (Königreich Bayern Postkarte)</v>
      </c>
      <c r="D206" s="30">
        <f>Postkarten!L201</f>
        <v>5</v>
      </c>
      <c r="E206" s="30">
        <f>Postkarten!M201</f>
        <v>10</v>
      </c>
      <c r="F206" s="30">
        <f>Postkarten!N201</f>
        <v>10</v>
      </c>
      <c r="G206" s="30">
        <v>5</v>
      </c>
      <c r="H206" s="30">
        <v>10</v>
      </c>
      <c r="I206" s="30">
        <v>10</v>
      </c>
      <c r="J206" s="30">
        <f t="shared" si="12"/>
        <v>0</v>
      </c>
      <c r="K206" s="30">
        <f t="shared" si="13"/>
        <v>0</v>
      </c>
      <c r="L206" s="30">
        <f t="shared" si="14"/>
        <v>0</v>
      </c>
      <c r="M206" s="9" t="str">
        <f t="shared" si="15"/>
        <v>Unverändert</v>
      </c>
    </row>
    <row r="207" spans="1:13" ht="30" customHeight="1" x14ac:dyDescent="0.3">
      <c r="A207" s="9">
        <v>202</v>
      </c>
      <c r="B207" s="6" t="str">
        <f>Postkarten!A202</f>
        <v>AK-2026-0201</v>
      </c>
      <c r="C207" s="8" t="str">
        <f>Postkarten!B202</f>
        <v>Nürnberg - Dürerhaus</v>
      </c>
      <c r="D207" s="30">
        <f>Postkarten!L202</f>
        <v>3</v>
      </c>
      <c r="E207" s="30">
        <f>Postkarten!M202</f>
        <v>6</v>
      </c>
      <c r="F207" s="30">
        <f>Postkarten!N202</f>
        <v>6</v>
      </c>
      <c r="G207" s="30">
        <v>3</v>
      </c>
      <c r="H207" s="30">
        <v>6</v>
      </c>
      <c r="I207" s="30">
        <v>6</v>
      </c>
      <c r="J207" s="30">
        <f t="shared" si="12"/>
        <v>0</v>
      </c>
      <c r="K207" s="30">
        <f t="shared" si="13"/>
        <v>0</v>
      </c>
      <c r="L207" s="30">
        <f t="shared" si="14"/>
        <v>0</v>
      </c>
      <c r="M207" s="9" t="str">
        <f t="shared" si="15"/>
        <v>Unverändert</v>
      </c>
    </row>
    <row r="208" spans="1:13" ht="30" customHeight="1" x14ac:dyDescent="0.3">
      <c r="A208" s="9">
        <v>203</v>
      </c>
      <c r="B208" s="6" t="str">
        <f>Postkarten!A203</f>
        <v>AK-2026-0202</v>
      </c>
      <c r="C208" s="8" t="str">
        <f>Postkarten!B203</f>
        <v>Lupburg (Opf.) - Ortsansicht</v>
      </c>
      <c r="D208" s="30">
        <f>Postkarten!L203</f>
        <v>3</v>
      </c>
      <c r="E208" s="30">
        <f>Postkarten!M203</f>
        <v>10</v>
      </c>
      <c r="F208" s="30">
        <f>Postkarten!N203</f>
        <v>10</v>
      </c>
      <c r="G208" s="30">
        <v>5</v>
      </c>
      <c r="H208" s="30">
        <v>12</v>
      </c>
      <c r="I208" s="30">
        <v>10</v>
      </c>
      <c r="J208" s="30">
        <f t="shared" si="12"/>
        <v>2</v>
      </c>
      <c r="K208" s="30">
        <f t="shared" si="13"/>
        <v>2</v>
      </c>
      <c r="L208" s="30">
        <f t="shared" si="14"/>
        <v>0</v>
      </c>
      <c r="M208" s="9" t="str">
        <f t="shared" si="15"/>
        <v>Unverändert</v>
      </c>
    </row>
    <row r="209" spans="1:13" ht="30" customHeight="1" x14ac:dyDescent="0.3">
      <c r="A209" s="9">
        <v>204</v>
      </c>
      <c r="B209" s="6" t="str">
        <f>Postkarten!A204</f>
        <v>AK-2026-0203</v>
      </c>
      <c r="C209" s="8" t="str">
        <f>Postkarten!B204</f>
        <v>Kurort Falkenstein i. bayr. Wald</v>
      </c>
      <c r="D209" s="30">
        <f>Postkarten!L204</f>
        <v>3</v>
      </c>
      <c r="E209" s="30">
        <f>Postkarten!M204</f>
        <v>6</v>
      </c>
      <c r="F209" s="30">
        <f>Postkarten!N204</f>
        <v>6</v>
      </c>
      <c r="G209" s="30">
        <v>3</v>
      </c>
      <c r="H209" s="30">
        <v>6</v>
      </c>
      <c r="I209" s="30">
        <v>6</v>
      </c>
      <c r="J209" s="30">
        <f t="shared" si="12"/>
        <v>0</v>
      </c>
      <c r="K209" s="30">
        <f t="shared" si="13"/>
        <v>0</v>
      </c>
      <c r="L209" s="30">
        <f t="shared" si="14"/>
        <v>0</v>
      </c>
      <c r="M209" s="9" t="str">
        <f t="shared" si="15"/>
        <v>Unverändert</v>
      </c>
    </row>
    <row r="210" spans="1:13" ht="30" customHeight="1" x14ac:dyDescent="0.3">
      <c r="A210" s="9">
        <v>205</v>
      </c>
      <c r="B210" s="6" t="str">
        <f>Postkarten!A205</f>
        <v>AK-2026-0204</v>
      </c>
      <c r="C210" s="8" t="str">
        <f>Postkarten!B205</f>
        <v>Rothenburg o. T. - Weisser Turm</v>
      </c>
      <c r="D210" s="30">
        <f>Postkarten!L205</f>
        <v>3</v>
      </c>
      <c r="E210" s="30">
        <f>Postkarten!M205</f>
        <v>6</v>
      </c>
      <c r="F210" s="30">
        <f>Postkarten!N205</f>
        <v>6</v>
      </c>
      <c r="G210" s="30">
        <v>3</v>
      </c>
      <c r="H210" s="30">
        <v>6</v>
      </c>
      <c r="I210" s="30">
        <v>6</v>
      </c>
      <c r="J210" s="30">
        <f t="shared" si="12"/>
        <v>0</v>
      </c>
      <c r="K210" s="30">
        <f t="shared" si="13"/>
        <v>0</v>
      </c>
      <c r="L210" s="30">
        <f t="shared" si="14"/>
        <v>0</v>
      </c>
      <c r="M210" s="9" t="str">
        <f t="shared" si="15"/>
        <v>Unverändert</v>
      </c>
    </row>
    <row r="211" spans="1:13" ht="30" customHeight="1" x14ac:dyDescent="0.3">
      <c r="A211" s="9">
        <v>206</v>
      </c>
      <c r="B211" s="6" t="str">
        <f>Postkarten!A206</f>
        <v>AK-2026-0205</v>
      </c>
      <c r="C211" s="8" t="str">
        <f>Postkarten!B206</f>
        <v>Erlangen - Schloß mit Emigrantenbrunnen</v>
      </c>
      <c r="D211" s="30">
        <f>Postkarten!L206</f>
        <v>3</v>
      </c>
      <c r="E211" s="30">
        <f>Postkarten!M206</f>
        <v>6</v>
      </c>
      <c r="F211" s="30">
        <f>Postkarten!N206</f>
        <v>6</v>
      </c>
      <c r="G211" s="30">
        <v>3</v>
      </c>
      <c r="H211" s="30">
        <v>6</v>
      </c>
      <c r="I211" s="30">
        <v>6</v>
      </c>
      <c r="J211" s="30">
        <f t="shared" si="12"/>
        <v>0</v>
      </c>
      <c r="K211" s="30">
        <f t="shared" si="13"/>
        <v>0</v>
      </c>
      <c r="L211" s="30">
        <f t="shared" si="14"/>
        <v>0</v>
      </c>
      <c r="M211" s="9" t="str">
        <f t="shared" si="15"/>
        <v>Unverändert</v>
      </c>
    </row>
    <row r="212" spans="1:13" ht="30" customHeight="1" x14ac:dyDescent="0.3">
      <c r="A212" s="9">
        <v>207</v>
      </c>
      <c r="B212" s="6" t="str">
        <f>Postkarten!A207</f>
        <v>AK-2026-0206</v>
      </c>
      <c r="C212" s="8" t="str">
        <f>Postkarten!B207</f>
        <v>Schwarzhofen / Opf. - Ortsansicht</v>
      </c>
      <c r="D212" s="30">
        <f>Postkarten!L207</f>
        <v>4</v>
      </c>
      <c r="E212" s="30">
        <f>Postkarten!M207</f>
        <v>9</v>
      </c>
      <c r="F212" s="30">
        <f>Postkarten!N207</f>
        <v>9</v>
      </c>
      <c r="G212" s="30">
        <v>5</v>
      </c>
      <c r="H212" s="30">
        <v>11</v>
      </c>
      <c r="I212" s="30">
        <v>9</v>
      </c>
      <c r="J212" s="30">
        <f t="shared" si="12"/>
        <v>1</v>
      </c>
      <c r="K212" s="30">
        <f t="shared" si="13"/>
        <v>2</v>
      </c>
      <c r="L212" s="30">
        <f t="shared" si="14"/>
        <v>0</v>
      </c>
      <c r="M212" s="9" t="str">
        <f t="shared" si="15"/>
        <v>Unverändert</v>
      </c>
    </row>
    <row r="213" spans="1:13" ht="30" customHeight="1" x14ac:dyDescent="0.3">
      <c r="A213" s="9">
        <v>208</v>
      </c>
      <c r="B213" s="6" t="str">
        <f>Postkarten!A208</f>
        <v>AK-2026-0207</v>
      </c>
      <c r="C213" s="8" t="str">
        <f>Postkarten!B208</f>
        <v>Gruss aus Aschaffenburg - Mehrbildkarte (Schloss, Pompejanum u.a.)</v>
      </c>
      <c r="D213" s="30">
        <f>Postkarten!L208</f>
        <v>4</v>
      </c>
      <c r="E213" s="30">
        <f>Postkarten!M208</f>
        <v>8</v>
      </c>
      <c r="F213" s="30">
        <f>Postkarten!N208</f>
        <v>8</v>
      </c>
      <c r="G213" s="30">
        <v>4</v>
      </c>
      <c r="H213" s="30">
        <v>8</v>
      </c>
      <c r="I213" s="30">
        <v>8</v>
      </c>
      <c r="J213" s="30">
        <f t="shared" si="12"/>
        <v>0</v>
      </c>
      <c r="K213" s="30">
        <f t="shared" si="13"/>
        <v>0</v>
      </c>
      <c r="L213" s="30">
        <f t="shared" si="14"/>
        <v>0</v>
      </c>
      <c r="M213" s="9" t="str">
        <f t="shared" si="15"/>
        <v>Unverändert</v>
      </c>
    </row>
    <row r="214" spans="1:13" ht="30" customHeight="1" x14ac:dyDescent="0.3">
      <c r="A214" s="9">
        <v>209</v>
      </c>
      <c r="B214" s="6" t="str">
        <f>Postkarten!A209</f>
        <v>AK-2026-0208</v>
      </c>
      <c r="C214" s="8" t="str">
        <f>Postkarten!B209</f>
        <v>Augsburg, der Dom</v>
      </c>
      <c r="D214" s="30">
        <f>Postkarten!L209</f>
        <v>3</v>
      </c>
      <c r="E214" s="30">
        <f>Postkarten!M209</f>
        <v>6</v>
      </c>
      <c r="F214" s="30">
        <f>Postkarten!N209</f>
        <v>6</v>
      </c>
      <c r="G214" s="30">
        <v>3</v>
      </c>
      <c r="H214" s="30">
        <v>6</v>
      </c>
      <c r="I214" s="30">
        <v>6</v>
      </c>
      <c r="J214" s="30">
        <f t="shared" si="12"/>
        <v>0</v>
      </c>
      <c r="K214" s="30">
        <f t="shared" si="13"/>
        <v>0</v>
      </c>
      <c r="L214" s="30">
        <f t="shared" si="14"/>
        <v>0</v>
      </c>
      <c r="M214" s="9" t="str">
        <f t="shared" si="15"/>
        <v>Unverändert</v>
      </c>
    </row>
    <row r="215" spans="1:13" ht="30" customHeight="1" x14ac:dyDescent="0.3">
      <c r="A215" s="9">
        <v>210</v>
      </c>
      <c r="B215" s="6" t="str">
        <f>Postkarten!A210</f>
        <v>AK-2026-0209</v>
      </c>
      <c r="C215" s="8" t="str">
        <f>Postkarten!B210</f>
        <v>Gruss aus Ursberg</v>
      </c>
      <c r="D215" s="30">
        <f>Postkarten!L210</f>
        <v>3</v>
      </c>
      <c r="E215" s="30">
        <f>Postkarten!M210</f>
        <v>9</v>
      </c>
      <c r="F215" s="30">
        <f>Postkarten!N210</f>
        <v>9</v>
      </c>
      <c r="G215" s="30">
        <v>5</v>
      </c>
      <c r="H215" s="30">
        <v>10</v>
      </c>
      <c r="I215" s="30">
        <v>9</v>
      </c>
      <c r="J215" s="30">
        <f t="shared" si="12"/>
        <v>2</v>
      </c>
      <c r="K215" s="30">
        <f t="shared" si="13"/>
        <v>1</v>
      </c>
      <c r="L215" s="30">
        <f t="shared" si="14"/>
        <v>0</v>
      </c>
      <c r="M215" s="9" t="str">
        <f t="shared" si="15"/>
        <v>Unverändert</v>
      </c>
    </row>
    <row r="216" spans="1:13" ht="30" customHeight="1" x14ac:dyDescent="0.3">
      <c r="A216" s="9">
        <v>211</v>
      </c>
      <c r="B216" s="6" t="str">
        <f>Postkarten!A211</f>
        <v>AK-2026-0210</v>
      </c>
      <c r="C216" s="8" t="str">
        <f>Postkarten!B211</f>
        <v>Rothenburg o. Tauber - Blick auf Jakobskirche und Burggarten</v>
      </c>
      <c r="D216" s="30">
        <f>Postkarten!L211</f>
        <v>3</v>
      </c>
      <c r="E216" s="30">
        <f>Postkarten!M211</f>
        <v>6</v>
      </c>
      <c r="F216" s="30">
        <f>Postkarten!N211</f>
        <v>6</v>
      </c>
      <c r="G216" s="30">
        <v>3</v>
      </c>
      <c r="H216" s="30">
        <v>6</v>
      </c>
      <c r="I216" s="30">
        <v>6</v>
      </c>
      <c r="J216" s="30">
        <f t="shared" si="12"/>
        <v>0</v>
      </c>
      <c r="K216" s="30">
        <f t="shared" si="13"/>
        <v>0</v>
      </c>
      <c r="L216" s="30">
        <f t="shared" si="14"/>
        <v>0</v>
      </c>
      <c r="M216" s="9" t="str">
        <f t="shared" si="15"/>
        <v>Unverändert</v>
      </c>
    </row>
    <row r="217" spans="1:13" ht="30" customHeight="1" x14ac:dyDescent="0.3">
      <c r="A217" s="9">
        <v>212</v>
      </c>
      <c r="B217" s="6" t="str">
        <f>Postkarten!A212</f>
        <v>AK-2026-0211</v>
      </c>
      <c r="C217" s="8" t="str">
        <f>Postkarten!B212</f>
        <v>München - Neues Nationalmuseum</v>
      </c>
      <c r="D217" s="30">
        <f>Postkarten!L212</f>
        <v>3</v>
      </c>
      <c r="E217" s="30">
        <f>Postkarten!M212</f>
        <v>6</v>
      </c>
      <c r="F217" s="30">
        <f>Postkarten!N212</f>
        <v>6</v>
      </c>
      <c r="G217" s="30">
        <v>3</v>
      </c>
      <c r="H217" s="30">
        <v>6</v>
      </c>
      <c r="I217" s="30">
        <v>6</v>
      </c>
      <c r="J217" s="30">
        <f t="shared" si="12"/>
        <v>0</v>
      </c>
      <c r="K217" s="30">
        <f t="shared" si="13"/>
        <v>0</v>
      </c>
      <c r="L217" s="30">
        <f t="shared" si="14"/>
        <v>0</v>
      </c>
      <c r="M217" s="9" t="str">
        <f t="shared" si="15"/>
        <v>Unverändert</v>
      </c>
    </row>
    <row r="218" spans="1:13" ht="30" customHeight="1" x14ac:dyDescent="0.3">
      <c r="A218" s="9">
        <v>213</v>
      </c>
      <c r="B218" s="6" t="str">
        <f>Postkarten!A213</f>
        <v>AK-2026-0212</v>
      </c>
      <c r="C218" s="8" t="str">
        <f>Postkarten!B213</f>
        <v>Kloster Seeon - Kirche mit See und Spiegelung</v>
      </c>
      <c r="D218" s="30">
        <f>Postkarten!L213</f>
        <v>3</v>
      </c>
      <c r="E218" s="30">
        <f>Postkarten!M213</f>
        <v>6</v>
      </c>
      <c r="F218" s="30">
        <f>Postkarten!N213</f>
        <v>6</v>
      </c>
      <c r="G218" s="30">
        <v>3</v>
      </c>
      <c r="H218" s="30">
        <v>6</v>
      </c>
      <c r="I218" s="30">
        <v>6</v>
      </c>
      <c r="J218" s="30">
        <f t="shared" si="12"/>
        <v>0</v>
      </c>
      <c r="K218" s="30">
        <f t="shared" si="13"/>
        <v>0</v>
      </c>
      <c r="L218" s="30">
        <f t="shared" si="14"/>
        <v>0</v>
      </c>
      <c r="M218" s="9" t="str">
        <f t="shared" si="15"/>
        <v>Unverändert</v>
      </c>
    </row>
    <row r="219" spans="1:13" ht="30" customHeight="1" x14ac:dyDescent="0.3">
      <c r="A219" s="9">
        <v>217</v>
      </c>
      <c r="B219" s="6" t="str">
        <f>Postkarten!A217</f>
        <v>AK-2026-0216</v>
      </c>
      <c r="C219" s="8" t="str">
        <f>Postkarten!B217</f>
        <v>Parsberg i. Opf. vom Flugzeug aus</v>
      </c>
      <c r="D219" s="30">
        <f>Postkarten!L217</f>
        <v>3</v>
      </c>
      <c r="E219" s="30">
        <f>Postkarten!M217</f>
        <v>12</v>
      </c>
      <c r="F219" s="30">
        <f>Postkarten!N217</f>
        <v>12</v>
      </c>
      <c r="G219" s="30">
        <v>6</v>
      </c>
      <c r="H219" s="30">
        <v>14</v>
      </c>
      <c r="I219" s="30">
        <v>12</v>
      </c>
      <c r="J219" s="30">
        <f t="shared" si="12"/>
        <v>3</v>
      </c>
      <c r="K219" s="30">
        <f t="shared" si="13"/>
        <v>2</v>
      </c>
      <c r="L219" s="30">
        <f t="shared" si="14"/>
        <v>0</v>
      </c>
      <c r="M219" s="9" t="str">
        <f t="shared" si="15"/>
        <v>Unverändert</v>
      </c>
    </row>
    <row r="220" spans="1:13" ht="30" customHeight="1" x14ac:dyDescent="0.3">
      <c r="A220" s="9">
        <v>218</v>
      </c>
      <c r="B220" s="6" t="str">
        <f>Postkarten!A218</f>
        <v>AK-2026-0217</v>
      </c>
      <c r="C220" s="8" t="str">
        <f>Postkarten!B218</f>
        <v>Forchheim - Stadtparkpartie</v>
      </c>
      <c r="D220" s="30">
        <f>Postkarten!L218</f>
        <v>3</v>
      </c>
      <c r="E220" s="30">
        <f>Postkarten!M218</f>
        <v>6</v>
      </c>
      <c r="F220" s="30">
        <f>Postkarten!N218</f>
        <v>6</v>
      </c>
      <c r="G220" s="30">
        <v>3</v>
      </c>
      <c r="H220" s="30">
        <v>6</v>
      </c>
      <c r="I220" s="30">
        <v>6</v>
      </c>
      <c r="J220" s="30">
        <f t="shared" si="12"/>
        <v>0</v>
      </c>
      <c r="K220" s="30">
        <f t="shared" si="13"/>
        <v>0</v>
      </c>
      <c r="L220" s="30">
        <f t="shared" si="14"/>
        <v>0</v>
      </c>
      <c r="M220" s="9" t="str">
        <f t="shared" si="15"/>
        <v>Unverändert</v>
      </c>
    </row>
    <row r="221" spans="1:13" ht="30" customHeight="1" x14ac:dyDescent="0.3">
      <c r="A221" s="9">
        <v>219</v>
      </c>
      <c r="B221" s="6" t="str">
        <f>Postkarten!A219</f>
        <v>AK-2026-0218</v>
      </c>
      <c r="C221" s="8" t="str">
        <f>Postkarten!B219</f>
        <v>Passau - Donaupartie mit Dom</v>
      </c>
      <c r="D221" s="30">
        <f>Postkarten!L219</f>
        <v>3</v>
      </c>
      <c r="E221" s="30">
        <f>Postkarten!M219</f>
        <v>6</v>
      </c>
      <c r="F221" s="30">
        <f>Postkarten!N219</f>
        <v>6</v>
      </c>
      <c r="G221" s="30">
        <v>3</v>
      </c>
      <c r="H221" s="30">
        <v>6</v>
      </c>
      <c r="I221" s="30">
        <v>6</v>
      </c>
      <c r="J221" s="30">
        <f t="shared" si="12"/>
        <v>0</v>
      </c>
      <c r="K221" s="30">
        <f t="shared" si="13"/>
        <v>0</v>
      </c>
      <c r="L221" s="30">
        <f t="shared" si="14"/>
        <v>0</v>
      </c>
      <c r="M221" s="9" t="str">
        <f t="shared" si="15"/>
        <v>Unverändert</v>
      </c>
    </row>
    <row r="222" spans="1:13" ht="30" customHeight="1" x14ac:dyDescent="0.3">
      <c r="A222" s="9">
        <v>220</v>
      </c>
      <c r="B222" s="6" t="str">
        <f>Postkarten!A220</f>
        <v>AK-2026-0219</v>
      </c>
      <c r="C222" s="8" t="str">
        <f>Postkarten!B220</f>
        <v>Parsberg i. d. O.Pf. Pfarrkirche konsekriert 1924 / Kriegergedächtnisaltar</v>
      </c>
      <c r="D222" s="30">
        <f>Postkarten!L220</f>
        <v>3</v>
      </c>
      <c r="E222" s="30">
        <f>Postkarten!M220</f>
        <v>11</v>
      </c>
      <c r="F222" s="30">
        <f>Postkarten!N220</f>
        <v>11</v>
      </c>
      <c r="G222" s="30">
        <v>6</v>
      </c>
      <c r="H222" s="30">
        <v>13</v>
      </c>
      <c r="I222" s="30">
        <v>11</v>
      </c>
      <c r="J222" s="30">
        <f t="shared" si="12"/>
        <v>3</v>
      </c>
      <c r="K222" s="30">
        <f t="shared" si="13"/>
        <v>2</v>
      </c>
      <c r="L222" s="30">
        <f t="shared" si="14"/>
        <v>0</v>
      </c>
      <c r="M222" s="9" t="str">
        <f t="shared" si="15"/>
        <v>Unverändert</v>
      </c>
    </row>
    <row r="223" spans="1:13" ht="30" customHeight="1" x14ac:dyDescent="0.3">
      <c r="A223" s="9">
        <v>221</v>
      </c>
      <c r="B223" s="6" t="str">
        <f>Postkarten!A221</f>
        <v>AK-2026-0220</v>
      </c>
      <c r="C223" s="8" t="str">
        <f>Postkarten!B221</f>
        <v>Lindau i. B. - Leuchtturm und Löwe mit Dampfschiff</v>
      </c>
      <c r="D223" s="30">
        <f>Postkarten!L221</f>
        <v>3</v>
      </c>
      <c r="E223" s="30">
        <f>Postkarten!M221</f>
        <v>6</v>
      </c>
      <c r="F223" s="30">
        <f>Postkarten!N221</f>
        <v>6</v>
      </c>
      <c r="G223" s="30">
        <v>3</v>
      </c>
      <c r="H223" s="30">
        <v>6</v>
      </c>
      <c r="I223" s="30">
        <v>6</v>
      </c>
      <c r="J223" s="30">
        <f t="shared" si="12"/>
        <v>0</v>
      </c>
      <c r="K223" s="30">
        <f t="shared" si="13"/>
        <v>0</v>
      </c>
      <c r="L223" s="30">
        <f t="shared" si="14"/>
        <v>0</v>
      </c>
      <c r="M223" s="9" t="str">
        <f t="shared" si="15"/>
        <v>Unverändert</v>
      </c>
    </row>
    <row r="224" spans="1:13" ht="30" customHeight="1" x14ac:dyDescent="0.3">
      <c r="A224" s="9">
        <v>222</v>
      </c>
      <c r="B224" s="6" t="str">
        <f>Postkarten!A222</f>
        <v>AK-2026-0221</v>
      </c>
      <c r="C224" s="8" t="str">
        <f>Postkarten!B222</f>
        <v>Regensburg, Brückentor mit Donaustrudel und Dom</v>
      </c>
      <c r="D224" s="30">
        <f>Postkarten!L222</f>
        <v>3</v>
      </c>
      <c r="E224" s="30">
        <f>Postkarten!M222</f>
        <v>6</v>
      </c>
      <c r="F224" s="30">
        <f>Postkarten!N222</f>
        <v>6</v>
      </c>
      <c r="G224" s="30">
        <v>3</v>
      </c>
      <c r="H224" s="30">
        <v>6</v>
      </c>
      <c r="I224" s="30">
        <v>6</v>
      </c>
      <c r="J224" s="30">
        <f t="shared" si="12"/>
        <v>0</v>
      </c>
      <c r="K224" s="30">
        <f t="shared" si="13"/>
        <v>0</v>
      </c>
      <c r="L224" s="30">
        <f t="shared" si="14"/>
        <v>0</v>
      </c>
      <c r="M224" s="9" t="str">
        <f t="shared" si="15"/>
        <v>Unverändert</v>
      </c>
    </row>
    <row r="225" spans="1:13" ht="30" customHeight="1" x14ac:dyDescent="0.3">
      <c r="A225" s="9">
        <v>223</v>
      </c>
      <c r="B225" s="6" t="str">
        <f>Postkarten!A223</f>
        <v>AK-2026-0222</v>
      </c>
      <c r="C225" s="8" t="str">
        <f>Postkarten!B223</f>
        <v>Schloß Parsberg – Bayrische Oberpfalz (Gemälde von Prof. Hans Rud. Schulze)</v>
      </c>
      <c r="D225" s="30">
        <f>Postkarten!L223</f>
        <v>3</v>
      </c>
      <c r="E225" s="30">
        <f>Postkarten!M223</f>
        <v>6</v>
      </c>
      <c r="F225" s="30">
        <f>Postkarten!N223</f>
        <v>6</v>
      </c>
      <c r="G225" s="30">
        <v>3</v>
      </c>
      <c r="H225" s="30">
        <v>6</v>
      </c>
      <c r="I225" s="30">
        <v>6</v>
      </c>
      <c r="J225" s="30">
        <f t="shared" si="12"/>
        <v>0</v>
      </c>
      <c r="K225" s="30">
        <f t="shared" si="13"/>
        <v>0</v>
      </c>
      <c r="L225" s="30">
        <f t="shared" si="14"/>
        <v>0</v>
      </c>
      <c r="M225" s="9" t="str">
        <f t="shared" si="15"/>
        <v>Unverändert</v>
      </c>
    </row>
    <row r="226" spans="1:13" ht="30" customHeight="1" x14ac:dyDescent="0.3">
      <c r="A226" s="9">
        <v>224</v>
      </c>
      <c r="B226" s="6" t="str">
        <f>Postkarten!A224</f>
        <v>AK-2026-0223</v>
      </c>
      <c r="C226" s="8" t="str">
        <f>Postkarten!B224</f>
        <v>Herrnsheim über Kitzingen – Ortsansicht mit Kirche</v>
      </c>
      <c r="D226" s="30">
        <f>Postkarten!L224</f>
        <v>3</v>
      </c>
      <c r="E226" s="30">
        <f>Postkarten!M224</f>
        <v>9</v>
      </c>
      <c r="F226" s="30">
        <f>Postkarten!N224</f>
        <v>9</v>
      </c>
      <c r="G226" s="30">
        <v>5</v>
      </c>
      <c r="H226" s="30">
        <v>10</v>
      </c>
      <c r="I226" s="30">
        <v>9</v>
      </c>
      <c r="J226" s="30">
        <f t="shared" si="12"/>
        <v>2</v>
      </c>
      <c r="K226" s="30">
        <f t="shared" si="13"/>
        <v>1</v>
      </c>
      <c r="L226" s="30">
        <f t="shared" si="14"/>
        <v>0</v>
      </c>
      <c r="M226" s="9" t="str">
        <f t="shared" si="15"/>
        <v>Unverändert</v>
      </c>
    </row>
    <row r="227" spans="1:13" ht="30" customHeight="1" x14ac:dyDescent="0.3">
      <c r="A227" s="9">
        <v>225</v>
      </c>
      <c r="B227" s="6" t="str">
        <f>Postkarten!A225</f>
        <v>AK-2026-0224</v>
      </c>
      <c r="C227" s="8" t="str">
        <f>Postkarten!B225</f>
        <v>München. Bavaria mit Ruhmeshalle</v>
      </c>
      <c r="D227" s="30">
        <f>Postkarten!L225</f>
        <v>2.5</v>
      </c>
      <c r="E227" s="30">
        <f>Postkarten!M225</f>
        <v>5</v>
      </c>
      <c r="F227" s="30">
        <f>Postkarten!N225</f>
        <v>5</v>
      </c>
      <c r="G227" s="30">
        <v>2.5</v>
      </c>
      <c r="H227" s="30">
        <v>5</v>
      </c>
      <c r="I227" s="30">
        <v>5</v>
      </c>
      <c r="J227" s="30">
        <f t="shared" si="12"/>
        <v>0</v>
      </c>
      <c r="K227" s="30">
        <f t="shared" si="13"/>
        <v>0</v>
      </c>
      <c r="L227" s="30">
        <f t="shared" si="14"/>
        <v>0</v>
      </c>
      <c r="M227" s="9" t="str">
        <f t="shared" si="15"/>
        <v>Unverändert</v>
      </c>
    </row>
    <row r="228" spans="1:13" ht="30" customHeight="1" x14ac:dyDescent="0.3">
      <c r="A228" s="9">
        <v>226</v>
      </c>
      <c r="B228" s="6" t="str">
        <f>Postkarten!A226</f>
        <v>AK-2026-0225</v>
      </c>
      <c r="C228" s="8" t="str">
        <f>Postkarten!B226</f>
        <v>Bettenburg bei Hofheim / Ufr.</v>
      </c>
      <c r="D228" s="30">
        <f>Postkarten!L226</f>
        <v>3.5</v>
      </c>
      <c r="E228" s="30">
        <f>Postkarten!M226</f>
        <v>7</v>
      </c>
      <c r="F228" s="30">
        <f>Postkarten!N226</f>
        <v>7</v>
      </c>
      <c r="G228" s="30">
        <v>3.5</v>
      </c>
      <c r="H228" s="30">
        <v>7</v>
      </c>
      <c r="I228" s="30">
        <v>7</v>
      </c>
      <c r="J228" s="30">
        <f t="shared" si="12"/>
        <v>0</v>
      </c>
      <c r="K228" s="30">
        <f t="shared" si="13"/>
        <v>0</v>
      </c>
      <c r="L228" s="30">
        <f t="shared" si="14"/>
        <v>0</v>
      </c>
      <c r="M228" s="9" t="str">
        <f t="shared" si="15"/>
        <v>Unverändert</v>
      </c>
    </row>
    <row r="229" spans="1:13" ht="30" customHeight="1" x14ac:dyDescent="0.3">
      <c r="A229" s="9">
        <v>227</v>
      </c>
      <c r="B229" s="6" t="str">
        <f>Postkarten!A227</f>
        <v>AK-2026-0226</v>
      </c>
      <c r="C229" s="8" t="str">
        <f>Postkarten!B227</f>
        <v>Hotel und Pension Café Hausberg Garmisch/Obb.</v>
      </c>
      <c r="D229" s="30">
        <f>Postkarten!L227</f>
        <v>3</v>
      </c>
      <c r="E229" s="30">
        <f>Postkarten!M227</f>
        <v>6</v>
      </c>
      <c r="F229" s="30">
        <f>Postkarten!N227</f>
        <v>6</v>
      </c>
      <c r="G229" s="30">
        <v>3</v>
      </c>
      <c r="H229" s="30">
        <v>6</v>
      </c>
      <c r="I229" s="30">
        <v>6</v>
      </c>
      <c r="J229" s="30">
        <f t="shared" si="12"/>
        <v>0</v>
      </c>
      <c r="K229" s="30">
        <f t="shared" si="13"/>
        <v>0</v>
      </c>
      <c r="L229" s="30">
        <f t="shared" si="14"/>
        <v>0</v>
      </c>
      <c r="M229" s="9" t="str">
        <f t="shared" si="15"/>
        <v>Unverändert</v>
      </c>
    </row>
    <row r="230" spans="1:13" ht="30" customHeight="1" x14ac:dyDescent="0.3">
      <c r="A230" s="9">
        <v>228</v>
      </c>
      <c r="B230" s="6" t="str">
        <f>Postkarten!A228</f>
        <v>AK-2026-0227</v>
      </c>
      <c r="C230" s="8" t="str">
        <f>Postkarten!B228</f>
        <v>Kirchberg a. d. Jagst – Ortsansicht mit Schloss</v>
      </c>
      <c r="D230" s="30">
        <f>Postkarten!L228</f>
        <v>2.5</v>
      </c>
      <c r="E230" s="30">
        <f>Postkarten!M228</f>
        <v>6</v>
      </c>
      <c r="F230" s="30">
        <f>Postkarten!N228</f>
        <v>6</v>
      </c>
      <c r="G230" s="30">
        <v>2.5</v>
      </c>
      <c r="H230" s="30">
        <v>6</v>
      </c>
      <c r="I230" s="30">
        <v>6</v>
      </c>
      <c r="J230" s="30">
        <f t="shared" si="12"/>
        <v>0</v>
      </c>
      <c r="K230" s="30">
        <f t="shared" si="13"/>
        <v>0</v>
      </c>
      <c r="L230" s="30">
        <f t="shared" si="14"/>
        <v>0</v>
      </c>
      <c r="M230" s="9" t="str">
        <f t="shared" si="15"/>
        <v>Unverändert</v>
      </c>
    </row>
    <row r="231" spans="1:13" ht="30" customHeight="1" x14ac:dyDescent="0.3">
      <c r="A231" s="9">
        <v>229</v>
      </c>
      <c r="B231" s="6" t="str">
        <f>Postkarten!A229</f>
        <v>AK-2026-0228</v>
      </c>
      <c r="C231" s="8" t="str">
        <f>Postkarten!B229</f>
        <v>Ruhpolding mit Kienberg, Rauschberg, Sonntagshorn, Reichenberg</v>
      </c>
      <c r="D231" s="30">
        <f>Postkarten!L229</f>
        <v>3</v>
      </c>
      <c r="E231" s="30">
        <f>Postkarten!M229</f>
        <v>6.5</v>
      </c>
      <c r="F231" s="30">
        <f>Postkarten!N229</f>
        <v>6.5</v>
      </c>
      <c r="G231" s="30">
        <v>3</v>
      </c>
      <c r="H231" s="30">
        <v>6.5</v>
      </c>
      <c r="I231" s="30">
        <v>6.5</v>
      </c>
      <c r="J231" s="30">
        <f t="shared" si="12"/>
        <v>0</v>
      </c>
      <c r="K231" s="30">
        <f t="shared" si="13"/>
        <v>0</v>
      </c>
      <c r="L231" s="30">
        <f t="shared" si="14"/>
        <v>0</v>
      </c>
      <c r="M231" s="9" t="str">
        <f t="shared" si="15"/>
        <v>Unverändert</v>
      </c>
    </row>
    <row r="232" spans="1:13" ht="30" customHeight="1" x14ac:dyDescent="0.3">
      <c r="A232" s="9">
        <v>230</v>
      </c>
      <c r="B232" s="6" t="str">
        <f>Postkarten!A230</f>
        <v>AK-2026-0229</v>
      </c>
      <c r="C232" s="8" t="str">
        <f>Postkarten!B230</f>
        <v>Alatsee bei Füssen</v>
      </c>
      <c r="D232" s="30">
        <f>Postkarten!L230</f>
        <v>2.5</v>
      </c>
      <c r="E232" s="30">
        <f>Postkarten!M230</f>
        <v>5.5</v>
      </c>
      <c r="F232" s="30">
        <f>Postkarten!N230</f>
        <v>5.5</v>
      </c>
      <c r="G232" s="30">
        <v>2.5</v>
      </c>
      <c r="H232" s="30">
        <v>5.5</v>
      </c>
      <c r="I232" s="30">
        <v>5.5</v>
      </c>
      <c r="J232" s="30">
        <f t="shared" si="12"/>
        <v>0</v>
      </c>
      <c r="K232" s="30">
        <f t="shared" si="13"/>
        <v>0</v>
      </c>
      <c r="L232" s="30">
        <f t="shared" si="14"/>
        <v>0</v>
      </c>
      <c r="M232" s="9" t="str">
        <f t="shared" si="15"/>
        <v>Unverändert</v>
      </c>
    </row>
    <row r="233" spans="1:13" ht="30" customHeight="1" x14ac:dyDescent="0.3">
      <c r="A233" s="9">
        <v>231</v>
      </c>
      <c r="B233" s="6" t="str">
        <f>Postkarten!A231</f>
        <v>AK-2026-0230</v>
      </c>
      <c r="C233" s="8" t="str">
        <f>Postkarten!B231</f>
        <v>Königsschloß Herrenchiemsee – Speisezimmer</v>
      </c>
      <c r="D233" s="30">
        <f>Postkarten!L231</f>
        <v>2</v>
      </c>
      <c r="E233" s="30">
        <f>Postkarten!M231</f>
        <v>4.5</v>
      </c>
      <c r="F233" s="30">
        <f>Postkarten!N231</f>
        <v>4.5</v>
      </c>
      <c r="G233" s="30">
        <v>2</v>
      </c>
      <c r="H233" s="30">
        <v>4.5</v>
      </c>
      <c r="I233" s="30">
        <v>4.5</v>
      </c>
      <c r="J233" s="30">
        <f t="shared" si="12"/>
        <v>0</v>
      </c>
      <c r="K233" s="30">
        <f t="shared" si="13"/>
        <v>0</v>
      </c>
      <c r="L233" s="30">
        <f t="shared" si="14"/>
        <v>0</v>
      </c>
      <c r="M233" s="9" t="str">
        <f t="shared" si="15"/>
        <v>Unverändert</v>
      </c>
    </row>
    <row r="234" spans="1:13" ht="30" customHeight="1" x14ac:dyDescent="0.3">
      <c r="A234" s="9">
        <v>232</v>
      </c>
      <c r="B234" s="6" t="str">
        <f>Postkarten!A232</f>
        <v>AK-2026-0231</v>
      </c>
      <c r="C234" s="8" t="str">
        <f>Postkarten!B232</f>
        <v>Bad Reichenhall – Saalachsee – Stauanlage bei Kibling</v>
      </c>
      <c r="D234" s="30">
        <f>Postkarten!L232</f>
        <v>2</v>
      </c>
      <c r="E234" s="30">
        <f>Postkarten!M232</f>
        <v>4.5</v>
      </c>
      <c r="F234" s="30">
        <f>Postkarten!N232</f>
        <v>4.5</v>
      </c>
      <c r="G234" s="30">
        <v>2</v>
      </c>
      <c r="H234" s="30">
        <v>4.5</v>
      </c>
      <c r="I234" s="30">
        <v>4.5</v>
      </c>
      <c r="J234" s="30">
        <f t="shared" si="12"/>
        <v>0</v>
      </c>
      <c r="K234" s="30">
        <f t="shared" si="13"/>
        <v>0</v>
      </c>
      <c r="L234" s="30">
        <f t="shared" si="14"/>
        <v>0</v>
      </c>
      <c r="M234" s="9" t="str">
        <f t="shared" si="15"/>
        <v>Unverändert</v>
      </c>
    </row>
    <row r="235" spans="1:13" ht="30" customHeight="1" x14ac:dyDescent="0.3">
      <c r="A235" s="9">
        <v>233</v>
      </c>
      <c r="B235" s="6" t="str">
        <f>Postkarten!A233</f>
        <v>AK-2026-0232</v>
      </c>
      <c r="C235" s="8" t="str">
        <f>Postkarten!B233</f>
        <v>Heimkehr vom Bräuhaus! (Münchner Dienstmänner)</v>
      </c>
      <c r="D235" s="30">
        <f>Postkarten!L233</f>
        <v>4</v>
      </c>
      <c r="E235" s="30">
        <f>Postkarten!M233</f>
        <v>9</v>
      </c>
      <c r="F235" s="30">
        <f>Postkarten!N233</f>
        <v>9</v>
      </c>
      <c r="G235" s="30">
        <v>5</v>
      </c>
      <c r="H235" s="30">
        <v>10</v>
      </c>
      <c r="I235" s="30">
        <v>9</v>
      </c>
      <c r="J235" s="30">
        <f t="shared" si="12"/>
        <v>1</v>
      </c>
      <c r="K235" s="30">
        <f t="shared" si="13"/>
        <v>1</v>
      </c>
      <c r="L235" s="30">
        <f t="shared" si="14"/>
        <v>0</v>
      </c>
      <c r="M235" s="9" t="str">
        <f t="shared" si="15"/>
        <v>Unverändert</v>
      </c>
    </row>
    <row r="236" spans="1:13" ht="30" customHeight="1" x14ac:dyDescent="0.3">
      <c r="A236" s="9">
        <v>238</v>
      </c>
      <c r="B236" s="6" t="str">
        <f>Postkarten!A238</f>
        <v>AK-2026-0237</v>
      </c>
      <c r="C236" s="8" t="str">
        <f>Postkarten!B238</f>
        <v>Königsschloß Herrenchiemsee – Schlafzimmer</v>
      </c>
      <c r="D236" s="30">
        <f>Postkarten!L238</f>
        <v>2.5</v>
      </c>
      <c r="E236" s="30">
        <f>Postkarten!M238</f>
        <v>6</v>
      </c>
      <c r="F236" s="30">
        <f>Postkarten!N238</f>
        <v>6</v>
      </c>
      <c r="G236" s="30">
        <v>2.5</v>
      </c>
      <c r="H236" s="30">
        <v>6</v>
      </c>
      <c r="I236" s="30">
        <v>6</v>
      </c>
      <c r="J236" s="30">
        <f t="shared" si="12"/>
        <v>0</v>
      </c>
      <c r="K236" s="30">
        <f t="shared" si="13"/>
        <v>0</v>
      </c>
      <c r="L236" s="30">
        <f t="shared" si="14"/>
        <v>0</v>
      </c>
      <c r="M236" s="9" t="str">
        <f t="shared" si="15"/>
        <v>Unverändert</v>
      </c>
    </row>
    <row r="237" spans="1:13" ht="30" customHeight="1" x14ac:dyDescent="0.3">
      <c r="A237" s="9">
        <v>239</v>
      </c>
      <c r="B237" s="6" t="str">
        <f>Postkarten!A239</f>
        <v>AK-2026-0238</v>
      </c>
      <c r="C237" s="8" t="str">
        <f>Postkarten!B239</f>
        <v>Königsschloß Linderhof</v>
      </c>
      <c r="D237" s="30">
        <f>Postkarten!L239</f>
        <v>2</v>
      </c>
      <c r="E237" s="30">
        <f>Postkarten!M239</f>
        <v>5</v>
      </c>
      <c r="F237" s="30">
        <f>Postkarten!N239</f>
        <v>5</v>
      </c>
      <c r="G237" s="30">
        <v>2</v>
      </c>
      <c r="H237" s="30">
        <v>5</v>
      </c>
      <c r="I237" s="30">
        <v>5</v>
      </c>
      <c r="J237" s="30">
        <f t="shared" si="12"/>
        <v>0</v>
      </c>
      <c r="K237" s="30">
        <f t="shared" si="13"/>
        <v>0</v>
      </c>
      <c r="L237" s="30">
        <f t="shared" si="14"/>
        <v>0</v>
      </c>
      <c r="M237" s="9" t="str">
        <f t="shared" si="15"/>
        <v>Unverändert</v>
      </c>
    </row>
    <row r="238" spans="1:13" ht="30" customHeight="1" x14ac:dyDescent="0.3">
      <c r="A238" s="9">
        <v>240</v>
      </c>
      <c r="B238" s="6" t="str">
        <f>Postkarten!A240</f>
        <v>AK-2026-0239</v>
      </c>
      <c r="C238" s="8" t="str">
        <f>Postkarten!B240</f>
        <v>Passau (Gesamtansicht mit Dom)</v>
      </c>
      <c r="D238" s="30">
        <f>Postkarten!L240</f>
        <v>3.5</v>
      </c>
      <c r="E238" s="30">
        <f>Postkarten!M240</f>
        <v>8</v>
      </c>
      <c r="F238" s="30">
        <f>Postkarten!N240</f>
        <v>8</v>
      </c>
      <c r="G238" s="30">
        <v>3.5</v>
      </c>
      <c r="H238" s="30">
        <v>8</v>
      </c>
      <c r="I238" s="30">
        <v>8</v>
      </c>
      <c r="J238" s="30">
        <f t="shared" si="12"/>
        <v>0</v>
      </c>
      <c r="K238" s="30">
        <f t="shared" si="13"/>
        <v>0</v>
      </c>
      <c r="L238" s="30">
        <f t="shared" si="14"/>
        <v>0</v>
      </c>
      <c r="M238" s="9" t="str">
        <f t="shared" si="15"/>
        <v>Unverändert</v>
      </c>
    </row>
    <row r="239" spans="1:13" ht="30" customHeight="1" x14ac:dyDescent="0.3">
      <c r="A239" s="9">
        <v>241</v>
      </c>
      <c r="B239" s="6" t="str">
        <f>Postkarten!A241</f>
        <v>AK-2026-0240</v>
      </c>
      <c r="C239" s="8" t="str">
        <f>Postkarten!B241</f>
        <v>Gruss aus Beratzhausen</v>
      </c>
      <c r="D239" s="30">
        <f>Postkarten!L241</f>
        <v>3</v>
      </c>
      <c r="E239" s="30">
        <f>Postkarten!M241</f>
        <v>11</v>
      </c>
      <c r="F239" s="30">
        <f>Postkarten!N241</f>
        <v>11</v>
      </c>
      <c r="G239" s="30">
        <v>6</v>
      </c>
      <c r="H239" s="30">
        <v>13</v>
      </c>
      <c r="I239" s="30">
        <v>11</v>
      </c>
      <c r="J239" s="30">
        <f t="shared" si="12"/>
        <v>3</v>
      </c>
      <c r="K239" s="30">
        <f t="shared" si="13"/>
        <v>2</v>
      </c>
      <c r="L239" s="30">
        <f t="shared" si="14"/>
        <v>0</v>
      </c>
      <c r="M239" s="9" t="str">
        <f t="shared" si="15"/>
        <v>Unverändert</v>
      </c>
    </row>
    <row r="240" spans="1:13" ht="30" customHeight="1" x14ac:dyDescent="0.3">
      <c r="A240" s="9">
        <v>242</v>
      </c>
      <c r="B240" s="6" t="str">
        <f>Postkarten!A242</f>
        <v>AK-2026-0241</v>
      </c>
      <c r="C240" s="8" t="str">
        <f>Postkarten!B242</f>
        <v>Rosenheim. Prinzregentenstraße</v>
      </c>
      <c r="D240" s="30">
        <f>Postkarten!L242</f>
        <v>1.5</v>
      </c>
      <c r="E240" s="30">
        <f>Postkarten!M242</f>
        <v>4</v>
      </c>
      <c r="F240" s="30">
        <f>Postkarten!N242</f>
        <v>4</v>
      </c>
      <c r="G240" s="30">
        <v>1.5</v>
      </c>
      <c r="H240" s="30">
        <v>4</v>
      </c>
      <c r="I240" s="30">
        <v>4</v>
      </c>
      <c r="J240" s="30">
        <f t="shared" si="12"/>
        <v>0</v>
      </c>
      <c r="K240" s="30">
        <f t="shared" si="13"/>
        <v>0</v>
      </c>
      <c r="L240" s="30">
        <f t="shared" si="14"/>
        <v>0</v>
      </c>
      <c r="M240" s="9" t="str">
        <f t="shared" si="15"/>
        <v>Unverändert</v>
      </c>
    </row>
    <row r="241" spans="1:13" ht="30" customHeight="1" x14ac:dyDescent="0.3">
      <c r="A241" s="9">
        <v>243</v>
      </c>
      <c r="B241" s="6" t="str">
        <f>Postkarten!A243</f>
        <v>AK-2026-0242</v>
      </c>
      <c r="C241" s="8" t="str">
        <f>Postkarten!B243</f>
        <v>Gruß vom Salvator (München)</v>
      </c>
      <c r="D241" s="30">
        <f>Postkarten!L243</f>
        <v>6</v>
      </c>
      <c r="E241" s="30">
        <f>Postkarten!M243</f>
        <v>15</v>
      </c>
      <c r="F241" s="30">
        <f>Postkarten!N243</f>
        <v>15</v>
      </c>
      <c r="G241" s="30">
        <v>8</v>
      </c>
      <c r="H241" s="30">
        <v>16</v>
      </c>
      <c r="I241" s="30">
        <v>14</v>
      </c>
      <c r="J241" s="30">
        <f t="shared" si="12"/>
        <v>2</v>
      </c>
      <c r="K241" s="30">
        <f t="shared" si="13"/>
        <v>1</v>
      </c>
      <c r="L241" s="30">
        <f t="shared" si="14"/>
        <v>-1</v>
      </c>
      <c r="M241" s="9" t="str">
        <f t="shared" si="15"/>
        <v>Senken</v>
      </c>
    </row>
    <row r="242" spans="1:13" ht="30" customHeight="1" x14ac:dyDescent="0.3">
      <c r="A242" s="9">
        <v>244</v>
      </c>
      <c r="B242" s="6" t="str">
        <f>Postkarten!A244</f>
        <v>AK-2026-0243</v>
      </c>
      <c r="C242" s="8" t="str">
        <f>Postkarten!B244</f>
        <v>Ingolstadt. Totalansicht mit Brücke</v>
      </c>
      <c r="D242" s="30">
        <f>Postkarten!L244</f>
        <v>3</v>
      </c>
      <c r="E242" s="30">
        <f>Postkarten!M244</f>
        <v>7</v>
      </c>
      <c r="F242" s="30">
        <f>Postkarten!N244</f>
        <v>7</v>
      </c>
      <c r="G242" s="30">
        <v>3</v>
      </c>
      <c r="H242" s="30">
        <v>7</v>
      </c>
      <c r="I242" s="30">
        <v>7</v>
      </c>
      <c r="J242" s="30">
        <f t="shared" si="12"/>
        <v>0</v>
      </c>
      <c r="K242" s="30">
        <f t="shared" si="13"/>
        <v>0</v>
      </c>
      <c r="L242" s="30">
        <f t="shared" si="14"/>
        <v>0</v>
      </c>
      <c r="M242" s="9" t="str">
        <f t="shared" si="15"/>
        <v>Unverändert</v>
      </c>
    </row>
    <row r="243" spans="1:13" ht="30" customHeight="1" x14ac:dyDescent="0.3">
      <c r="A243" s="9">
        <v>245</v>
      </c>
      <c r="B243" s="6" t="str">
        <f>Postkarten!A245</f>
        <v>AK-2026-0244</v>
      </c>
      <c r="C243" s="8" t="str">
        <f>Postkarten!B245</f>
        <v>Staffelberg (Wanderfahrt / Scheffel)</v>
      </c>
      <c r="D243" s="30">
        <f>Postkarten!L245</f>
        <v>4</v>
      </c>
      <c r="E243" s="30">
        <f>Postkarten!M245</f>
        <v>9</v>
      </c>
      <c r="F243" s="30">
        <f>Postkarten!N245</f>
        <v>9</v>
      </c>
      <c r="G243" s="30">
        <v>4</v>
      </c>
      <c r="H243" s="30">
        <v>9</v>
      </c>
      <c r="I243" s="30">
        <v>9</v>
      </c>
      <c r="J243" s="30">
        <f t="shared" si="12"/>
        <v>0</v>
      </c>
      <c r="K243" s="30">
        <f t="shared" si="13"/>
        <v>0</v>
      </c>
      <c r="L243" s="30">
        <f t="shared" si="14"/>
        <v>0</v>
      </c>
      <c r="M243" s="9" t="str">
        <f t="shared" si="15"/>
        <v>Unverändert</v>
      </c>
    </row>
    <row r="244" spans="1:13" ht="30" customHeight="1" x14ac:dyDescent="0.3">
      <c r="A244" s="9">
        <v>246</v>
      </c>
      <c r="B244" s="6" t="str">
        <f>Postkarten!A246</f>
        <v>AK-2026-0245</v>
      </c>
      <c r="C244" s="8" t="str">
        <f>Postkarten!B246</f>
        <v>Gößweinstein Fränk. Schweiz (Mehransicht)</v>
      </c>
      <c r="D244" s="30">
        <f>Postkarten!L246</f>
        <v>1.5</v>
      </c>
      <c r="E244" s="30">
        <f>Postkarten!M246</f>
        <v>4</v>
      </c>
      <c r="F244" s="30">
        <f>Postkarten!N246</f>
        <v>4</v>
      </c>
      <c r="G244" s="30">
        <v>1.5</v>
      </c>
      <c r="H244" s="30">
        <v>4</v>
      </c>
      <c r="I244" s="30">
        <v>4</v>
      </c>
      <c r="J244" s="30">
        <f t="shared" si="12"/>
        <v>0</v>
      </c>
      <c r="K244" s="30">
        <f t="shared" si="13"/>
        <v>0</v>
      </c>
      <c r="L244" s="30">
        <f t="shared" si="14"/>
        <v>0</v>
      </c>
      <c r="M244" s="9" t="str">
        <f t="shared" si="15"/>
        <v>Unverändert</v>
      </c>
    </row>
    <row r="245" spans="1:13" ht="30" customHeight="1" x14ac:dyDescent="0.3">
      <c r="A245" s="9">
        <v>247</v>
      </c>
      <c r="B245" s="6" t="str">
        <f>Postkarten!A247</f>
        <v>AK-2026-0246</v>
      </c>
      <c r="C245" s="8" t="str">
        <f>Postkarten!B247</f>
        <v>Kitzingen a. Main – Bootshaus</v>
      </c>
      <c r="D245" s="30">
        <f>Postkarten!L247</f>
        <v>2</v>
      </c>
      <c r="E245" s="30">
        <f>Postkarten!M247</f>
        <v>5</v>
      </c>
      <c r="F245" s="30">
        <f>Postkarten!N247</f>
        <v>5</v>
      </c>
      <c r="G245" s="30">
        <v>2</v>
      </c>
      <c r="H245" s="30">
        <v>5</v>
      </c>
      <c r="I245" s="30">
        <v>5</v>
      </c>
      <c r="J245" s="30">
        <f t="shared" si="12"/>
        <v>0</v>
      </c>
      <c r="K245" s="30">
        <f t="shared" si="13"/>
        <v>0</v>
      </c>
      <c r="L245" s="30">
        <f t="shared" si="14"/>
        <v>0</v>
      </c>
      <c r="M245" s="9" t="str">
        <f t="shared" si="15"/>
        <v>Unverändert</v>
      </c>
    </row>
    <row r="246" spans="1:13" ht="30" customHeight="1" x14ac:dyDescent="0.3">
      <c r="A246" s="9">
        <v>248</v>
      </c>
      <c r="B246" s="6" t="str">
        <f>Postkarten!A248</f>
        <v>AK-2026-0247</v>
      </c>
      <c r="C246" s="8" t="str">
        <f>Postkarten!B248</f>
        <v>Am Simsee, Bayr. Alpenvorland</v>
      </c>
      <c r="D246" s="30">
        <f>Postkarten!L248</f>
        <v>1.5</v>
      </c>
      <c r="E246" s="30">
        <f>Postkarten!M248</f>
        <v>4</v>
      </c>
      <c r="F246" s="30">
        <f>Postkarten!N248</f>
        <v>4</v>
      </c>
      <c r="G246" s="30">
        <v>1.5</v>
      </c>
      <c r="H246" s="30">
        <v>4</v>
      </c>
      <c r="I246" s="30">
        <v>4</v>
      </c>
      <c r="J246" s="30">
        <f t="shared" si="12"/>
        <v>0</v>
      </c>
      <c r="K246" s="30">
        <f t="shared" si="13"/>
        <v>0</v>
      </c>
      <c r="L246" s="30">
        <f t="shared" si="14"/>
        <v>0</v>
      </c>
      <c r="M246" s="9" t="str">
        <f t="shared" si="15"/>
        <v>Unverändert</v>
      </c>
    </row>
    <row r="247" spans="1:13" ht="30" customHeight="1" x14ac:dyDescent="0.3">
      <c r="A247" s="9">
        <v>249</v>
      </c>
      <c r="B247" s="6" t="str">
        <f>Postkarten!A249</f>
        <v>AK-2026-0248</v>
      </c>
      <c r="C247" s="8" t="str">
        <f>Postkarten!B249</f>
        <v>Lindau im Bodensee mit Österr. und Schweizer Alpen</v>
      </c>
      <c r="D247" s="30">
        <f>Postkarten!L249</f>
        <v>2</v>
      </c>
      <c r="E247" s="30">
        <f>Postkarten!M249</f>
        <v>5</v>
      </c>
      <c r="F247" s="30">
        <f>Postkarten!N249</f>
        <v>5</v>
      </c>
      <c r="G247" s="30">
        <v>2</v>
      </c>
      <c r="H247" s="30">
        <v>5</v>
      </c>
      <c r="I247" s="30">
        <v>5</v>
      </c>
      <c r="J247" s="30">
        <f t="shared" si="12"/>
        <v>0</v>
      </c>
      <c r="K247" s="30">
        <f t="shared" si="13"/>
        <v>0</v>
      </c>
      <c r="L247" s="30">
        <f t="shared" si="14"/>
        <v>0</v>
      </c>
      <c r="M247" s="9" t="str">
        <f t="shared" si="15"/>
        <v>Unverändert</v>
      </c>
    </row>
    <row r="248" spans="1:13" ht="30" customHeight="1" x14ac:dyDescent="0.3">
      <c r="A248" s="9">
        <v>250</v>
      </c>
      <c r="B248" s="6" t="str">
        <f>Postkarten!A250</f>
        <v>AK-2026-0249</v>
      </c>
      <c r="C248" s="8" t="str">
        <f>Postkarten!B250</f>
        <v>Bodenseepanorama mit Statistik und Gipfelbeschriftung</v>
      </c>
      <c r="D248" s="30">
        <f>Postkarten!L250</f>
        <v>2</v>
      </c>
      <c r="E248" s="30">
        <f>Postkarten!M250</f>
        <v>5</v>
      </c>
      <c r="F248" s="30">
        <f>Postkarten!N250</f>
        <v>5</v>
      </c>
      <c r="G248" s="30">
        <v>2</v>
      </c>
      <c r="H248" s="30">
        <v>5</v>
      </c>
      <c r="I248" s="30">
        <v>5</v>
      </c>
      <c r="J248" s="30">
        <f t="shared" si="12"/>
        <v>0</v>
      </c>
      <c r="K248" s="30">
        <f t="shared" si="13"/>
        <v>0</v>
      </c>
      <c r="L248" s="30">
        <f t="shared" si="14"/>
        <v>0</v>
      </c>
      <c r="M248" s="9" t="str">
        <f t="shared" si="15"/>
        <v>Unverändert</v>
      </c>
    </row>
    <row r="249" spans="1:13" ht="30" customHeight="1" x14ac:dyDescent="0.3">
      <c r="A249" s="9">
        <v>251</v>
      </c>
      <c r="B249" s="6" t="str">
        <f>Postkarten!A251</f>
        <v>AK-2026-0250</v>
      </c>
      <c r="C249" s="8" t="str">
        <f>Postkarten!B251</f>
        <v>Schloss Neuschwanstein (Vogelperspektive)</v>
      </c>
      <c r="D249" s="30">
        <f>Postkarten!L251</f>
        <v>3</v>
      </c>
      <c r="E249" s="30">
        <f>Postkarten!M251</f>
        <v>8</v>
      </c>
      <c r="F249" s="30">
        <f>Postkarten!N251</f>
        <v>8</v>
      </c>
      <c r="G249" s="30">
        <v>3</v>
      </c>
      <c r="H249" s="30">
        <v>8</v>
      </c>
      <c r="I249" s="30">
        <v>8</v>
      </c>
      <c r="J249" s="30">
        <f t="shared" si="12"/>
        <v>0</v>
      </c>
      <c r="K249" s="30">
        <f t="shared" si="13"/>
        <v>0</v>
      </c>
      <c r="L249" s="30">
        <f t="shared" si="14"/>
        <v>0</v>
      </c>
      <c r="M249" s="9" t="str">
        <f t="shared" si="15"/>
        <v>Unverändert</v>
      </c>
    </row>
    <row r="250" spans="1:13" ht="30" customHeight="1" x14ac:dyDescent="0.3">
      <c r="A250" s="9">
        <v>252</v>
      </c>
      <c r="B250" s="6" t="str">
        <f>Postkarten!A252</f>
        <v>AK-2026-0251</v>
      </c>
      <c r="C250" s="8" t="str">
        <f>Postkarten!B252</f>
        <v>Oberstdorf in Umgebung (Panorama)</v>
      </c>
      <c r="D250" s="30">
        <f>Postkarten!L252</f>
        <v>2</v>
      </c>
      <c r="E250" s="30">
        <f>Postkarten!M252</f>
        <v>5</v>
      </c>
      <c r="F250" s="30">
        <f>Postkarten!N252</f>
        <v>5</v>
      </c>
      <c r="G250" s="30">
        <v>2</v>
      </c>
      <c r="H250" s="30">
        <v>5</v>
      </c>
      <c r="I250" s="30">
        <v>5</v>
      </c>
      <c r="J250" s="30">
        <f t="shared" si="12"/>
        <v>0</v>
      </c>
      <c r="K250" s="30">
        <f t="shared" si="13"/>
        <v>0</v>
      </c>
      <c r="L250" s="30">
        <f t="shared" si="14"/>
        <v>0</v>
      </c>
      <c r="M250" s="9" t="str">
        <f t="shared" si="15"/>
        <v>Unverändert</v>
      </c>
    </row>
    <row r="251" spans="1:13" ht="30" customHeight="1" x14ac:dyDescent="0.3">
      <c r="A251" s="9">
        <v>253</v>
      </c>
      <c r="B251" s="6" t="str">
        <f>Postkarten!A253</f>
        <v>AK-2026-0252</v>
      </c>
      <c r="C251" s="8" t="str">
        <f>Postkarten!B253</f>
        <v>Schloß Neuschwanstein (Klassisch)</v>
      </c>
      <c r="D251" s="30">
        <f>Postkarten!L253</f>
        <v>2.5</v>
      </c>
      <c r="E251" s="30">
        <f>Postkarten!M253</f>
        <v>6</v>
      </c>
      <c r="F251" s="30">
        <f>Postkarten!N253</f>
        <v>6</v>
      </c>
      <c r="G251" s="30">
        <v>2.5</v>
      </c>
      <c r="H251" s="30">
        <v>6</v>
      </c>
      <c r="I251" s="30">
        <v>6</v>
      </c>
      <c r="J251" s="30">
        <f t="shared" si="12"/>
        <v>0</v>
      </c>
      <c r="K251" s="30">
        <f t="shared" si="13"/>
        <v>0</v>
      </c>
      <c r="L251" s="30">
        <f t="shared" si="14"/>
        <v>0</v>
      </c>
      <c r="M251" s="9" t="str">
        <f t="shared" si="15"/>
        <v>Unverändert</v>
      </c>
    </row>
    <row r="252" spans="1:13" ht="30" customHeight="1" x14ac:dyDescent="0.3">
      <c r="A252" s="9">
        <v>254</v>
      </c>
      <c r="B252" s="6" t="str">
        <f>Postkarten!A254</f>
        <v>AK-2026-0253</v>
      </c>
      <c r="C252" s="8" t="str">
        <f>Postkarten!B254</f>
        <v>Rosenheim mit Alpenpanorama</v>
      </c>
      <c r="D252" s="30">
        <f>Postkarten!L254</f>
        <v>2.5</v>
      </c>
      <c r="E252" s="30">
        <f>Postkarten!M254</f>
        <v>6</v>
      </c>
      <c r="F252" s="30">
        <f>Postkarten!N254</f>
        <v>6</v>
      </c>
      <c r="G252" s="30">
        <v>2.5</v>
      </c>
      <c r="H252" s="30">
        <v>6</v>
      </c>
      <c r="I252" s="30">
        <v>6</v>
      </c>
      <c r="J252" s="30">
        <f t="shared" si="12"/>
        <v>0</v>
      </c>
      <c r="K252" s="30">
        <f t="shared" si="13"/>
        <v>0</v>
      </c>
      <c r="L252" s="30">
        <f t="shared" si="14"/>
        <v>0</v>
      </c>
      <c r="M252" s="9" t="str">
        <f t="shared" si="15"/>
        <v>Unverändert</v>
      </c>
    </row>
    <row r="253" spans="1:13" ht="30" customHeight="1" x14ac:dyDescent="0.3">
      <c r="A253" s="9">
        <v>255</v>
      </c>
      <c r="B253" s="6" t="str">
        <f>Postkarten!A255</f>
        <v>AK-2026-0254</v>
      </c>
      <c r="C253" s="8" t="str">
        <f>Postkarten!B255</f>
        <v>Chiem-See mit Umgebung</v>
      </c>
      <c r="D253" s="30">
        <f>Postkarten!L255</f>
        <v>3</v>
      </c>
      <c r="E253" s="30">
        <f>Postkarten!M255</f>
        <v>7</v>
      </c>
      <c r="F253" s="30">
        <f>Postkarten!N255</f>
        <v>7</v>
      </c>
      <c r="G253" s="30">
        <v>3</v>
      </c>
      <c r="H253" s="30">
        <v>7</v>
      </c>
      <c r="I253" s="30">
        <v>7</v>
      </c>
      <c r="J253" s="30">
        <f t="shared" si="12"/>
        <v>0</v>
      </c>
      <c r="K253" s="30">
        <f t="shared" si="13"/>
        <v>0</v>
      </c>
      <c r="L253" s="30">
        <f t="shared" si="14"/>
        <v>0</v>
      </c>
      <c r="M253" s="9" t="str">
        <f t="shared" si="15"/>
        <v>Unverändert</v>
      </c>
    </row>
    <row r="254" spans="1:13" ht="30" customHeight="1" x14ac:dyDescent="0.3">
      <c r="A254" s="9">
        <v>256</v>
      </c>
      <c r="B254" s="6" t="str">
        <f>Postkarten!A256</f>
        <v>AK-2026-0255</v>
      </c>
      <c r="C254" s="8" t="str">
        <f>Postkarten!B256</f>
        <v>München - Odeonsplatz und Theatinerkirche</v>
      </c>
      <c r="D254" s="30">
        <f>Postkarten!L256</f>
        <v>4</v>
      </c>
      <c r="E254" s="30">
        <f>Postkarten!M256</f>
        <v>10</v>
      </c>
      <c r="F254" s="30">
        <f>Postkarten!N256</f>
        <v>10</v>
      </c>
      <c r="G254" s="30">
        <v>4</v>
      </c>
      <c r="H254" s="30">
        <v>10</v>
      </c>
      <c r="I254" s="30">
        <v>10</v>
      </c>
      <c r="J254" s="30">
        <f t="shared" si="12"/>
        <v>0</v>
      </c>
      <c r="K254" s="30">
        <f t="shared" si="13"/>
        <v>0</v>
      </c>
      <c r="L254" s="30">
        <f t="shared" si="14"/>
        <v>0</v>
      </c>
      <c r="M254" s="9" t="str">
        <f t="shared" si="15"/>
        <v>Unverändert</v>
      </c>
    </row>
    <row r="255" spans="1:13" ht="30" customHeight="1" x14ac:dyDescent="0.3">
      <c r="A255" s="9">
        <v>257</v>
      </c>
      <c r="B255" s="6" t="str">
        <f>Postkarten!A257</f>
        <v>AK-2026-0256</v>
      </c>
      <c r="C255" s="8" t="str">
        <f>Postkarten!B257</f>
        <v>Bad Reichenhall im Alpenklima</v>
      </c>
      <c r="D255" s="30">
        <f>Postkarten!L257</f>
        <v>2.5</v>
      </c>
      <c r="E255" s="30">
        <f>Postkarten!M257</f>
        <v>6</v>
      </c>
      <c r="F255" s="30">
        <f>Postkarten!N257</f>
        <v>6</v>
      </c>
      <c r="G255" s="30">
        <v>2.5</v>
      </c>
      <c r="H255" s="30">
        <v>6</v>
      </c>
      <c r="I255" s="30">
        <v>6</v>
      </c>
      <c r="J255" s="30">
        <f t="shared" si="12"/>
        <v>0</v>
      </c>
      <c r="K255" s="30">
        <f t="shared" si="13"/>
        <v>0</v>
      </c>
      <c r="L255" s="30">
        <f t="shared" si="14"/>
        <v>0</v>
      </c>
      <c r="M255" s="9" t="str">
        <f t="shared" si="15"/>
        <v>Unverändert</v>
      </c>
    </row>
    <row r="256" spans="1:13" ht="30" customHeight="1" x14ac:dyDescent="0.3">
      <c r="A256" s="9">
        <v>258</v>
      </c>
      <c r="B256" s="6" t="str">
        <f>Postkarten!A258</f>
        <v>AK-2026-0257</v>
      </c>
      <c r="C256" s="8" t="str">
        <f>Postkarten!B258</f>
        <v>Nürnberg - Lorenzkirche</v>
      </c>
      <c r="D256" s="30">
        <f>Postkarten!L258</f>
        <v>2.5</v>
      </c>
      <c r="E256" s="30">
        <f>Postkarten!M258</f>
        <v>6</v>
      </c>
      <c r="F256" s="30">
        <f>Postkarten!N258</f>
        <v>6</v>
      </c>
      <c r="G256" s="30">
        <v>2.5</v>
      </c>
      <c r="H256" s="30">
        <v>6</v>
      </c>
      <c r="I256" s="30">
        <v>6</v>
      </c>
      <c r="J256" s="30">
        <f t="shared" si="12"/>
        <v>0</v>
      </c>
      <c r="K256" s="30">
        <f t="shared" si="13"/>
        <v>0</v>
      </c>
      <c r="L256" s="30">
        <f t="shared" si="14"/>
        <v>0</v>
      </c>
      <c r="M256" s="9" t="str">
        <f t="shared" si="15"/>
        <v>Unverändert</v>
      </c>
    </row>
    <row r="257" spans="1:13" ht="30" customHeight="1" x14ac:dyDescent="0.3">
      <c r="A257" s="9">
        <v>259</v>
      </c>
      <c r="B257" s="6" t="str">
        <f>Postkarten!A259</f>
        <v>AK-2026-0258</v>
      </c>
      <c r="C257" s="8" t="str">
        <f>Postkarten!B259</f>
        <v>Rothenburg o.T. - Plönlein und Siebersturm</v>
      </c>
      <c r="D257" s="30">
        <f>Postkarten!L259</f>
        <v>3</v>
      </c>
      <c r="E257" s="30">
        <f>Postkarten!M259</f>
        <v>7</v>
      </c>
      <c r="F257" s="30">
        <f>Postkarten!N259</f>
        <v>7</v>
      </c>
      <c r="G257" s="30">
        <v>3</v>
      </c>
      <c r="H257" s="30">
        <v>7</v>
      </c>
      <c r="I257" s="30">
        <v>7</v>
      </c>
      <c r="J257" s="30">
        <f t="shared" si="12"/>
        <v>0</v>
      </c>
      <c r="K257" s="30">
        <f t="shared" si="13"/>
        <v>0</v>
      </c>
      <c r="L257" s="30">
        <f t="shared" si="14"/>
        <v>0</v>
      </c>
      <c r="M257" s="9" t="str">
        <f t="shared" si="15"/>
        <v>Unverändert</v>
      </c>
    </row>
    <row r="258" spans="1:13" ht="30" customHeight="1" x14ac:dyDescent="0.3">
      <c r="A258" s="9">
        <v>260</v>
      </c>
      <c r="B258" s="6" t="str">
        <f>Postkarten!A260</f>
        <v>AK-2026-0259</v>
      </c>
      <c r="C258" s="8" t="str">
        <f>Postkarten!B260</f>
        <v>Nürnberg - Frauenkirche Portal</v>
      </c>
      <c r="D258" s="30">
        <f>Postkarten!L260</f>
        <v>2.5</v>
      </c>
      <c r="E258" s="30">
        <f>Postkarten!M260</f>
        <v>6</v>
      </c>
      <c r="F258" s="30">
        <f>Postkarten!N260</f>
        <v>6</v>
      </c>
      <c r="G258" s="30">
        <v>2.5</v>
      </c>
      <c r="H258" s="30">
        <v>6</v>
      </c>
      <c r="I258" s="30">
        <v>6</v>
      </c>
      <c r="J258" s="30">
        <f t="shared" si="12"/>
        <v>0</v>
      </c>
      <c r="K258" s="30">
        <f t="shared" si="13"/>
        <v>0</v>
      </c>
      <c r="L258" s="30">
        <f t="shared" si="14"/>
        <v>0</v>
      </c>
      <c r="M258" s="9" t="str">
        <f t="shared" si="15"/>
        <v>Unverändert</v>
      </c>
    </row>
    <row r="259" spans="1:13" ht="30" customHeight="1" x14ac:dyDescent="0.3">
      <c r="A259" s="9">
        <v>261</v>
      </c>
      <c r="B259" s="6" t="str">
        <f>Postkarten!A261</f>
        <v>AK-2026-0260</v>
      </c>
      <c r="C259" s="8" t="str">
        <f>Postkarten!B261</f>
        <v>Lupburg i. Opf. vom Flugzeug aus</v>
      </c>
      <c r="D259" s="30">
        <f>Postkarten!L261</f>
        <v>4</v>
      </c>
      <c r="E259" s="30">
        <f>Postkarten!M261</f>
        <v>12</v>
      </c>
      <c r="F259" s="30">
        <f>Postkarten!N261</f>
        <v>12</v>
      </c>
      <c r="G259" s="30">
        <v>6</v>
      </c>
      <c r="H259" s="30">
        <v>14</v>
      </c>
      <c r="I259" s="30">
        <v>12</v>
      </c>
      <c r="J259" s="30">
        <f t="shared" si="12"/>
        <v>2</v>
      </c>
      <c r="K259" s="30">
        <f t="shared" si="13"/>
        <v>2</v>
      </c>
      <c r="L259" s="30">
        <f t="shared" si="14"/>
        <v>0</v>
      </c>
      <c r="M259" s="9" t="str">
        <f t="shared" si="15"/>
        <v>Unverändert</v>
      </c>
    </row>
    <row r="260" spans="1:13" ht="30" customHeight="1" x14ac:dyDescent="0.3">
      <c r="A260" s="9">
        <v>262</v>
      </c>
      <c r="B260" s="6" t="str">
        <f>Postkarten!A262</f>
        <v>AK-2026-0261</v>
      </c>
      <c r="C260" s="8" t="str">
        <f>Postkarten!B262</f>
        <v>Ulm a. D. - Bismarckdenkmal</v>
      </c>
      <c r="D260" s="30">
        <f>Postkarten!L262</f>
        <v>3</v>
      </c>
      <c r="E260" s="30">
        <f>Postkarten!M262</f>
        <v>7</v>
      </c>
      <c r="F260" s="30">
        <f>Postkarten!N262</f>
        <v>7</v>
      </c>
      <c r="G260" s="30">
        <v>3</v>
      </c>
      <c r="H260" s="30">
        <v>7</v>
      </c>
      <c r="I260" s="30">
        <v>7</v>
      </c>
      <c r="J260" s="30">
        <f t="shared" si="12"/>
        <v>0</v>
      </c>
      <c r="K260" s="30">
        <f t="shared" si="13"/>
        <v>0</v>
      </c>
      <c r="L260" s="30">
        <f t="shared" si="14"/>
        <v>0</v>
      </c>
      <c r="M260" s="9" t="str">
        <f t="shared" si="15"/>
        <v>Unverändert</v>
      </c>
    </row>
    <row r="261" spans="1:13" ht="30" customHeight="1" x14ac:dyDescent="0.3">
      <c r="A261" s="9">
        <v>263</v>
      </c>
      <c r="B261" s="6" t="str">
        <f>Postkarten!A263</f>
        <v>AK-2026-0262</v>
      </c>
      <c r="C261" s="8" t="str">
        <f>Postkarten!B263</f>
        <v>Lupburg b. Parsberg, Obf. - Ansicht mit Burg</v>
      </c>
      <c r="D261" s="30">
        <f>Postkarten!L263</f>
        <v>3</v>
      </c>
      <c r="E261" s="30">
        <f>Postkarten!M263</f>
        <v>12</v>
      </c>
      <c r="F261" s="30">
        <f>Postkarten!N263</f>
        <v>12</v>
      </c>
      <c r="G261" s="30">
        <v>6</v>
      </c>
      <c r="H261" s="30">
        <v>14</v>
      </c>
      <c r="I261" s="30">
        <v>12</v>
      </c>
      <c r="J261" s="30">
        <f t="shared" si="12"/>
        <v>3</v>
      </c>
      <c r="K261" s="30">
        <f t="shared" si="13"/>
        <v>2</v>
      </c>
      <c r="L261" s="30">
        <f t="shared" si="14"/>
        <v>0</v>
      </c>
      <c r="M261" s="9" t="str">
        <f t="shared" si="15"/>
        <v>Unverändert</v>
      </c>
    </row>
    <row r="262" spans="1:13" ht="30" customHeight="1" x14ac:dyDescent="0.3">
      <c r="A262" s="9">
        <v>264</v>
      </c>
      <c r="B262" s="6" t="str">
        <f>Postkarten!A264</f>
        <v>AK-2026-0263</v>
      </c>
      <c r="C262" s="8" t="str">
        <f>Postkarten!B264</f>
        <v>Lupburg i. Opf. mit Feldern und Straße</v>
      </c>
      <c r="D262" s="30">
        <f>Postkarten!L264</f>
        <v>3.5</v>
      </c>
      <c r="E262" s="30">
        <f>Postkarten!M264</f>
        <v>12</v>
      </c>
      <c r="F262" s="30">
        <f>Postkarten!N264</f>
        <v>12</v>
      </c>
      <c r="G262" s="30">
        <v>6</v>
      </c>
      <c r="H262" s="30">
        <v>14</v>
      </c>
      <c r="I262" s="30">
        <v>12</v>
      </c>
      <c r="J262" s="30">
        <f t="shared" si="12"/>
        <v>2.5</v>
      </c>
      <c r="K262" s="30">
        <f t="shared" si="13"/>
        <v>2</v>
      </c>
      <c r="L262" s="30">
        <f t="shared" si="14"/>
        <v>0</v>
      </c>
      <c r="M262" s="9" t="str">
        <f t="shared" si="15"/>
        <v>Unverändert</v>
      </c>
    </row>
    <row r="263" spans="1:13" ht="30" customHeight="1" x14ac:dyDescent="0.3">
      <c r="A263" s="9">
        <v>265</v>
      </c>
      <c r="B263" s="6" t="str">
        <f>Postkarten!A265</f>
        <v>AK-2026-0264</v>
      </c>
      <c r="C263" s="8" t="str">
        <f>Postkarten!B265</f>
        <v>Bodenseepanorama mit Geographie und Wappen</v>
      </c>
      <c r="D263" s="30">
        <f>Postkarten!L265</f>
        <v>3</v>
      </c>
      <c r="E263" s="30">
        <f>Postkarten!M265</f>
        <v>7</v>
      </c>
      <c r="F263" s="30">
        <f>Postkarten!N265</f>
        <v>7</v>
      </c>
      <c r="G263" s="30">
        <v>3</v>
      </c>
      <c r="H263" s="30">
        <v>7</v>
      </c>
      <c r="I263" s="30">
        <v>7</v>
      </c>
      <c r="J263" s="30">
        <f t="shared" si="12"/>
        <v>0</v>
      </c>
      <c r="K263" s="30">
        <f t="shared" si="13"/>
        <v>0</v>
      </c>
      <c r="L263" s="30">
        <f t="shared" si="14"/>
        <v>0</v>
      </c>
      <c r="M263" s="9" t="str">
        <f t="shared" si="15"/>
        <v>Unverändert</v>
      </c>
    </row>
    <row r="264" spans="1:13" ht="30" customHeight="1" x14ac:dyDescent="0.3">
      <c r="A264" s="9">
        <v>266</v>
      </c>
      <c r="B264" s="6" t="str">
        <f>Postkarten!A266</f>
        <v>AK-2026-0265</v>
      </c>
      <c r="C264" s="8" t="str">
        <f>Postkarten!B266</f>
        <v>Kallmünz i. Opf. - Fliegeraufnahme mit Burg</v>
      </c>
      <c r="D264" s="30">
        <f>Postkarten!L266</f>
        <v>3</v>
      </c>
      <c r="E264" s="30">
        <f>Postkarten!M266</f>
        <v>9</v>
      </c>
      <c r="F264" s="30">
        <f>Postkarten!N266</f>
        <v>9</v>
      </c>
      <c r="G264" s="30">
        <v>5</v>
      </c>
      <c r="H264" s="30">
        <v>10</v>
      </c>
      <c r="I264" s="30">
        <v>9</v>
      </c>
      <c r="J264" s="30">
        <f t="shared" ref="J264:J327" si="16">G264-D264</f>
        <v>2</v>
      </c>
      <c r="K264" s="30">
        <f t="shared" ref="K264:K327" si="17">H264-E264</f>
        <v>1</v>
      </c>
      <c r="L264" s="30">
        <f t="shared" ref="L264:L327" si="18">I264-F264</f>
        <v>0</v>
      </c>
      <c r="M264" s="9" t="str">
        <f t="shared" ref="M264:M327" si="19">IF(L264&gt;0,"Erhöhen",IF(L264&lt;0,"Senken","Unverändert"))</f>
        <v>Unverändert</v>
      </c>
    </row>
    <row r="265" spans="1:13" ht="30" customHeight="1" x14ac:dyDescent="0.3">
      <c r="A265" s="9">
        <v>267</v>
      </c>
      <c r="B265" s="6" t="str">
        <f>Postkarten!A267</f>
        <v>AK-2026-0266</v>
      </c>
      <c r="C265" s="8" t="str">
        <f>Postkarten!B267</f>
        <v>Ansbach - Mehrbildkarte (Schloss, Hofgarten)</v>
      </c>
      <c r="D265" s="30">
        <f>Postkarten!L267</f>
        <v>2.5</v>
      </c>
      <c r="E265" s="30">
        <f>Postkarten!M267</f>
        <v>6</v>
      </c>
      <c r="F265" s="30">
        <f>Postkarten!N267</f>
        <v>6</v>
      </c>
      <c r="G265" s="30">
        <v>2.5</v>
      </c>
      <c r="H265" s="30">
        <v>6</v>
      </c>
      <c r="I265" s="30">
        <v>6</v>
      </c>
      <c r="J265" s="30">
        <f t="shared" si="16"/>
        <v>0</v>
      </c>
      <c r="K265" s="30">
        <f t="shared" si="17"/>
        <v>0</v>
      </c>
      <c r="L265" s="30">
        <f t="shared" si="18"/>
        <v>0</v>
      </c>
      <c r="M265" s="9" t="str">
        <f t="shared" si="19"/>
        <v>Unverändert</v>
      </c>
    </row>
    <row r="266" spans="1:13" ht="30" customHeight="1" x14ac:dyDescent="0.3">
      <c r="A266" s="9">
        <v>268</v>
      </c>
      <c r="B266" s="6" t="str">
        <f>Postkarten!A268</f>
        <v>AK-2026-0267</v>
      </c>
      <c r="C266" s="8" t="str">
        <f>Postkarten!B268</f>
        <v>Kirchberg a. d. I. - Schloss und Ort</v>
      </c>
      <c r="D266" s="30">
        <f>Postkarten!L268</f>
        <v>3</v>
      </c>
      <c r="E266" s="30">
        <f>Postkarten!M268</f>
        <v>7</v>
      </c>
      <c r="F266" s="30">
        <f>Postkarten!N268</f>
        <v>7</v>
      </c>
      <c r="G266" s="30">
        <v>3</v>
      </c>
      <c r="H266" s="30">
        <v>7</v>
      </c>
      <c r="I266" s="30">
        <v>7</v>
      </c>
      <c r="J266" s="30">
        <f t="shared" si="16"/>
        <v>0</v>
      </c>
      <c r="K266" s="30">
        <f t="shared" si="17"/>
        <v>0</v>
      </c>
      <c r="L266" s="30">
        <f t="shared" si="18"/>
        <v>0</v>
      </c>
      <c r="M266" s="9" t="str">
        <f t="shared" si="19"/>
        <v>Unverändert</v>
      </c>
    </row>
    <row r="267" spans="1:13" ht="30" customHeight="1" x14ac:dyDescent="0.3">
      <c r="A267" s="9">
        <v>269</v>
      </c>
      <c r="B267" s="6" t="str">
        <f>Postkarten!A269</f>
        <v>AK-2026-0268</v>
      </c>
      <c r="C267" s="8" t="str">
        <f>Postkarten!B269</f>
        <v>München - Klapp-Werbebriefkarte Drei Masken Verlag</v>
      </c>
      <c r="D267" s="30">
        <f>Postkarten!L269</f>
        <v>8</v>
      </c>
      <c r="E267" s="30">
        <f>Postkarten!M269</f>
        <v>22</v>
      </c>
      <c r="F267" s="30">
        <f>Postkarten!N269</f>
        <v>22</v>
      </c>
      <c r="G267" s="30">
        <v>10</v>
      </c>
      <c r="H267" s="30">
        <v>25</v>
      </c>
      <c r="I267" s="30">
        <v>22</v>
      </c>
      <c r="J267" s="30">
        <f t="shared" si="16"/>
        <v>2</v>
      </c>
      <c r="K267" s="30">
        <f t="shared" si="17"/>
        <v>3</v>
      </c>
      <c r="L267" s="30">
        <f t="shared" si="18"/>
        <v>0</v>
      </c>
      <c r="M267" s="9" t="str">
        <f t="shared" si="19"/>
        <v>Unverändert</v>
      </c>
    </row>
    <row r="268" spans="1:13" ht="30" customHeight="1" x14ac:dyDescent="0.3">
      <c r="A268" s="9">
        <v>270</v>
      </c>
      <c r="B268" s="6" t="str">
        <f>Postkarten!A270</f>
        <v>AK-2026-0269</v>
      </c>
      <c r="C268" s="8" t="str">
        <f>Postkarten!B270</f>
        <v>Speyer - Der Dom (Südseite)</v>
      </c>
      <c r="D268" s="30">
        <f>Postkarten!L270</f>
        <v>3</v>
      </c>
      <c r="E268" s="30">
        <f>Postkarten!M270</f>
        <v>8</v>
      </c>
      <c r="F268" s="30">
        <f>Postkarten!N270</f>
        <v>8</v>
      </c>
      <c r="G268" s="30">
        <v>3</v>
      </c>
      <c r="H268" s="30">
        <v>8</v>
      </c>
      <c r="I268" s="30">
        <v>8</v>
      </c>
      <c r="J268" s="30">
        <f t="shared" si="16"/>
        <v>0</v>
      </c>
      <c r="K268" s="30">
        <f t="shared" si="17"/>
        <v>0</v>
      </c>
      <c r="L268" s="30">
        <f t="shared" si="18"/>
        <v>0</v>
      </c>
      <c r="M268" s="9" t="str">
        <f t="shared" si="19"/>
        <v>Unverändert</v>
      </c>
    </row>
    <row r="269" spans="1:13" ht="30" customHeight="1" x14ac:dyDescent="0.3">
      <c r="A269" s="9">
        <v>271</v>
      </c>
      <c r="B269" s="6" t="str">
        <f>Postkarten!A271</f>
        <v>AK-2026-0270</v>
      </c>
      <c r="C269" s="8" t="str">
        <f>Postkarten!B271</f>
        <v>Mittenwald - Gruß aus Mittenwald (Mehrfachansicht)</v>
      </c>
      <c r="D269" s="30">
        <f>Postkarten!L271</f>
        <v>2.5</v>
      </c>
      <c r="E269" s="30">
        <f>Postkarten!M271</f>
        <v>6</v>
      </c>
      <c r="F269" s="30">
        <f>Postkarten!N271</f>
        <v>6</v>
      </c>
      <c r="G269" s="30">
        <v>2.5</v>
      </c>
      <c r="H269" s="30">
        <v>6</v>
      </c>
      <c r="I269" s="30">
        <v>6</v>
      </c>
      <c r="J269" s="30">
        <f t="shared" si="16"/>
        <v>0</v>
      </c>
      <c r="K269" s="30">
        <f t="shared" si="17"/>
        <v>0</v>
      </c>
      <c r="L269" s="30">
        <f t="shared" si="18"/>
        <v>0</v>
      </c>
      <c r="M269" s="9" t="str">
        <f t="shared" si="19"/>
        <v>Unverändert</v>
      </c>
    </row>
    <row r="270" spans="1:13" ht="30" customHeight="1" x14ac:dyDescent="0.3">
      <c r="A270" s="9">
        <v>272</v>
      </c>
      <c r="B270" s="6" t="str">
        <f>Postkarten!A272</f>
        <v>AK-2026-0271</v>
      </c>
      <c r="C270" s="8" t="str">
        <f>Postkarten!B272</f>
        <v>Ansbach - Blick zur Gumbertuskirche</v>
      </c>
      <c r="D270" s="30">
        <f>Postkarten!L272</f>
        <v>1.5</v>
      </c>
      <c r="E270" s="30">
        <f>Postkarten!M272</f>
        <v>4</v>
      </c>
      <c r="F270" s="30">
        <f>Postkarten!N272</f>
        <v>4</v>
      </c>
      <c r="G270" s="30">
        <v>1.5</v>
      </c>
      <c r="H270" s="30">
        <v>4</v>
      </c>
      <c r="I270" s="30">
        <v>4</v>
      </c>
      <c r="J270" s="30">
        <f t="shared" si="16"/>
        <v>0</v>
      </c>
      <c r="K270" s="30">
        <f t="shared" si="17"/>
        <v>0</v>
      </c>
      <c r="L270" s="30">
        <f t="shared" si="18"/>
        <v>0</v>
      </c>
      <c r="M270" s="9" t="str">
        <f t="shared" si="19"/>
        <v>Unverändert</v>
      </c>
    </row>
    <row r="271" spans="1:13" ht="30" customHeight="1" x14ac:dyDescent="0.3">
      <c r="A271" s="9">
        <v>273</v>
      </c>
      <c r="B271" s="6" t="str">
        <f>Postkarten!A273</f>
        <v>AK-2026-0272</v>
      </c>
      <c r="C271" s="8" t="str">
        <f>Postkarten!B273</f>
        <v>Feldkirchen b. Westerham gegen Wendelstein</v>
      </c>
      <c r="D271" s="30">
        <f>Postkarten!L273</f>
        <v>2</v>
      </c>
      <c r="E271" s="30">
        <f>Postkarten!M273</f>
        <v>5</v>
      </c>
      <c r="F271" s="30">
        <f>Postkarten!N273</f>
        <v>5</v>
      </c>
      <c r="G271" s="30">
        <v>2</v>
      </c>
      <c r="H271" s="30">
        <v>5</v>
      </c>
      <c r="I271" s="30">
        <v>5</v>
      </c>
      <c r="J271" s="30">
        <f t="shared" si="16"/>
        <v>0</v>
      </c>
      <c r="K271" s="30">
        <f t="shared" si="17"/>
        <v>0</v>
      </c>
      <c r="L271" s="30">
        <f t="shared" si="18"/>
        <v>0</v>
      </c>
      <c r="M271" s="9" t="str">
        <f t="shared" si="19"/>
        <v>Unverändert</v>
      </c>
    </row>
    <row r="272" spans="1:13" ht="30" customHeight="1" x14ac:dyDescent="0.3">
      <c r="A272" s="9">
        <v>274</v>
      </c>
      <c r="B272" s="6" t="str">
        <f>Postkarten!A274</f>
        <v>AK-2026-0273</v>
      </c>
      <c r="C272" s="8" t="str">
        <f>Postkarten!B274</f>
        <v>Schloss Neuschwanstein (aus dem Wald)</v>
      </c>
      <c r="D272" s="30">
        <f>Postkarten!L274</f>
        <v>3</v>
      </c>
      <c r="E272" s="30">
        <f>Postkarten!M274</f>
        <v>7</v>
      </c>
      <c r="F272" s="30">
        <f>Postkarten!N274</f>
        <v>7</v>
      </c>
      <c r="G272" s="30">
        <v>3</v>
      </c>
      <c r="H272" s="30">
        <v>7</v>
      </c>
      <c r="I272" s="30">
        <v>7</v>
      </c>
      <c r="J272" s="30">
        <f t="shared" si="16"/>
        <v>0</v>
      </c>
      <c r="K272" s="30">
        <f t="shared" si="17"/>
        <v>0</v>
      </c>
      <c r="L272" s="30">
        <f t="shared" si="18"/>
        <v>0</v>
      </c>
      <c r="M272" s="9" t="str">
        <f t="shared" si="19"/>
        <v>Unverändert</v>
      </c>
    </row>
    <row r="273" spans="1:13" ht="30" customHeight="1" x14ac:dyDescent="0.3">
      <c r="A273" s="9">
        <v>275</v>
      </c>
      <c r="B273" s="6" t="str">
        <f>Postkarten!A275</f>
        <v>AK-2026-0274</v>
      </c>
      <c r="C273" s="8" t="str">
        <f>Postkarten!B275</f>
        <v>Gruss aus Gerzen</v>
      </c>
      <c r="D273" s="30">
        <f>Postkarten!L275</f>
        <v>4</v>
      </c>
      <c r="E273" s="30">
        <f>Postkarten!M275</f>
        <v>14</v>
      </c>
      <c r="F273" s="30">
        <f>Postkarten!N275</f>
        <v>14</v>
      </c>
      <c r="G273" s="30">
        <v>8</v>
      </c>
      <c r="H273" s="30">
        <v>16</v>
      </c>
      <c r="I273" s="30">
        <v>14</v>
      </c>
      <c r="J273" s="30">
        <f t="shared" si="16"/>
        <v>4</v>
      </c>
      <c r="K273" s="30">
        <f t="shared" si="17"/>
        <v>2</v>
      </c>
      <c r="L273" s="30">
        <f t="shared" si="18"/>
        <v>0</v>
      </c>
      <c r="M273" s="9" t="str">
        <f t="shared" si="19"/>
        <v>Unverändert</v>
      </c>
    </row>
    <row r="274" spans="1:13" ht="30" customHeight="1" x14ac:dyDescent="0.3">
      <c r="A274" s="9">
        <v>276</v>
      </c>
      <c r="B274" s="6" t="str">
        <f>Postkarten!A276</f>
        <v>AK-2026-0275</v>
      </c>
      <c r="C274" s="8" t="str">
        <f>Postkarten!B276</f>
        <v>Schloss Parsberg (Bayrische Oberpfalz)</v>
      </c>
      <c r="D274" s="30">
        <f>Postkarten!L276</f>
        <v>4</v>
      </c>
      <c r="E274" s="30">
        <f>Postkarten!M276</f>
        <v>10</v>
      </c>
      <c r="F274" s="30">
        <f>Postkarten!N276</f>
        <v>10</v>
      </c>
      <c r="G274" s="30">
        <v>6</v>
      </c>
      <c r="H274" s="30">
        <v>12</v>
      </c>
      <c r="I274" s="30">
        <v>10</v>
      </c>
      <c r="J274" s="30">
        <f t="shared" si="16"/>
        <v>2</v>
      </c>
      <c r="K274" s="30">
        <f t="shared" si="17"/>
        <v>2</v>
      </c>
      <c r="L274" s="30">
        <f t="shared" si="18"/>
        <v>0</v>
      </c>
      <c r="M274" s="9" t="str">
        <f t="shared" si="19"/>
        <v>Unverändert</v>
      </c>
    </row>
    <row r="275" spans="1:13" ht="30" customHeight="1" x14ac:dyDescent="0.3">
      <c r="A275" s="9">
        <v>277</v>
      </c>
      <c r="B275" s="6" t="str">
        <f>Postkarten!A277</f>
        <v>AK-2026-0276</v>
      </c>
      <c r="C275" s="8" t="str">
        <f>Postkarten!B277</f>
        <v>Bamberg – Totalansicht</v>
      </c>
      <c r="D275" s="30">
        <f>Postkarten!L277</f>
        <v>2.5</v>
      </c>
      <c r="E275" s="30">
        <f>Postkarten!M277</f>
        <v>5</v>
      </c>
      <c r="F275" s="30">
        <f>Postkarten!N277</f>
        <v>5</v>
      </c>
      <c r="G275" s="30">
        <v>2.5</v>
      </c>
      <c r="H275" s="30">
        <v>5</v>
      </c>
      <c r="I275" s="30">
        <v>5</v>
      </c>
      <c r="J275" s="30">
        <f t="shared" si="16"/>
        <v>0</v>
      </c>
      <c r="K275" s="30">
        <f t="shared" si="17"/>
        <v>0</v>
      </c>
      <c r="L275" s="30">
        <f t="shared" si="18"/>
        <v>0</v>
      </c>
      <c r="M275" s="9" t="str">
        <f t="shared" si="19"/>
        <v>Unverändert</v>
      </c>
    </row>
    <row r="276" spans="1:13" ht="30" customHeight="1" x14ac:dyDescent="0.3">
      <c r="A276" s="9">
        <v>278</v>
      </c>
      <c r="B276" s="6" t="str">
        <f>Postkarten!A278</f>
        <v>AK-2026-0277</v>
      </c>
      <c r="C276" s="8" t="str">
        <f>Postkarten!B278</f>
        <v>Gotthardbahn Fassnette</v>
      </c>
      <c r="D276" s="30">
        <f>Postkarten!L278</f>
        <v>4</v>
      </c>
      <c r="E276" s="30">
        <f>Postkarten!M278</f>
        <v>8</v>
      </c>
      <c r="F276" s="30">
        <f>Postkarten!N278</f>
        <v>8</v>
      </c>
      <c r="G276" s="30">
        <v>4</v>
      </c>
      <c r="H276" s="30">
        <v>8</v>
      </c>
      <c r="I276" s="30">
        <v>8</v>
      </c>
      <c r="J276" s="30">
        <f t="shared" si="16"/>
        <v>0</v>
      </c>
      <c r="K276" s="30">
        <f t="shared" si="17"/>
        <v>0</v>
      </c>
      <c r="L276" s="30">
        <f t="shared" si="18"/>
        <v>0</v>
      </c>
      <c r="M276" s="9" t="str">
        <f t="shared" si="19"/>
        <v>Unverändert</v>
      </c>
    </row>
    <row r="277" spans="1:13" ht="30" customHeight="1" x14ac:dyDescent="0.3">
      <c r="A277" s="9">
        <v>279</v>
      </c>
      <c r="B277" s="6" t="str">
        <f>Postkarten!A279</f>
        <v>AK-2026-0278</v>
      </c>
      <c r="C277" s="8" t="str">
        <f>Postkarten!B279</f>
        <v>Nürnberg - Neptunbrunnen &amp; Handwerkerhof Ansicht</v>
      </c>
      <c r="D277" s="30">
        <f>Postkarten!L279</f>
        <v>3</v>
      </c>
      <c r="E277" s="30">
        <f>Postkarten!M279</f>
        <v>6</v>
      </c>
      <c r="F277" s="30">
        <f>Postkarten!N279</f>
        <v>6</v>
      </c>
      <c r="G277" s="30">
        <v>3</v>
      </c>
      <c r="H277" s="30">
        <v>6</v>
      </c>
      <c r="I277" s="30">
        <v>6</v>
      </c>
      <c r="J277" s="30">
        <f t="shared" si="16"/>
        <v>0</v>
      </c>
      <c r="K277" s="30">
        <f t="shared" si="17"/>
        <v>0</v>
      </c>
      <c r="L277" s="30">
        <f t="shared" si="18"/>
        <v>0</v>
      </c>
      <c r="M277" s="9" t="str">
        <f t="shared" si="19"/>
        <v>Unverändert</v>
      </c>
    </row>
    <row r="278" spans="1:13" ht="30" customHeight="1" x14ac:dyDescent="0.3">
      <c r="A278" s="9">
        <v>280</v>
      </c>
      <c r="B278" s="6" t="str">
        <f>Postkarten!A280</f>
        <v>AK-2026-0279</v>
      </c>
      <c r="C278" s="8" t="str">
        <f>Postkarten!B280</f>
        <v>Unter den Colonaden Bad Steben</v>
      </c>
      <c r="D278" s="30">
        <f>Postkarten!L280</f>
        <v>2.5</v>
      </c>
      <c r="E278" s="30">
        <f>Postkarten!M280</f>
        <v>5</v>
      </c>
      <c r="F278" s="30">
        <f>Postkarten!N280</f>
        <v>5</v>
      </c>
      <c r="G278" s="30">
        <v>2.5</v>
      </c>
      <c r="H278" s="30">
        <v>5</v>
      </c>
      <c r="I278" s="30">
        <v>5</v>
      </c>
      <c r="J278" s="30">
        <f t="shared" si="16"/>
        <v>0</v>
      </c>
      <c r="K278" s="30">
        <f t="shared" si="17"/>
        <v>0</v>
      </c>
      <c r="L278" s="30">
        <f t="shared" si="18"/>
        <v>0</v>
      </c>
      <c r="M278" s="9" t="str">
        <f t="shared" si="19"/>
        <v>Unverändert</v>
      </c>
    </row>
    <row r="279" spans="1:13" ht="30" customHeight="1" x14ac:dyDescent="0.3">
      <c r="A279" s="9">
        <v>281</v>
      </c>
      <c r="B279" s="6" t="str">
        <f>Postkarten!A281</f>
        <v>AK-2026-0280</v>
      </c>
      <c r="C279" s="8" t="str">
        <f>Postkarten!B281</f>
        <v>975 Jahre Schwarzenfeld (Historische Ansichten um 1910)</v>
      </c>
      <c r="D279" s="30">
        <f>Postkarten!L281</f>
        <v>2</v>
      </c>
      <c r="E279" s="30">
        <f>Postkarten!M281</f>
        <v>4</v>
      </c>
      <c r="F279" s="30">
        <f>Postkarten!N281</f>
        <v>4</v>
      </c>
      <c r="G279" s="30">
        <v>2</v>
      </c>
      <c r="H279" s="30">
        <v>4</v>
      </c>
      <c r="I279" s="30">
        <v>4</v>
      </c>
      <c r="J279" s="30">
        <f t="shared" si="16"/>
        <v>0</v>
      </c>
      <c r="K279" s="30">
        <f t="shared" si="17"/>
        <v>0</v>
      </c>
      <c r="L279" s="30">
        <f t="shared" si="18"/>
        <v>0</v>
      </c>
      <c r="M279" s="9" t="str">
        <f t="shared" si="19"/>
        <v>Unverändert</v>
      </c>
    </row>
    <row r="280" spans="1:13" ht="30" customHeight="1" x14ac:dyDescent="0.3">
      <c r="A280" s="9">
        <v>282</v>
      </c>
      <c r="B280" s="6" t="str">
        <f>Postkarten!A282</f>
        <v>AK-2026-0281</v>
      </c>
      <c r="C280" s="8" t="str">
        <f>Postkarten!B282</f>
        <v>Seubersdorf - Schulhaus</v>
      </c>
      <c r="D280" s="30">
        <f>Postkarten!L282</f>
        <v>3</v>
      </c>
      <c r="E280" s="30">
        <f>Postkarten!M282</f>
        <v>10</v>
      </c>
      <c r="F280" s="30">
        <f>Postkarten!N282</f>
        <v>10</v>
      </c>
      <c r="G280" s="30">
        <v>6</v>
      </c>
      <c r="H280" s="30">
        <v>12</v>
      </c>
      <c r="I280" s="30">
        <v>10</v>
      </c>
      <c r="J280" s="30">
        <f t="shared" si="16"/>
        <v>3</v>
      </c>
      <c r="K280" s="30">
        <f t="shared" si="17"/>
        <v>2</v>
      </c>
      <c r="L280" s="30">
        <f t="shared" si="18"/>
        <v>0</v>
      </c>
      <c r="M280" s="9" t="str">
        <f t="shared" si="19"/>
        <v>Unverändert</v>
      </c>
    </row>
    <row r="281" spans="1:13" ht="30" customHeight="1" x14ac:dyDescent="0.3">
      <c r="A281" s="9">
        <v>283</v>
      </c>
      <c r="B281" s="6" t="str">
        <f>Postkarten!A283</f>
        <v>AK-2026-0282</v>
      </c>
      <c r="C281" s="8" t="str">
        <f>Postkarten!B283</f>
        <v>Schloss Parsberg (Bayrische Oberpfalz)</v>
      </c>
      <c r="D281" s="30">
        <f>Postkarten!L283</f>
        <v>4</v>
      </c>
      <c r="E281" s="30">
        <f>Postkarten!M283</f>
        <v>10</v>
      </c>
      <c r="F281" s="30">
        <f>Postkarten!N283</f>
        <v>10</v>
      </c>
      <c r="G281" s="30">
        <v>6</v>
      </c>
      <c r="H281" s="30">
        <v>12</v>
      </c>
      <c r="I281" s="30">
        <v>10</v>
      </c>
      <c r="J281" s="30">
        <f t="shared" si="16"/>
        <v>2</v>
      </c>
      <c r="K281" s="30">
        <f t="shared" si="17"/>
        <v>2</v>
      </c>
      <c r="L281" s="30">
        <f t="shared" si="18"/>
        <v>0</v>
      </c>
      <c r="M281" s="9" t="str">
        <f t="shared" si="19"/>
        <v>Unverändert</v>
      </c>
    </row>
    <row r="282" spans="1:13" ht="30" customHeight="1" x14ac:dyDescent="0.3">
      <c r="A282" s="9">
        <v>284</v>
      </c>
      <c r="B282" s="6" t="str">
        <f>Postkarten!A284</f>
        <v>AK-2026-0283</v>
      </c>
      <c r="C282" s="8" t="str">
        <f>Postkarten!B284</f>
        <v>Herzogstand-Häuser vom Fahrenberg</v>
      </c>
      <c r="D282" s="30">
        <f>Postkarten!L284</f>
        <v>4</v>
      </c>
      <c r="E282" s="30">
        <f>Postkarten!M284</f>
        <v>8</v>
      </c>
      <c r="F282" s="30">
        <f>Postkarten!N284</f>
        <v>8</v>
      </c>
      <c r="G282" s="30">
        <v>4</v>
      </c>
      <c r="H282" s="30">
        <v>8</v>
      </c>
      <c r="I282" s="30">
        <v>8</v>
      </c>
      <c r="J282" s="30">
        <f t="shared" si="16"/>
        <v>0</v>
      </c>
      <c r="K282" s="30">
        <f t="shared" si="17"/>
        <v>0</v>
      </c>
      <c r="L282" s="30">
        <f t="shared" si="18"/>
        <v>0</v>
      </c>
      <c r="M282" s="9" t="str">
        <f t="shared" si="19"/>
        <v>Unverändert</v>
      </c>
    </row>
    <row r="283" spans="1:13" ht="30" customHeight="1" x14ac:dyDescent="0.3">
      <c r="A283" s="9">
        <v>285</v>
      </c>
      <c r="B283" s="6" t="str">
        <f>Postkarten!A285</f>
        <v>AK-2026-0284</v>
      </c>
      <c r="C283" s="8" t="str">
        <f>Postkarten!B285</f>
        <v>Ehrenmal mit Wachposten (München / Königsplatz)</v>
      </c>
      <c r="D283" s="30">
        <f>Postkarten!L285</f>
        <v>3</v>
      </c>
      <c r="E283" s="30">
        <f>Postkarten!M285</f>
        <v>10</v>
      </c>
      <c r="F283" s="30">
        <f>Postkarten!N285</f>
        <v>10</v>
      </c>
      <c r="G283" s="30">
        <v>5</v>
      </c>
      <c r="H283" s="30">
        <v>12</v>
      </c>
      <c r="I283" s="30">
        <v>10</v>
      </c>
      <c r="J283" s="30">
        <f t="shared" si="16"/>
        <v>2</v>
      </c>
      <c r="K283" s="30">
        <f t="shared" si="17"/>
        <v>2</v>
      </c>
      <c r="L283" s="30">
        <f t="shared" si="18"/>
        <v>0</v>
      </c>
      <c r="M283" s="9" t="str">
        <f t="shared" si="19"/>
        <v>Unverändert</v>
      </c>
    </row>
    <row r="284" spans="1:13" ht="30" customHeight="1" x14ac:dyDescent="0.3">
      <c r="A284" s="9">
        <v>286</v>
      </c>
      <c r="B284" s="6" t="str">
        <f>Postkarten!A286</f>
        <v>AK-2026-0285</v>
      </c>
      <c r="C284" s="8" t="str">
        <f>Postkarten!B286</f>
        <v>Lupburg b. Parsberg, Obpf. (Gesamtansicht mit Kruzifix im Vordergrund)</v>
      </c>
      <c r="D284" s="30">
        <f>Postkarten!L286</f>
        <v>3.5</v>
      </c>
      <c r="E284" s="30">
        <f>Postkarten!M286</f>
        <v>12</v>
      </c>
      <c r="F284" s="30">
        <f>Postkarten!N286</f>
        <v>12</v>
      </c>
      <c r="G284" s="30">
        <v>6</v>
      </c>
      <c r="H284" s="30">
        <v>14</v>
      </c>
      <c r="I284" s="30">
        <v>12</v>
      </c>
      <c r="J284" s="30">
        <f t="shared" si="16"/>
        <v>2.5</v>
      </c>
      <c r="K284" s="30">
        <f t="shared" si="17"/>
        <v>2</v>
      </c>
      <c r="L284" s="30">
        <f t="shared" si="18"/>
        <v>0</v>
      </c>
      <c r="M284" s="9" t="str">
        <f t="shared" si="19"/>
        <v>Unverändert</v>
      </c>
    </row>
    <row r="285" spans="1:13" ht="30" customHeight="1" x14ac:dyDescent="0.3">
      <c r="A285" s="9">
        <v>287</v>
      </c>
      <c r="B285" s="6" t="str">
        <f>Postkarten!A287</f>
        <v>AK-2026-0286</v>
      </c>
      <c r="C285" s="8" t="str">
        <f>Postkarten!B287</f>
        <v>Ingolstadt - Stadtmauer und Altstadt</v>
      </c>
      <c r="D285" s="30">
        <f>Postkarten!L287</f>
        <v>3</v>
      </c>
      <c r="E285" s="30">
        <f>Postkarten!M287</f>
        <v>7</v>
      </c>
      <c r="F285" s="30">
        <f>Postkarten!N287</f>
        <v>7</v>
      </c>
      <c r="G285" s="30">
        <v>4</v>
      </c>
      <c r="H285" s="30">
        <v>8</v>
      </c>
      <c r="I285" s="30">
        <v>7</v>
      </c>
      <c r="J285" s="30">
        <f t="shared" si="16"/>
        <v>1</v>
      </c>
      <c r="K285" s="30">
        <f t="shared" si="17"/>
        <v>1</v>
      </c>
      <c r="L285" s="30">
        <f t="shared" si="18"/>
        <v>0</v>
      </c>
      <c r="M285" s="9" t="str">
        <f t="shared" si="19"/>
        <v>Unverändert</v>
      </c>
    </row>
    <row r="286" spans="1:13" ht="30" customHeight="1" x14ac:dyDescent="0.3">
      <c r="A286" s="9">
        <v>288</v>
      </c>
      <c r="B286" s="6" t="str">
        <f>Postkarten!A288</f>
        <v>AK-2026-0287</v>
      </c>
      <c r="C286" s="8" t="str">
        <f>Postkarten!B288</f>
        <v>Gasthaus a. Chiemsee (mit Alpenpanorama)</v>
      </c>
      <c r="D286" s="30">
        <f>Postkarten!L288</f>
        <v>2.5</v>
      </c>
      <c r="E286" s="30">
        <f>Postkarten!M288</f>
        <v>6</v>
      </c>
      <c r="F286" s="30">
        <f>Postkarten!N288</f>
        <v>6</v>
      </c>
      <c r="G286" s="30">
        <v>3</v>
      </c>
      <c r="H286" s="30">
        <v>7</v>
      </c>
      <c r="I286" s="30">
        <v>6</v>
      </c>
      <c r="J286" s="30">
        <f t="shared" si="16"/>
        <v>0.5</v>
      </c>
      <c r="K286" s="30">
        <f t="shared" si="17"/>
        <v>1</v>
      </c>
      <c r="L286" s="30">
        <f t="shared" si="18"/>
        <v>0</v>
      </c>
      <c r="M286" s="9" t="str">
        <f t="shared" si="19"/>
        <v>Unverändert</v>
      </c>
    </row>
    <row r="287" spans="1:13" ht="30" customHeight="1" x14ac:dyDescent="0.3">
      <c r="A287" s="9">
        <v>289</v>
      </c>
      <c r="B287" s="6" t="str">
        <f>Postkarten!A289</f>
        <v>AK-2026-0288</v>
      </c>
      <c r="C287" s="8" t="str">
        <f>Postkarten!B289</f>
        <v>Schloß Herrenchiemsee (Multi-Ansicht mit Innenräumen und Fassade)</v>
      </c>
      <c r="D287" s="30">
        <f>Postkarten!L289</f>
        <v>3</v>
      </c>
      <c r="E287" s="30">
        <f>Postkarten!M289</f>
        <v>7</v>
      </c>
      <c r="F287" s="30">
        <f>Postkarten!N289</f>
        <v>7</v>
      </c>
      <c r="G287" s="30">
        <v>4</v>
      </c>
      <c r="H287" s="30">
        <v>8</v>
      </c>
      <c r="I287" s="30">
        <v>7</v>
      </c>
      <c r="J287" s="30">
        <f t="shared" si="16"/>
        <v>1</v>
      </c>
      <c r="K287" s="30">
        <f t="shared" si="17"/>
        <v>1</v>
      </c>
      <c r="L287" s="30">
        <f t="shared" si="18"/>
        <v>0</v>
      </c>
      <c r="M287" s="9" t="str">
        <f t="shared" si="19"/>
        <v>Unverändert</v>
      </c>
    </row>
    <row r="288" spans="1:13" ht="30" customHeight="1" x14ac:dyDescent="0.3">
      <c r="A288" s="9">
        <v>290</v>
      </c>
      <c r="B288" s="6" t="str">
        <f>Postkarten!A290</f>
        <v>AK-2026-0289</v>
      </c>
      <c r="C288" s="8" t="str">
        <f>Postkarten!B290</f>
        <v>Karwendelgebirge mit Kochef- u. Walchensee (Reliefkarte Nr. 18)</v>
      </c>
      <c r="D288" s="30">
        <f>Postkarten!L290</f>
        <v>3</v>
      </c>
      <c r="E288" s="30">
        <f>Postkarten!M290</f>
        <v>6</v>
      </c>
      <c r="F288" s="30">
        <f>Postkarten!N290</f>
        <v>6</v>
      </c>
      <c r="G288" s="30">
        <v>3</v>
      </c>
      <c r="H288" s="30">
        <v>5</v>
      </c>
      <c r="I288" s="30">
        <v>4</v>
      </c>
      <c r="J288" s="30">
        <f t="shared" si="16"/>
        <v>0</v>
      </c>
      <c r="K288" s="30">
        <f t="shared" si="17"/>
        <v>-1</v>
      </c>
      <c r="L288" s="30">
        <f t="shared" si="18"/>
        <v>-2</v>
      </c>
      <c r="M288" s="9" t="str">
        <f t="shared" si="19"/>
        <v>Senken</v>
      </c>
    </row>
    <row r="289" spans="1:13" ht="30" customHeight="1" x14ac:dyDescent="0.3">
      <c r="A289" s="9">
        <v>291</v>
      </c>
      <c r="B289" s="6" t="str">
        <f>Postkarten!A291</f>
        <v>AK-2026-0290</v>
      </c>
      <c r="C289" s="8" t="str">
        <f>Postkarten!B291</f>
        <v>Christlessee bei Oberstdorf (mit Bergblick)</v>
      </c>
      <c r="D289" s="30">
        <f>Postkarten!L291</f>
        <v>2.5</v>
      </c>
      <c r="E289" s="30">
        <f>Postkarten!M291</f>
        <v>6</v>
      </c>
      <c r="F289" s="30">
        <f>Postkarten!N291</f>
        <v>6</v>
      </c>
      <c r="G289" s="30">
        <v>3</v>
      </c>
      <c r="H289" s="30">
        <v>7</v>
      </c>
      <c r="I289" s="30">
        <v>6</v>
      </c>
      <c r="J289" s="30">
        <f t="shared" si="16"/>
        <v>0.5</v>
      </c>
      <c r="K289" s="30">
        <f t="shared" si="17"/>
        <v>1</v>
      </c>
      <c r="L289" s="30">
        <f t="shared" si="18"/>
        <v>0</v>
      </c>
      <c r="M289" s="9" t="str">
        <f t="shared" si="19"/>
        <v>Unverändert</v>
      </c>
    </row>
    <row r="290" spans="1:13" ht="30" customHeight="1" x14ac:dyDescent="0.3">
      <c r="A290" s="9">
        <v>292</v>
      </c>
      <c r="B290" s="6" t="str">
        <f>Postkarten!A292</f>
        <v>AK-2026-0291</v>
      </c>
      <c r="C290" s="8" t="str">
        <f>Postkarten!B292</f>
        <v>Schloss Herrenchiemsee - Chambre de Parade, Paradebett</v>
      </c>
      <c r="D290" s="30">
        <f>Postkarten!L292</f>
        <v>2.5</v>
      </c>
      <c r="E290" s="30">
        <f>Postkarten!M292</f>
        <v>6</v>
      </c>
      <c r="F290" s="30">
        <f>Postkarten!N292</f>
        <v>6</v>
      </c>
      <c r="G290" s="30">
        <v>3</v>
      </c>
      <c r="H290" s="30">
        <v>7</v>
      </c>
      <c r="I290" s="30">
        <v>6</v>
      </c>
      <c r="J290" s="30">
        <f t="shared" si="16"/>
        <v>0.5</v>
      </c>
      <c r="K290" s="30">
        <f t="shared" si="17"/>
        <v>1</v>
      </c>
      <c r="L290" s="30">
        <f t="shared" si="18"/>
        <v>0</v>
      </c>
      <c r="M290" s="9" t="str">
        <f t="shared" si="19"/>
        <v>Unverändert</v>
      </c>
    </row>
    <row r="291" spans="1:13" ht="30" customHeight="1" x14ac:dyDescent="0.3">
      <c r="A291" s="9">
        <v>293</v>
      </c>
      <c r="B291" s="6" t="str">
        <f>Postkarten!A293</f>
        <v>AK-2026-0292</v>
      </c>
      <c r="C291" s="8" t="str">
        <f>Postkarten!B293</f>
        <v>Karmelitenkloster Mayerling, N.-Ö., ehemaliges Jagdschloss des Kronprinz Rudolf</v>
      </c>
      <c r="D291" s="30">
        <f>Postkarten!L293</f>
        <v>2.5</v>
      </c>
      <c r="E291" s="30">
        <f>Postkarten!M293</f>
        <v>6</v>
      </c>
      <c r="F291" s="30">
        <f>Postkarten!N293</f>
        <v>6</v>
      </c>
      <c r="G291" s="30">
        <v>3</v>
      </c>
      <c r="H291" s="30">
        <v>7</v>
      </c>
      <c r="I291" s="30">
        <v>6</v>
      </c>
      <c r="J291" s="30">
        <f t="shared" si="16"/>
        <v>0.5</v>
      </c>
      <c r="K291" s="30">
        <f t="shared" si="17"/>
        <v>1</v>
      </c>
      <c r="L291" s="30">
        <f t="shared" si="18"/>
        <v>0</v>
      </c>
      <c r="M291" s="9" t="str">
        <f t="shared" si="19"/>
        <v>Unverändert</v>
      </c>
    </row>
    <row r="292" spans="1:13" ht="30" customHeight="1" x14ac:dyDescent="0.3">
      <c r="A292" s="9">
        <v>294</v>
      </c>
      <c r="B292" s="6" t="str">
        <f>Postkarten!A294</f>
        <v>AK-2026-0293</v>
      </c>
      <c r="C292" s="8" t="str">
        <f>Postkarten!B294</f>
        <v>Hoher Kranzberg, 1392 m bei Mittenwald a. Isar</v>
      </c>
      <c r="D292" s="30">
        <f>Postkarten!L294</f>
        <v>2.5</v>
      </c>
      <c r="E292" s="30">
        <f>Postkarten!M294</f>
        <v>6</v>
      </c>
      <c r="F292" s="30">
        <f>Postkarten!N294</f>
        <v>6</v>
      </c>
      <c r="G292" s="30">
        <v>3</v>
      </c>
      <c r="H292" s="30">
        <v>7</v>
      </c>
      <c r="I292" s="30">
        <v>6</v>
      </c>
      <c r="J292" s="30">
        <f t="shared" si="16"/>
        <v>0.5</v>
      </c>
      <c r="K292" s="30">
        <f t="shared" si="17"/>
        <v>1</v>
      </c>
      <c r="L292" s="30">
        <f t="shared" si="18"/>
        <v>0</v>
      </c>
      <c r="M292" s="9" t="str">
        <f t="shared" si="19"/>
        <v>Unverändert</v>
      </c>
    </row>
    <row r="293" spans="1:13" ht="30" customHeight="1" x14ac:dyDescent="0.3">
      <c r="A293" s="9">
        <v>295</v>
      </c>
      <c r="B293" s="6" t="str">
        <f>Postkarten!A295</f>
        <v>AK-2026-0294</v>
      </c>
      <c r="C293" s="8" t="str">
        <f>Postkarten!B295</f>
        <v>Unterlengenhardt bei Bad Liebenzell 588 m ü. M. (Multi-Ansicht)</v>
      </c>
      <c r="D293" s="30">
        <f>Postkarten!L295</f>
        <v>3</v>
      </c>
      <c r="E293" s="30">
        <f>Postkarten!M295</f>
        <v>10</v>
      </c>
      <c r="F293" s="30">
        <f>Postkarten!N295</f>
        <v>10</v>
      </c>
      <c r="G293" s="30">
        <v>6</v>
      </c>
      <c r="H293" s="30">
        <v>12</v>
      </c>
      <c r="I293" s="30">
        <v>10</v>
      </c>
      <c r="J293" s="30">
        <f t="shared" si="16"/>
        <v>3</v>
      </c>
      <c r="K293" s="30">
        <f t="shared" si="17"/>
        <v>2</v>
      </c>
      <c r="L293" s="30">
        <f t="shared" si="18"/>
        <v>0</v>
      </c>
      <c r="M293" s="9" t="str">
        <f t="shared" si="19"/>
        <v>Unverändert</v>
      </c>
    </row>
    <row r="294" spans="1:13" ht="30" customHeight="1" x14ac:dyDescent="0.3">
      <c r="A294" s="9">
        <v>296</v>
      </c>
      <c r="B294" s="6" t="str">
        <f>Postkarten!A296</f>
        <v>AK-2026-0295</v>
      </c>
      <c r="C294" s="8" t="str">
        <f>Postkarten!B296</f>
        <v>St. Bartholomä m. Watzmann (Berchtesgadener Land)</v>
      </c>
      <c r="D294" s="30">
        <f>Postkarten!L296</f>
        <v>2.5</v>
      </c>
      <c r="E294" s="30">
        <f>Postkarten!M296</f>
        <v>5</v>
      </c>
      <c r="F294" s="30">
        <f>Postkarten!N296</f>
        <v>5</v>
      </c>
      <c r="G294" s="30">
        <v>2</v>
      </c>
      <c r="H294" s="30">
        <v>5</v>
      </c>
      <c r="I294" s="30">
        <v>4</v>
      </c>
      <c r="J294" s="30">
        <f t="shared" si="16"/>
        <v>-0.5</v>
      </c>
      <c r="K294" s="30">
        <f t="shared" si="17"/>
        <v>0</v>
      </c>
      <c r="L294" s="30">
        <f t="shared" si="18"/>
        <v>-1</v>
      </c>
      <c r="M294" s="9" t="str">
        <f t="shared" si="19"/>
        <v>Senken</v>
      </c>
    </row>
    <row r="295" spans="1:13" ht="30" customHeight="1" x14ac:dyDescent="0.3">
      <c r="A295" s="9">
        <v>297</v>
      </c>
      <c r="B295" s="6" t="str">
        <f>Postkarten!A297</f>
        <v>AK-2026-0296</v>
      </c>
      <c r="C295" s="8" t="str">
        <f>Postkarten!B297</f>
        <v>Der Königssee gegen das Steinerne Meer (Deutsche Heimatbilder)</v>
      </c>
      <c r="D295" s="30">
        <f>Postkarten!L297</f>
        <v>3</v>
      </c>
      <c r="E295" s="30">
        <f>Postkarten!M297</f>
        <v>6</v>
      </c>
      <c r="F295" s="30">
        <f>Postkarten!N297</f>
        <v>6</v>
      </c>
      <c r="G295" s="30">
        <v>2</v>
      </c>
      <c r="H295" s="30">
        <v>6</v>
      </c>
      <c r="I295" s="30">
        <v>5</v>
      </c>
      <c r="J295" s="30">
        <f t="shared" si="16"/>
        <v>-1</v>
      </c>
      <c r="K295" s="30">
        <f t="shared" si="17"/>
        <v>0</v>
      </c>
      <c r="L295" s="30">
        <f t="shared" si="18"/>
        <v>-1</v>
      </c>
      <c r="M295" s="9" t="str">
        <f t="shared" si="19"/>
        <v>Senken</v>
      </c>
    </row>
    <row r="296" spans="1:13" ht="30" customHeight="1" x14ac:dyDescent="0.3">
      <c r="A296" s="9">
        <v>298</v>
      </c>
      <c r="B296" s="6" t="str">
        <f>Postkarten!A298</f>
        <v>AK-2026-0297</v>
      </c>
      <c r="C296" s="8" t="str">
        <f>Postkarten!B298</f>
        <v>Walchensee (Unsere bayerischen Alpen - Herzogstandgebiet)</v>
      </c>
      <c r="D296" s="30">
        <f>Postkarten!L298</f>
        <v>3</v>
      </c>
      <c r="E296" s="30">
        <f>Postkarten!M298</f>
        <v>6</v>
      </c>
      <c r="F296" s="30">
        <f>Postkarten!N298</f>
        <v>6</v>
      </c>
      <c r="G296" s="30">
        <v>2</v>
      </c>
      <c r="H296" s="30">
        <v>5</v>
      </c>
      <c r="I296" s="30">
        <v>4</v>
      </c>
      <c r="J296" s="30">
        <f t="shared" si="16"/>
        <v>-1</v>
      </c>
      <c r="K296" s="30">
        <f t="shared" si="17"/>
        <v>-1</v>
      </c>
      <c r="L296" s="30">
        <f t="shared" si="18"/>
        <v>-2</v>
      </c>
      <c r="M296" s="9" t="str">
        <f t="shared" si="19"/>
        <v>Senken</v>
      </c>
    </row>
    <row r="297" spans="1:13" ht="30" customHeight="1" x14ac:dyDescent="0.3">
      <c r="A297" s="9">
        <v>299</v>
      </c>
      <c r="B297" s="6" t="str">
        <f>Postkarten!A299</f>
        <v>AK-2026-0298</v>
      </c>
      <c r="C297" s="8" t="str">
        <f>Postkarten!B299</f>
        <v>Nürnberg - Schöner Brunnen</v>
      </c>
      <c r="D297" s="30">
        <f>Postkarten!L299</f>
        <v>3</v>
      </c>
      <c r="E297" s="30">
        <f>Postkarten!M299</f>
        <v>6</v>
      </c>
      <c r="F297" s="30">
        <f>Postkarten!N299</f>
        <v>6</v>
      </c>
      <c r="G297" s="30">
        <v>2</v>
      </c>
      <c r="H297" s="30">
        <v>6</v>
      </c>
      <c r="I297" s="30">
        <v>5</v>
      </c>
      <c r="J297" s="30">
        <f t="shared" si="16"/>
        <v>-1</v>
      </c>
      <c r="K297" s="30">
        <f t="shared" si="17"/>
        <v>0</v>
      </c>
      <c r="L297" s="30">
        <f t="shared" si="18"/>
        <v>-1</v>
      </c>
      <c r="M297" s="9" t="str">
        <f t="shared" si="19"/>
        <v>Senken</v>
      </c>
    </row>
    <row r="298" spans="1:13" ht="30" customHeight="1" x14ac:dyDescent="0.3">
      <c r="A298" s="9">
        <v>300</v>
      </c>
      <c r="B298" s="6" t="str">
        <f>Postkarten!A300</f>
        <v>AK-2026-0299</v>
      </c>
      <c r="C298" s="8" t="str">
        <f>Postkarten!B300</f>
        <v>Schloß Neuschwanstein mit Alpsee und Schloß Hohenschwangau</v>
      </c>
      <c r="D298" s="30">
        <f>Postkarten!L300</f>
        <v>3</v>
      </c>
      <c r="E298" s="30">
        <f>Postkarten!M300</f>
        <v>6</v>
      </c>
      <c r="F298" s="30">
        <f>Postkarten!N300</f>
        <v>6</v>
      </c>
      <c r="G298" s="30">
        <v>2</v>
      </c>
      <c r="H298" s="30">
        <v>6</v>
      </c>
      <c r="I298" s="30">
        <v>5</v>
      </c>
      <c r="J298" s="30">
        <f t="shared" si="16"/>
        <v>-1</v>
      </c>
      <c r="K298" s="30">
        <f t="shared" si="17"/>
        <v>0</v>
      </c>
      <c r="L298" s="30">
        <f t="shared" si="18"/>
        <v>-1</v>
      </c>
      <c r="M298" s="9" t="str">
        <f t="shared" si="19"/>
        <v>Senken</v>
      </c>
    </row>
    <row r="299" spans="1:13" ht="30" customHeight="1" x14ac:dyDescent="0.3">
      <c r="A299" s="9">
        <v>301</v>
      </c>
      <c r="B299" s="6" t="str">
        <f>Postkarten!A301</f>
        <v>AK-2026-0300</v>
      </c>
      <c r="C299" s="8" t="str">
        <f>Postkarten!B301</f>
        <v>Altötting - Gnadenaltar in der Heil. Kapelle</v>
      </c>
      <c r="D299" s="30">
        <f>Postkarten!L301</f>
        <v>2.5</v>
      </c>
      <c r="E299" s="30">
        <f>Postkarten!M301</f>
        <v>5</v>
      </c>
      <c r="F299" s="30">
        <f>Postkarten!N301</f>
        <v>5</v>
      </c>
      <c r="G299" s="30">
        <v>2</v>
      </c>
      <c r="H299" s="30">
        <v>6</v>
      </c>
      <c r="I299" s="30">
        <v>5</v>
      </c>
      <c r="J299" s="30">
        <f t="shared" si="16"/>
        <v>-0.5</v>
      </c>
      <c r="K299" s="30">
        <f t="shared" si="17"/>
        <v>1</v>
      </c>
      <c r="L299" s="30">
        <f t="shared" si="18"/>
        <v>0</v>
      </c>
      <c r="M299" s="9" t="str">
        <f t="shared" si="19"/>
        <v>Unverändert</v>
      </c>
    </row>
    <row r="300" spans="1:13" ht="30" customHeight="1" x14ac:dyDescent="0.3">
      <c r="A300" s="9">
        <v>302</v>
      </c>
      <c r="B300" s="6" t="str">
        <f>Postkarten!A302</f>
        <v>AK-2026-0301</v>
      </c>
      <c r="C300" s="8" t="str">
        <f>Postkarten!B302</f>
        <v>München - Rathaus</v>
      </c>
      <c r="D300" s="30">
        <f>Postkarten!L302</f>
        <v>3</v>
      </c>
      <c r="E300" s="30">
        <f>Postkarten!M302</f>
        <v>6</v>
      </c>
      <c r="F300" s="30">
        <f>Postkarten!N302</f>
        <v>6</v>
      </c>
      <c r="G300" s="30">
        <v>3</v>
      </c>
      <c r="H300" s="30">
        <v>7</v>
      </c>
      <c r="I300" s="30">
        <v>6</v>
      </c>
      <c r="J300" s="30">
        <f t="shared" si="16"/>
        <v>0</v>
      </c>
      <c r="K300" s="30">
        <f t="shared" si="17"/>
        <v>1</v>
      </c>
      <c r="L300" s="30">
        <f t="shared" si="18"/>
        <v>0</v>
      </c>
      <c r="M300" s="9" t="str">
        <f t="shared" si="19"/>
        <v>Unverändert</v>
      </c>
    </row>
    <row r="301" spans="1:13" ht="30" customHeight="1" x14ac:dyDescent="0.3">
      <c r="A301" s="9">
        <v>303</v>
      </c>
      <c r="B301" s="6" t="str">
        <f>Postkarten!A303</f>
        <v>AK-2026-0302</v>
      </c>
      <c r="C301" s="8" t="str">
        <f>Postkarten!B303</f>
        <v>Farbige Motiv-Ansicht (Landschaft mit Kirchturm, unbeschriftet/Signet P 3004)</v>
      </c>
      <c r="D301" s="30">
        <f>Postkarten!L303</f>
        <v>2.5</v>
      </c>
      <c r="E301" s="30">
        <f>Postkarten!M303</f>
        <v>5</v>
      </c>
      <c r="F301" s="30">
        <f>Postkarten!N303</f>
        <v>5</v>
      </c>
      <c r="G301" s="30">
        <v>1.5</v>
      </c>
      <c r="H301" s="30">
        <v>4</v>
      </c>
      <c r="I301" s="30">
        <v>3</v>
      </c>
      <c r="J301" s="30">
        <f t="shared" si="16"/>
        <v>-1</v>
      </c>
      <c r="K301" s="30">
        <f t="shared" si="17"/>
        <v>-1</v>
      </c>
      <c r="L301" s="30">
        <f t="shared" si="18"/>
        <v>-2</v>
      </c>
      <c r="M301" s="9" t="str">
        <f t="shared" si="19"/>
        <v>Senken</v>
      </c>
    </row>
    <row r="302" spans="1:13" ht="30" customHeight="1" x14ac:dyDescent="0.3">
      <c r="A302" s="9">
        <v>304</v>
      </c>
      <c r="B302" s="6" t="str">
        <f>Postkarten!A304</f>
        <v>AK-2026-0303</v>
      </c>
      <c r="C302" s="8" t="str">
        <f>Postkarten!B304</f>
        <v>Predigtstuhl-Seilbahn Bad Reichenhall</v>
      </c>
      <c r="D302" s="30">
        <f>Postkarten!L304</f>
        <v>2.5</v>
      </c>
      <c r="E302" s="30">
        <f>Postkarten!M304</f>
        <v>7</v>
      </c>
      <c r="F302" s="30">
        <f>Postkarten!N304</f>
        <v>7</v>
      </c>
      <c r="G302" s="30">
        <v>3</v>
      </c>
      <c r="H302" s="30">
        <v>7</v>
      </c>
      <c r="I302" s="30">
        <v>7</v>
      </c>
      <c r="J302" s="30">
        <f t="shared" si="16"/>
        <v>0.5</v>
      </c>
      <c r="K302" s="30">
        <f t="shared" si="17"/>
        <v>0</v>
      </c>
      <c r="L302" s="30">
        <f t="shared" si="18"/>
        <v>0</v>
      </c>
      <c r="M302" s="9" t="str">
        <f t="shared" si="19"/>
        <v>Unverändert</v>
      </c>
    </row>
    <row r="303" spans="1:13" ht="30" customHeight="1" x14ac:dyDescent="0.3">
      <c r="A303" s="9">
        <v>305</v>
      </c>
      <c r="B303" s="6" t="str">
        <f>Postkarten!A305</f>
        <v>AK-2026-0304</v>
      </c>
      <c r="C303" s="8" t="str">
        <f>Postkarten!B305</f>
        <v>Gruss aus Altötting (Litho mit Kapelle und Basilika)</v>
      </c>
      <c r="D303" s="30">
        <f>Postkarten!L305</f>
        <v>3</v>
      </c>
      <c r="E303" s="30">
        <f>Postkarten!M305</f>
        <v>7</v>
      </c>
      <c r="F303" s="30">
        <f>Postkarten!N305</f>
        <v>7</v>
      </c>
      <c r="G303" s="30">
        <v>4</v>
      </c>
      <c r="H303" s="30">
        <v>8</v>
      </c>
      <c r="I303" s="30">
        <v>7</v>
      </c>
      <c r="J303" s="30">
        <f t="shared" si="16"/>
        <v>1</v>
      </c>
      <c r="K303" s="30">
        <f t="shared" si="17"/>
        <v>1</v>
      </c>
      <c r="L303" s="30">
        <f t="shared" si="18"/>
        <v>0</v>
      </c>
      <c r="M303" s="9" t="str">
        <f t="shared" si="19"/>
        <v>Unverändert</v>
      </c>
    </row>
    <row r="304" spans="1:13" ht="30" customHeight="1" x14ac:dyDescent="0.3">
      <c r="A304" s="9">
        <v>306</v>
      </c>
      <c r="B304" s="6" t="str">
        <f>Postkarten!A306</f>
        <v>AK-2026-0305</v>
      </c>
      <c r="C304" s="8" t="str">
        <f>Postkarten!B306</f>
        <v>Bayerische Verwaltungsschule Holzhausen a. Ammersee</v>
      </c>
      <c r="D304" s="30">
        <f>Postkarten!L306</f>
        <v>2.5</v>
      </c>
      <c r="E304" s="30">
        <f>Postkarten!M306</f>
        <v>5</v>
      </c>
      <c r="F304" s="30">
        <f>Postkarten!N306</f>
        <v>5</v>
      </c>
      <c r="G304" s="30">
        <v>2</v>
      </c>
      <c r="H304" s="30">
        <v>4</v>
      </c>
      <c r="I304" s="30">
        <v>3</v>
      </c>
      <c r="J304" s="30">
        <f t="shared" si="16"/>
        <v>-0.5</v>
      </c>
      <c r="K304" s="30">
        <f t="shared" si="17"/>
        <v>-1</v>
      </c>
      <c r="L304" s="30">
        <f t="shared" si="18"/>
        <v>-2</v>
      </c>
      <c r="M304" s="9" t="str">
        <f t="shared" si="19"/>
        <v>Senken</v>
      </c>
    </row>
    <row r="305" spans="1:13" ht="30" customHeight="1" x14ac:dyDescent="0.3">
      <c r="A305" s="9">
        <v>307</v>
      </c>
      <c r="B305" s="6" t="str">
        <f>Postkarten!A307</f>
        <v>AK-2026-0306</v>
      </c>
      <c r="C305" s="8" t="str">
        <f>Postkarten!B307</f>
        <v>Berchtesgaden - Almbachklamm (Wasserfall)</v>
      </c>
      <c r="D305" s="30">
        <f>Postkarten!L307</f>
        <v>2.5</v>
      </c>
      <c r="E305" s="30">
        <f>Postkarten!M307</f>
        <v>6</v>
      </c>
      <c r="F305" s="30">
        <f>Postkarten!N307</f>
        <v>6</v>
      </c>
      <c r="G305" s="30">
        <v>3</v>
      </c>
      <c r="H305" s="30">
        <v>7</v>
      </c>
      <c r="I305" s="30">
        <v>6</v>
      </c>
      <c r="J305" s="30">
        <f t="shared" si="16"/>
        <v>0.5</v>
      </c>
      <c r="K305" s="30">
        <f t="shared" si="17"/>
        <v>1</v>
      </c>
      <c r="L305" s="30">
        <f t="shared" si="18"/>
        <v>0</v>
      </c>
      <c r="M305" s="9" t="str">
        <f t="shared" si="19"/>
        <v>Unverändert</v>
      </c>
    </row>
    <row r="306" spans="1:13" ht="30" customHeight="1" x14ac:dyDescent="0.3">
      <c r="A306" s="9">
        <v>308</v>
      </c>
      <c r="B306" s="6" t="str">
        <f>Postkarten!A308</f>
        <v>AK-2026-0307</v>
      </c>
      <c r="C306" s="8" t="str">
        <f>Postkarten!B308</f>
        <v>Kloster Ettal</v>
      </c>
      <c r="D306" s="30">
        <f>Postkarten!L308</f>
        <v>2.5</v>
      </c>
      <c r="E306" s="30">
        <f>Postkarten!M308</f>
        <v>5</v>
      </c>
      <c r="F306" s="30">
        <f>Postkarten!N308</f>
        <v>5</v>
      </c>
      <c r="G306" s="30">
        <v>2</v>
      </c>
      <c r="H306" s="30">
        <v>5</v>
      </c>
      <c r="I306" s="30">
        <v>4</v>
      </c>
      <c r="J306" s="30">
        <f t="shared" si="16"/>
        <v>-0.5</v>
      </c>
      <c r="K306" s="30">
        <f t="shared" si="17"/>
        <v>0</v>
      </c>
      <c r="L306" s="30">
        <f t="shared" si="18"/>
        <v>-1</v>
      </c>
      <c r="M306" s="9" t="str">
        <f t="shared" si="19"/>
        <v>Senken</v>
      </c>
    </row>
    <row r="307" spans="1:13" ht="30" customHeight="1" x14ac:dyDescent="0.3">
      <c r="A307" s="9">
        <v>309</v>
      </c>
      <c r="B307" s="6" t="str">
        <f>Postkarten!A309</f>
        <v>AK-2026-0308</v>
      </c>
      <c r="C307" s="8" t="str">
        <f>Postkarten!B309</f>
        <v>Starnberger See - Seeshaupt mit Benediktenwand (Abendstimmung)</v>
      </c>
      <c r="D307" s="30">
        <f>Postkarten!L309</f>
        <v>2.5</v>
      </c>
      <c r="E307" s="30">
        <f>Postkarten!M309</f>
        <v>7</v>
      </c>
      <c r="F307" s="30">
        <f>Postkarten!N309</f>
        <v>7</v>
      </c>
      <c r="G307" s="30">
        <v>4</v>
      </c>
      <c r="H307" s="30">
        <v>9</v>
      </c>
      <c r="I307" s="30">
        <v>7</v>
      </c>
      <c r="J307" s="30">
        <f t="shared" si="16"/>
        <v>1.5</v>
      </c>
      <c r="K307" s="30">
        <f t="shared" si="17"/>
        <v>2</v>
      </c>
      <c r="L307" s="30">
        <f t="shared" si="18"/>
        <v>0</v>
      </c>
      <c r="M307" s="9" t="str">
        <f t="shared" si="19"/>
        <v>Unverändert</v>
      </c>
    </row>
    <row r="308" spans="1:13" ht="30" customHeight="1" x14ac:dyDescent="0.3">
      <c r="A308" s="9">
        <v>310</v>
      </c>
      <c r="B308" s="6" t="str">
        <f>Postkarten!A310</f>
        <v>AK-2026-0309</v>
      </c>
      <c r="C308" s="8" t="str">
        <f>Postkarten!B310</f>
        <v>Farbige Motiv-Ansicht / Burg- oder Schlossanlage (Deutsche Burgen und Hof-Marken / Nr. 173)</v>
      </c>
      <c r="D308" s="30">
        <f>Postkarten!L310</f>
        <v>3</v>
      </c>
      <c r="E308" s="30">
        <f>Postkarten!M310</f>
        <v>8</v>
      </c>
      <c r="F308" s="30">
        <f>Postkarten!N310</f>
        <v>8</v>
      </c>
      <c r="G308" s="30">
        <v>5</v>
      </c>
      <c r="H308" s="30">
        <v>10</v>
      </c>
      <c r="I308" s="30">
        <v>8</v>
      </c>
      <c r="J308" s="30">
        <f t="shared" si="16"/>
        <v>2</v>
      </c>
      <c r="K308" s="30">
        <f t="shared" si="17"/>
        <v>2</v>
      </c>
      <c r="L308" s="30">
        <f t="shared" si="18"/>
        <v>0</v>
      </c>
      <c r="M308" s="9" t="str">
        <f t="shared" si="19"/>
        <v>Unverändert</v>
      </c>
    </row>
    <row r="309" spans="1:13" ht="30" customHeight="1" x14ac:dyDescent="0.3">
      <c r="A309" s="19">
        <v>311</v>
      </c>
      <c r="B309" s="20" t="str">
        <f>Postkarten!A311</f>
        <v>AK-2026-0310</v>
      </c>
      <c r="C309" s="21" t="str">
        <f>Postkarten!B311</f>
        <v>Gruß aus Seubersdorf (Mehrfach-Luftbildkarte)</v>
      </c>
      <c r="D309" s="53">
        <f>Postkarten!L311</f>
        <v>6</v>
      </c>
      <c r="E309" s="53">
        <f>Postkarten!M311</f>
        <v>12</v>
      </c>
      <c r="F309" s="53">
        <f>Postkarten!N311</f>
        <v>12</v>
      </c>
      <c r="G309" s="53">
        <v>6</v>
      </c>
      <c r="H309" s="53">
        <v>12</v>
      </c>
      <c r="I309" s="53">
        <v>9</v>
      </c>
      <c r="J309" s="53">
        <f t="shared" si="16"/>
        <v>0</v>
      </c>
      <c r="K309" s="53">
        <f t="shared" si="17"/>
        <v>0</v>
      </c>
      <c r="L309" s="53">
        <f t="shared" si="18"/>
        <v>-3</v>
      </c>
      <c r="M309" s="19" t="str">
        <f t="shared" si="19"/>
        <v>Senken</v>
      </c>
    </row>
    <row r="310" spans="1:13" ht="30" customHeight="1" x14ac:dyDescent="0.3">
      <c r="A310" s="19">
        <v>312</v>
      </c>
      <c r="B310" s="20" t="str">
        <f>Postkarten!A312</f>
        <v>AK-2026-0311</v>
      </c>
      <c r="C310" s="21" t="str">
        <f>Postkarten!B312</f>
        <v>Feldkirchen b. Westerham gegen Wendelstein (1884 m)</v>
      </c>
      <c r="D310" s="53">
        <f>Postkarten!L312</f>
        <v>3</v>
      </c>
      <c r="E310" s="53">
        <f>Postkarten!M312</f>
        <v>9</v>
      </c>
      <c r="F310" s="53">
        <f>Postkarten!N312</f>
        <v>9</v>
      </c>
      <c r="G310" s="53">
        <v>3</v>
      </c>
      <c r="H310" s="53">
        <v>9</v>
      </c>
      <c r="I310" s="53">
        <v>6</v>
      </c>
      <c r="J310" s="53">
        <f t="shared" si="16"/>
        <v>0</v>
      </c>
      <c r="K310" s="53">
        <f t="shared" si="17"/>
        <v>0</v>
      </c>
      <c r="L310" s="53">
        <f t="shared" si="18"/>
        <v>-3</v>
      </c>
      <c r="M310" s="19" t="str">
        <f t="shared" si="19"/>
        <v>Senken</v>
      </c>
    </row>
    <row r="311" spans="1:13" ht="30" customHeight="1" x14ac:dyDescent="0.3">
      <c r="A311" s="19">
        <v>313</v>
      </c>
      <c r="B311" s="20" t="str">
        <f>Postkarten!A313</f>
        <v>AK-2026-0312</v>
      </c>
      <c r="C311" s="21" t="str">
        <f>Postkarten!B313</f>
        <v>Luftbild Sulzbürg / Opf.</v>
      </c>
      <c r="D311" s="53">
        <f>Postkarten!L313</f>
        <v>5</v>
      </c>
      <c r="E311" s="53">
        <f>Postkarten!M313</f>
        <v>11</v>
      </c>
      <c r="F311" s="53">
        <f>Postkarten!N313</f>
        <v>11</v>
      </c>
      <c r="G311" s="53">
        <v>5</v>
      </c>
      <c r="H311" s="53">
        <v>11</v>
      </c>
      <c r="I311" s="53">
        <v>8</v>
      </c>
      <c r="J311" s="53">
        <f t="shared" si="16"/>
        <v>0</v>
      </c>
      <c r="K311" s="53">
        <f t="shared" si="17"/>
        <v>0</v>
      </c>
      <c r="L311" s="53">
        <f t="shared" si="18"/>
        <v>-3</v>
      </c>
      <c r="M311" s="19" t="str">
        <f t="shared" si="19"/>
        <v>Senken</v>
      </c>
    </row>
    <row r="312" spans="1:13" ht="30" customHeight="1" x14ac:dyDescent="0.3">
      <c r="A312" s="19">
        <v>314</v>
      </c>
      <c r="B312" s="20" t="str">
        <f>Postkarten!A314</f>
        <v>AK-2026-0313</v>
      </c>
      <c r="C312" s="21" t="str">
        <f>Postkarten!B314</f>
        <v>Garmisch-Partenkirchen - Ballengasse m. Alpspitze</v>
      </c>
      <c r="D312" s="53">
        <f>Postkarten!L314</f>
        <v>3</v>
      </c>
      <c r="E312" s="53">
        <f>Postkarten!M314</f>
        <v>6</v>
      </c>
      <c r="F312" s="53">
        <f>Postkarten!N314</f>
        <v>6</v>
      </c>
      <c r="G312" s="53">
        <v>4</v>
      </c>
      <c r="H312" s="53">
        <v>7</v>
      </c>
      <c r="I312" s="53">
        <v>5</v>
      </c>
      <c r="J312" s="53">
        <f t="shared" si="16"/>
        <v>1</v>
      </c>
      <c r="K312" s="53">
        <f t="shared" si="17"/>
        <v>1</v>
      </c>
      <c r="L312" s="53">
        <f t="shared" si="18"/>
        <v>-1</v>
      </c>
      <c r="M312" s="19" t="str">
        <f t="shared" si="19"/>
        <v>Senken</v>
      </c>
    </row>
    <row r="313" spans="1:13" ht="30" customHeight="1" x14ac:dyDescent="0.3">
      <c r="A313" s="19">
        <v>315</v>
      </c>
      <c r="B313" s="20" t="str">
        <f>Postkarten!A315</f>
        <v>AK-2026-0314</v>
      </c>
      <c r="C313" s="21" t="str">
        <f>Postkarten!B315</f>
        <v>Seubersdorf Opf. (Mehrfach-Luftbildkarte mit Bäckerei Anton Liedl)</v>
      </c>
      <c r="D313" s="53">
        <f>Postkarten!L315</f>
        <v>8</v>
      </c>
      <c r="E313" s="53">
        <f>Postkarten!M315</f>
        <v>15</v>
      </c>
      <c r="F313" s="53">
        <f>Postkarten!N315</f>
        <v>15</v>
      </c>
      <c r="G313" s="53">
        <v>8</v>
      </c>
      <c r="H313" s="53">
        <v>15</v>
      </c>
      <c r="I313" s="53">
        <v>12</v>
      </c>
      <c r="J313" s="53">
        <f t="shared" si="16"/>
        <v>0</v>
      </c>
      <c r="K313" s="53">
        <f t="shared" si="17"/>
        <v>0</v>
      </c>
      <c r="L313" s="53">
        <f t="shared" si="18"/>
        <v>-3</v>
      </c>
      <c r="M313" s="19" t="str">
        <f t="shared" si="19"/>
        <v>Senken</v>
      </c>
    </row>
    <row r="314" spans="1:13" ht="30" customHeight="1" x14ac:dyDescent="0.3">
      <c r="A314" s="19">
        <v>316</v>
      </c>
      <c r="B314" s="20" t="str">
        <f>Postkarten!A316</f>
        <v>AK-2026-0315</v>
      </c>
      <c r="C314" s="21" t="str">
        <f>Postkarten!B316</f>
        <v>Bodensee - Panorama-Ansichtskarte mit Wappen</v>
      </c>
      <c r="D314" s="53">
        <f>Postkarten!L316</f>
        <v>6</v>
      </c>
      <c r="E314" s="53">
        <f>Postkarten!M316</f>
        <v>12</v>
      </c>
      <c r="F314" s="53">
        <f>Postkarten!N316</f>
        <v>12</v>
      </c>
      <c r="G314" s="53">
        <v>6</v>
      </c>
      <c r="H314" s="53">
        <v>12</v>
      </c>
      <c r="I314" s="53">
        <v>9</v>
      </c>
      <c r="J314" s="53">
        <f t="shared" si="16"/>
        <v>0</v>
      </c>
      <c r="K314" s="53">
        <f t="shared" si="17"/>
        <v>0</v>
      </c>
      <c r="L314" s="53">
        <f t="shared" si="18"/>
        <v>-3</v>
      </c>
      <c r="M314" s="19" t="str">
        <f t="shared" si="19"/>
        <v>Senken</v>
      </c>
    </row>
    <row r="315" spans="1:13" ht="27.6" x14ac:dyDescent="0.3">
      <c r="A315" s="19">
        <v>317</v>
      </c>
      <c r="B315" s="20" t="str">
        <f>Postkarten!A317</f>
        <v>AK-2026-0316</v>
      </c>
      <c r="C315" s="21" t="str">
        <f>Postkarten!B317</f>
        <v>Sulzbürg / Opf. (Gesamtansicht mit Kirche und Schlossbereich)</v>
      </c>
      <c r="D315" s="53">
        <f>Postkarten!L317</f>
        <v>5</v>
      </c>
      <c r="E315" s="53">
        <f>Postkarten!M317</f>
        <v>8</v>
      </c>
      <c r="F315" s="53">
        <f>Postkarten!N317</f>
        <v>8</v>
      </c>
      <c r="G315" s="53">
        <v>5</v>
      </c>
      <c r="H315" s="53">
        <v>8</v>
      </c>
      <c r="I315" s="53">
        <v>6</v>
      </c>
      <c r="J315" s="53">
        <f t="shared" si="16"/>
        <v>0</v>
      </c>
      <c r="K315" s="53">
        <f t="shared" si="17"/>
        <v>0</v>
      </c>
      <c r="L315" s="53">
        <f t="shared" si="18"/>
        <v>-2</v>
      </c>
      <c r="M315" s="19" t="str">
        <f t="shared" si="19"/>
        <v>Senken</v>
      </c>
    </row>
    <row r="316" spans="1:13" x14ac:dyDescent="0.3">
      <c r="A316" s="19">
        <v>318</v>
      </c>
      <c r="B316" s="20" t="str">
        <f>Postkarten!A318</f>
        <v>AK-2026-0317</v>
      </c>
      <c r="C316" s="21" t="str">
        <f>Postkarten!B318</f>
        <v>Rothenburg o. T. - Hegereiterhaus</v>
      </c>
      <c r="D316" s="53">
        <f>Postkarten!L318</f>
        <v>3</v>
      </c>
      <c r="E316" s="53">
        <f>Postkarten!M318</f>
        <v>6</v>
      </c>
      <c r="F316" s="53">
        <f>Postkarten!N318</f>
        <v>6</v>
      </c>
      <c r="G316" s="53">
        <v>4</v>
      </c>
      <c r="H316" s="53">
        <v>7</v>
      </c>
      <c r="I316" s="53">
        <v>6</v>
      </c>
      <c r="J316" s="53">
        <f t="shared" si="16"/>
        <v>1</v>
      </c>
      <c r="K316" s="53">
        <f t="shared" si="17"/>
        <v>1</v>
      </c>
      <c r="L316" s="53">
        <f t="shared" si="18"/>
        <v>0</v>
      </c>
      <c r="M316" s="19" t="str">
        <f t="shared" si="19"/>
        <v>Unverändert</v>
      </c>
    </row>
    <row r="317" spans="1:13" x14ac:dyDescent="0.3">
      <c r="A317" s="19">
        <v>319</v>
      </c>
      <c r="B317" s="20" t="str">
        <f>Postkarten!A319</f>
        <v>AK-2026-0318</v>
      </c>
      <c r="C317" s="21" t="str">
        <f>Postkarten!B319</f>
        <v>Gnadenkapelle Tirschenreuth (Innenansicht / Altarraum)</v>
      </c>
      <c r="D317" s="53">
        <f>Postkarten!L319</f>
        <v>3</v>
      </c>
      <c r="E317" s="53">
        <f>Postkarten!M319</f>
        <v>6</v>
      </c>
      <c r="F317" s="53">
        <f>Postkarten!N319</f>
        <v>6</v>
      </c>
      <c r="G317" s="53">
        <v>4</v>
      </c>
      <c r="H317" s="53">
        <v>7</v>
      </c>
      <c r="I317" s="53">
        <v>5</v>
      </c>
      <c r="J317" s="53">
        <f t="shared" si="16"/>
        <v>1</v>
      </c>
      <c r="K317" s="53">
        <f t="shared" si="17"/>
        <v>1</v>
      </c>
      <c r="L317" s="53">
        <f t="shared" si="18"/>
        <v>-1</v>
      </c>
      <c r="M317" s="19" t="str">
        <f t="shared" si="19"/>
        <v>Senken</v>
      </c>
    </row>
    <row r="318" spans="1:13" x14ac:dyDescent="0.3">
      <c r="A318" s="19">
        <v>320</v>
      </c>
      <c r="B318" s="20" t="str">
        <f>Postkarten!A320</f>
        <v>AK-2026-0319</v>
      </c>
      <c r="C318" s="21" t="str">
        <f>Postkarten!B320</f>
        <v>Schliersee (Bayr. Alpen)</v>
      </c>
      <c r="D318" s="53">
        <f>Postkarten!L320</f>
        <v>6</v>
      </c>
      <c r="E318" s="53">
        <f>Postkarten!M320</f>
        <v>12</v>
      </c>
      <c r="F318" s="53">
        <f>Postkarten!N320</f>
        <v>12</v>
      </c>
      <c r="G318" s="53">
        <v>6</v>
      </c>
      <c r="H318" s="53">
        <v>12</v>
      </c>
      <c r="I318" s="53">
        <v>9</v>
      </c>
      <c r="J318" s="53">
        <f t="shared" si="16"/>
        <v>0</v>
      </c>
      <c r="K318" s="53">
        <f t="shared" si="17"/>
        <v>0</v>
      </c>
      <c r="L318" s="53">
        <f t="shared" si="18"/>
        <v>-3</v>
      </c>
      <c r="M318" s="19" t="str">
        <f t="shared" si="19"/>
        <v>Senken</v>
      </c>
    </row>
    <row r="319" spans="1:13" ht="27.6" x14ac:dyDescent="0.3">
      <c r="A319" s="19">
        <v>321</v>
      </c>
      <c r="B319" s="20" t="str">
        <f>Postkarten!A321</f>
        <v>AK-2026-0320</v>
      </c>
      <c r="C319" s="21" t="str">
        <f>Postkarten!B321</f>
        <v>Deutsche Alpenstraße beim Wirtshof Ramsau / Lattenbachbrücke mit Watzmann u. Hochkalter</v>
      </c>
      <c r="D319" s="53">
        <f>Postkarten!L321</f>
        <v>3</v>
      </c>
      <c r="E319" s="53">
        <f>Postkarten!M321</f>
        <v>6</v>
      </c>
      <c r="F319" s="53">
        <f>Postkarten!N321</f>
        <v>6</v>
      </c>
      <c r="G319" s="53">
        <v>3</v>
      </c>
      <c r="H319" s="53">
        <v>8</v>
      </c>
      <c r="I319" s="53">
        <v>5</v>
      </c>
      <c r="J319" s="53">
        <f t="shared" si="16"/>
        <v>0</v>
      </c>
      <c r="K319" s="53">
        <f t="shared" si="17"/>
        <v>2</v>
      </c>
      <c r="L319" s="53">
        <f t="shared" si="18"/>
        <v>-1</v>
      </c>
      <c r="M319" s="19" t="str">
        <f t="shared" si="19"/>
        <v>Senken</v>
      </c>
    </row>
    <row r="320" spans="1:13" x14ac:dyDescent="0.3">
      <c r="A320" s="19">
        <v>322</v>
      </c>
      <c r="B320" s="20" t="str">
        <f>Postkarten!A322</f>
        <v>AK-2026-0321</v>
      </c>
      <c r="C320" s="21" t="str">
        <f>Postkarten!B322</f>
        <v>Bamberg - Grabmal Kaiser Heinrich u. Kunigunda im Dom</v>
      </c>
      <c r="D320" s="53">
        <f>Postkarten!L322</f>
        <v>2.5</v>
      </c>
      <c r="E320" s="53">
        <f>Postkarten!M322</f>
        <v>5</v>
      </c>
      <c r="F320" s="53">
        <f>Postkarten!N322</f>
        <v>5</v>
      </c>
      <c r="G320" s="53">
        <v>4</v>
      </c>
      <c r="H320" s="53">
        <v>7</v>
      </c>
      <c r="I320" s="53">
        <v>5</v>
      </c>
      <c r="J320" s="53">
        <f t="shared" si="16"/>
        <v>1.5</v>
      </c>
      <c r="K320" s="53">
        <f t="shared" si="17"/>
        <v>2</v>
      </c>
      <c r="L320" s="53">
        <f t="shared" si="18"/>
        <v>0</v>
      </c>
      <c r="M320" s="19" t="str">
        <f t="shared" si="19"/>
        <v>Unverändert</v>
      </c>
    </row>
    <row r="321" spans="1:13" x14ac:dyDescent="0.3">
      <c r="A321" s="19">
        <v>323</v>
      </c>
      <c r="B321" s="20" t="str">
        <f>Postkarten!A323</f>
        <v>AK-2026-0322</v>
      </c>
      <c r="C321" s="21" t="str">
        <f>Postkarten!B323</f>
        <v>Regensburg - Dom und Steinerne Brücke</v>
      </c>
      <c r="D321" s="53">
        <f>Postkarten!L323</f>
        <v>2.5</v>
      </c>
      <c r="E321" s="53">
        <f>Postkarten!M323</f>
        <v>5</v>
      </c>
      <c r="F321" s="53">
        <f>Postkarten!N323</f>
        <v>5</v>
      </c>
      <c r="G321" s="53">
        <v>3</v>
      </c>
      <c r="H321" s="53">
        <v>7</v>
      </c>
      <c r="I321" s="53">
        <v>5</v>
      </c>
      <c r="J321" s="53">
        <f t="shared" si="16"/>
        <v>0.5</v>
      </c>
      <c r="K321" s="53">
        <f t="shared" si="17"/>
        <v>2</v>
      </c>
      <c r="L321" s="53">
        <f t="shared" si="18"/>
        <v>0</v>
      </c>
      <c r="M321" s="19" t="str">
        <f t="shared" si="19"/>
        <v>Unverändert</v>
      </c>
    </row>
    <row r="322" spans="1:13" x14ac:dyDescent="0.3">
      <c r="A322" s="19">
        <v>324</v>
      </c>
      <c r="B322" s="20" t="str">
        <f>Postkarten!A324</f>
        <v>AK-2026-0323</v>
      </c>
      <c r="C322" s="21" t="str">
        <f>Postkarten!B324</f>
        <v>Schloss Parsberg (Bayrische Oberpfalz)</v>
      </c>
      <c r="D322" s="53">
        <f>Postkarten!L324</f>
        <v>9</v>
      </c>
      <c r="E322" s="53">
        <f>Postkarten!M324</f>
        <v>14</v>
      </c>
      <c r="F322" s="53">
        <f>Postkarten!N324</f>
        <v>14</v>
      </c>
      <c r="G322" s="53">
        <v>9</v>
      </c>
      <c r="H322" s="53">
        <v>14</v>
      </c>
      <c r="I322" s="53">
        <v>12</v>
      </c>
      <c r="J322" s="53">
        <f t="shared" si="16"/>
        <v>0</v>
      </c>
      <c r="K322" s="53">
        <f t="shared" si="17"/>
        <v>0</v>
      </c>
      <c r="L322" s="53">
        <f t="shared" si="18"/>
        <v>-2</v>
      </c>
      <c r="M322" s="19" t="str">
        <f t="shared" si="19"/>
        <v>Senken</v>
      </c>
    </row>
    <row r="323" spans="1:13" x14ac:dyDescent="0.3">
      <c r="A323" s="19">
        <v>325</v>
      </c>
      <c r="B323" s="20" t="str">
        <f>Postkarten!A325</f>
        <v>AK-2026-0324</v>
      </c>
      <c r="C323" s="21" t="str">
        <f>Postkarten!B325</f>
        <v>Walhalla a. d. Donau b. Regensburg</v>
      </c>
      <c r="D323" s="53">
        <f>Postkarten!L325</f>
        <v>4</v>
      </c>
      <c r="E323" s="53">
        <f>Postkarten!M325</f>
        <v>8</v>
      </c>
      <c r="F323" s="53">
        <f>Postkarten!N325</f>
        <v>8</v>
      </c>
      <c r="G323" s="53">
        <v>4</v>
      </c>
      <c r="H323" s="53">
        <v>8</v>
      </c>
      <c r="I323" s="53">
        <v>6</v>
      </c>
      <c r="J323" s="53">
        <f t="shared" si="16"/>
        <v>0</v>
      </c>
      <c r="K323" s="53">
        <f t="shared" si="17"/>
        <v>0</v>
      </c>
      <c r="L323" s="53">
        <f t="shared" si="18"/>
        <v>-2</v>
      </c>
      <c r="M323" s="19" t="str">
        <f t="shared" si="19"/>
        <v>Senken</v>
      </c>
    </row>
    <row r="324" spans="1:13" ht="27.6" x14ac:dyDescent="0.3">
      <c r="A324" s="9">
        <v>326</v>
      </c>
      <c r="B324" s="6" t="str">
        <f>Postkarten!A326</f>
        <v>AK-2026-0325</v>
      </c>
      <c r="C324" s="8" t="str">
        <f>Postkarten!B326</f>
        <v>Annahmestelle für Offizierbewerber der Luftwaffe München</v>
      </c>
      <c r="D324" s="30">
        <f>Postkarten!L326</f>
        <v>1</v>
      </c>
      <c r="E324" s="30">
        <f>Postkarten!M326</f>
        <v>5</v>
      </c>
      <c r="F324" s="30">
        <f>Postkarten!N326</f>
        <v>5</v>
      </c>
      <c r="G324" s="30">
        <v>1</v>
      </c>
      <c r="H324" s="30">
        <v>5</v>
      </c>
      <c r="I324" s="30">
        <v>5</v>
      </c>
      <c r="J324" s="30">
        <f t="shared" si="16"/>
        <v>0</v>
      </c>
      <c r="K324" s="30">
        <f t="shared" si="17"/>
        <v>0</v>
      </c>
      <c r="L324" s="30">
        <f t="shared" si="18"/>
        <v>0</v>
      </c>
      <c r="M324" s="9" t="str">
        <f t="shared" si="19"/>
        <v>Unverändert</v>
      </c>
    </row>
    <row r="325" spans="1:13" ht="27.6" x14ac:dyDescent="0.3">
      <c r="A325" s="9">
        <v>327</v>
      </c>
      <c r="B325" s="6" t="str">
        <f>Postkarten!A327</f>
        <v>AK-2026-0326</v>
      </c>
      <c r="C325" s="8" t="str">
        <f>Postkarten!B327</f>
        <v>Regensburg - Mehrfachansicht (Steinerne Brücke, Walhalla, Befreiungshalle, Donauhafen)</v>
      </c>
      <c r="D325" s="30">
        <f>Postkarten!L327</f>
        <v>4</v>
      </c>
      <c r="E325" s="30">
        <f>Postkarten!M327</f>
        <v>6</v>
      </c>
      <c r="F325" s="30">
        <f>Postkarten!N327</f>
        <v>6</v>
      </c>
      <c r="G325" s="30">
        <v>4</v>
      </c>
      <c r="H325" s="30">
        <v>6</v>
      </c>
      <c r="I325" s="30">
        <v>6</v>
      </c>
      <c r="J325" s="30">
        <f t="shared" si="16"/>
        <v>0</v>
      </c>
      <c r="K325" s="30">
        <f t="shared" si="17"/>
        <v>0</v>
      </c>
      <c r="L325" s="30">
        <f t="shared" si="18"/>
        <v>0</v>
      </c>
      <c r="M325" s="9" t="str">
        <f t="shared" si="19"/>
        <v>Unverändert</v>
      </c>
    </row>
    <row r="326" spans="1:13" x14ac:dyDescent="0.3">
      <c r="A326" s="9">
        <v>328</v>
      </c>
      <c r="B326" s="6" t="str">
        <f>Postkarten!A328</f>
        <v>AK-2026-0327</v>
      </c>
      <c r="C326" s="8" t="str">
        <f>Postkarten!B328</f>
        <v>Stubbenkammer: Gestade vom Königsstuhl aus gesehen</v>
      </c>
      <c r="D326" s="30">
        <f>Postkarten!L328</f>
        <v>2</v>
      </c>
      <c r="E326" s="30">
        <f>Postkarten!M328</f>
        <v>6</v>
      </c>
      <c r="F326" s="30">
        <f>Postkarten!N328</f>
        <v>6</v>
      </c>
      <c r="G326" s="30">
        <v>2</v>
      </c>
      <c r="H326" s="30">
        <v>6</v>
      </c>
      <c r="I326" s="30">
        <v>6</v>
      </c>
      <c r="J326" s="30">
        <f t="shared" si="16"/>
        <v>0</v>
      </c>
      <c r="K326" s="30">
        <f t="shared" si="17"/>
        <v>0</v>
      </c>
      <c r="L326" s="30">
        <f t="shared" si="18"/>
        <v>0</v>
      </c>
      <c r="M326" s="9" t="str">
        <f t="shared" si="19"/>
        <v>Unverändert</v>
      </c>
    </row>
    <row r="327" spans="1:13" ht="27.6" x14ac:dyDescent="0.3">
      <c r="A327" s="9">
        <v>329</v>
      </c>
      <c r="B327" s="6" t="str">
        <f>Postkarten!A329</f>
        <v>AK-2026-0328</v>
      </c>
      <c r="C327" s="8" t="str">
        <f>Postkarten!B329</f>
        <v>Blick gegen Sonnwendjoch (mit Wurzhütte über Neuhaus b. Schliersee)</v>
      </c>
      <c r="D327" s="30">
        <f>Postkarten!L329</f>
        <v>3</v>
      </c>
      <c r="E327" s="30">
        <f>Postkarten!M329</f>
        <v>5</v>
      </c>
      <c r="F327" s="30">
        <f>Postkarten!N329</f>
        <v>5</v>
      </c>
      <c r="G327" s="30">
        <v>3</v>
      </c>
      <c r="H327" s="30">
        <v>5</v>
      </c>
      <c r="I327" s="30">
        <v>5</v>
      </c>
      <c r="J327" s="30">
        <f t="shared" si="16"/>
        <v>0</v>
      </c>
      <c r="K327" s="30">
        <f t="shared" si="17"/>
        <v>0</v>
      </c>
      <c r="L327" s="30">
        <f t="shared" si="18"/>
        <v>0</v>
      </c>
      <c r="M327" s="9" t="str">
        <f t="shared" si="19"/>
        <v>Unverändert</v>
      </c>
    </row>
    <row r="328" spans="1:13" ht="27.6" x14ac:dyDescent="0.3">
      <c r="A328" s="9">
        <v>330</v>
      </c>
      <c r="B328" s="6" t="str">
        <f>Postkarten!A330</f>
        <v>AK-2026-0329</v>
      </c>
      <c r="C328" s="8" t="str">
        <f>Postkarten!B330</f>
        <v>Nebelhorngipfel (2224 m) mit Zugspitze (2964 m) und Hochvogel (2594 m)</v>
      </c>
      <c r="D328" s="30">
        <f>Postkarten!L330</f>
        <v>4</v>
      </c>
      <c r="E328" s="30">
        <f>Postkarten!M330</f>
        <v>6</v>
      </c>
      <c r="F328" s="30">
        <f>Postkarten!N330</f>
        <v>6</v>
      </c>
      <c r="G328" s="30">
        <v>4</v>
      </c>
      <c r="H328" s="30">
        <v>6</v>
      </c>
      <c r="I328" s="30">
        <v>6</v>
      </c>
      <c r="J328" s="30">
        <f t="shared" ref="J328:J391" si="20">G328-D328</f>
        <v>0</v>
      </c>
      <c r="K328" s="30">
        <f t="shared" ref="K328:K391" si="21">H328-E328</f>
        <v>0</v>
      </c>
      <c r="L328" s="30">
        <f t="shared" ref="L328:L391" si="22">I328-F328</f>
        <v>0</v>
      </c>
      <c r="M328" s="9" t="str">
        <f t="shared" ref="M328:M391" si="23">IF(L328&gt;0,"Erhöhen",IF(L328&lt;0,"Senken","Unverändert"))</f>
        <v>Unverändert</v>
      </c>
    </row>
    <row r="329" spans="1:13" x14ac:dyDescent="0.3">
      <c r="A329" s="9">
        <v>331</v>
      </c>
      <c r="B329" s="6" t="str">
        <f>Postkarten!A331</f>
        <v>AK-2026-0330</v>
      </c>
      <c r="C329" s="8" t="str">
        <f>Postkarten!B331</f>
        <v>Bodensee-Panorama (mit Ortsangaben und Berggipfeln)</v>
      </c>
      <c r="D329" s="30">
        <f>Postkarten!L331</f>
        <v>3.5</v>
      </c>
      <c r="E329" s="30">
        <f>Postkarten!M331</f>
        <v>7</v>
      </c>
      <c r="F329" s="30">
        <f>Postkarten!N331</f>
        <v>7</v>
      </c>
      <c r="G329" s="30">
        <v>3.5</v>
      </c>
      <c r="H329" s="30">
        <v>7</v>
      </c>
      <c r="I329" s="30">
        <v>7</v>
      </c>
      <c r="J329" s="30">
        <f t="shared" si="20"/>
        <v>0</v>
      </c>
      <c r="K329" s="30">
        <f t="shared" si="21"/>
        <v>0</v>
      </c>
      <c r="L329" s="30">
        <f t="shared" si="22"/>
        <v>0</v>
      </c>
      <c r="M329" s="9" t="str">
        <f t="shared" si="23"/>
        <v>Unverändert</v>
      </c>
    </row>
    <row r="330" spans="1:13" x14ac:dyDescent="0.3">
      <c r="A330" s="9">
        <v>332</v>
      </c>
      <c r="B330" s="6" t="str">
        <f>Postkarten!A332</f>
        <v>AK-2026-0331</v>
      </c>
      <c r="C330" s="8" t="str">
        <f>Postkarten!B332</f>
        <v>Gilching, Villenkolonie</v>
      </c>
      <c r="D330" s="30">
        <f>Postkarten!L332</f>
        <v>18</v>
      </c>
      <c r="E330" s="30">
        <f>Postkarten!M332</f>
        <v>28</v>
      </c>
      <c r="F330" s="30">
        <f>Postkarten!N332</f>
        <v>28</v>
      </c>
      <c r="G330" s="30">
        <v>18</v>
      </c>
      <c r="H330" s="30">
        <v>28</v>
      </c>
      <c r="I330" s="30">
        <v>28</v>
      </c>
      <c r="J330" s="30">
        <f t="shared" si="20"/>
        <v>0</v>
      </c>
      <c r="K330" s="30">
        <f t="shared" si="21"/>
        <v>0</v>
      </c>
      <c r="L330" s="30">
        <f t="shared" si="22"/>
        <v>0</v>
      </c>
      <c r="M330" s="9" t="str">
        <f t="shared" si="23"/>
        <v>Unverändert</v>
      </c>
    </row>
    <row r="331" spans="1:13" x14ac:dyDescent="0.3">
      <c r="A331" s="9">
        <v>333</v>
      </c>
      <c r="B331" s="6" t="str">
        <f>Postkarten!A333</f>
        <v>AK-2026-0332</v>
      </c>
      <c r="C331" s="8" t="str">
        <f>Postkarten!B333</f>
        <v>Schloss Parsberg (Bayrische Oberpfalz)</v>
      </c>
      <c r="D331" s="30">
        <f>Postkarten!L333</f>
        <v>6.5</v>
      </c>
      <c r="E331" s="30">
        <f>Postkarten!M333</f>
        <v>10</v>
      </c>
      <c r="F331" s="30">
        <f>Postkarten!N333</f>
        <v>10</v>
      </c>
      <c r="G331" s="30">
        <v>6.5</v>
      </c>
      <c r="H331" s="30">
        <v>10</v>
      </c>
      <c r="I331" s="30">
        <v>10</v>
      </c>
      <c r="J331" s="30">
        <f t="shared" si="20"/>
        <v>0</v>
      </c>
      <c r="K331" s="30">
        <f t="shared" si="21"/>
        <v>0</v>
      </c>
      <c r="L331" s="30">
        <f t="shared" si="22"/>
        <v>0</v>
      </c>
      <c r="M331" s="9" t="str">
        <f t="shared" si="23"/>
        <v>Unverändert</v>
      </c>
    </row>
    <row r="332" spans="1:13" x14ac:dyDescent="0.3">
      <c r="A332" s="9">
        <v>334</v>
      </c>
      <c r="B332" s="6" t="str">
        <f>Postkarten!A334</f>
        <v>AK-2026-0333</v>
      </c>
      <c r="C332" s="8" t="str">
        <f>Postkarten!B334</f>
        <v>Neues Schloß Herrenchiemsee - Treppenhaus</v>
      </c>
      <c r="D332" s="30">
        <f>Postkarten!L334</f>
        <v>3</v>
      </c>
      <c r="E332" s="30">
        <f>Postkarten!M334</f>
        <v>6.5</v>
      </c>
      <c r="F332" s="30">
        <f>Postkarten!N334</f>
        <v>6.5</v>
      </c>
      <c r="G332" s="30">
        <v>3</v>
      </c>
      <c r="H332" s="30">
        <v>6.5</v>
      </c>
      <c r="I332" s="30">
        <v>6.5</v>
      </c>
      <c r="J332" s="30">
        <f t="shared" si="20"/>
        <v>0</v>
      </c>
      <c r="K332" s="30">
        <f t="shared" si="21"/>
        <v>0</v>
      </c>
      <c r="L332" s="30">
        <f t="shared" si="22"/>
        <v>0</v>
      </c>
      <c r="M332" s="9" t="str">
        <f t="shared" si="23"/>
        <v>Unverändert</v>
      </c>
    </row>
    <row r="333" spans="1:13" x14ac:dyDescent="0.3">
      <c r="A333" s="9">
        <v>335</v>
      </c>
      <c r="B333" s="6" t="str">
        <f>Postkarten!A335</f>
        <v>AK-2026-0334</v>
      </c>
      <c r="C333" s="8" t="str">
        <f>Postkarten!B335</f>
        <v>Schloss Parsberg (Bayrische Oberpfalz)</v>
      </c>
      <c r="D333" s="30">
        <f>Postkarten!L335</f>
        <v>6.5</v>
      </c>
      <c r="E333" s="30">
        <f>Postkarten!M335</f>
        <v>13.4</v>
      </c>
      <c r="F333" s="30">
        <f>Postkarten!N335</f>
        <v>13.4</v>
      </c>
      <c r="G333" s="30">
        <v>6.5</v>
      </c>
      <c r="H333" s="30">
        <v>13.4</v>
      </c>
      <c r="I333" s="30">
        <v>13.4</v>
      </c>
      <c r="J333" s="30">
        <f t="shared" si="20"/>
        <v>0</v>
      </c>
      <c r="K333" s="30">
        <f t="shared" si="21"/>
        <v>0</v>
      </c>
      <c r="L333" s="30">
        <f t="shared" si="22"/>
        <v>0</v>
      </c>
      <c r="M333" s="9" t="str">
        <f t="shared" si="23"/>
        <v>Unverändert</v>
      </c>
    </row>
    <row r="334" spans="1:13" x14ac:dyDescent="0.3">
      <c r="A334" s="9">
        <v>336</v>
      </c>
      <c r="B334" s="6" t="str">
        <f>Postkarten!A336</f>
        <v>AK-2026-0335</v>
      </c>
      <c r="C334" s="8" t="str">
        <f>Postkarten!B336</f>
        <v>An der Loreley (Rheinlandschaft mit Lastkahn)</v>
      </c>
      <c r="D334" s="30">
        <f>Postkarten!L336</f>
        <v>3</v>
      </c>
      <c r="E334" s="30">
        <f>Postkarten!M336</f>
        <v>11.5</v>
      </c>
      <c r="F334" s="30">
        <f>Postkarten!N336</f>
        <v>11.5</v>
      </c>
      <c r="G334" s="30">
        <v>3</v>
      </c>
      <c r="H334" s="30">
        <v>11.5</v>
      </c>
      <c r="I334" s="30">
        <v>11.5</v>
      </c>
      <c r="J334" s="30">
        <f t="shared" si="20"/>
        <v>0</v>
      </c>
      <c r="K334" s="30">
        <f t="shared" si="21"/>
        <v>0</v>
      </c>
      <c r="L334" s="30">
        <f t="shared" si="22"/>
        <v>0</v>
      </c>
      <c r="M334" s="9" t="str">
        <f t="shared" si="23"/>
        <v>Unverändert</v>
      </c>
    </row>
    <row r="335" spans="1:13" ht="41.4" x14ac:dyDescent="0.3">
      <c r="A335" s="9">
        <v>337</v>
      </c>
      <c r="B335" s="6" t="str">
        <f>Postkarten!A337</f>
        <v>AK-2026-0336</v>
      </c>
      <c r="C335" s="8" t="str">
        <f>Postkarten!B337</f>
        <v>Regensburg, die altehrwürdige Donaustadt &amp; Mehrfachansichten (Walhalla, Rathaus, Befreiungshalle, Dom)</v>
      </c>
      <c r="D335" s="30">
        <f>Postkarten!L337</f>
        <v>5</v>
      </c>
      <c r="E335" s="30">
        <f>Postkarten!M337</f>
        <v>13</v>
      </c>
      <c r="F335" s="30">
        <f>Postkarten!N337</f>
        <v>13</v>
      </c>
      <c r="G335" s="30">
        <v>5</v>
      </c>
      <c r="H335" s="30">
        <v>13</v>
      </c>
      <c r="I335" s="30">
        <v>13</v>
      </c>
      <c r="J335" s="30">
        <f t="shared" si="20"/>
        <v>0</v>
      </c>
      <c r="K335" s="30">
        <f t="shared" si="21"/>
        <v>0</v>
      </c>
      <c r="L335" s="30">
        <f t="shared" si="22"/>
        <v>0</v>
      </c>
      <c r="M335" s="9" t="str">
        <f t="shared" si="23"/>
        <v>Unverändert</v>
      </c>
    </row>
    <row r="336" spans="1:13" x14ac:dyDescent="0.3">
      <c r="A336" s="9">
        <v>338</v>
      </c>
      <c r="B336" s="6" t="str">
        <f>Postkarten!A338</f>
        <v>AK-2026-0337</v>
      </c>
      <c r="C336" s="8" t="str">
        <f>Postkarten!B338</f>
        <v>Ansbach - St. Gumbertuskirche und Stadthaus</v>
      </c>
      <c r="D336" s="30">
        <f>Postkarten!L338</f>
        <v>2</v>
      </c>
      <c r="E336" s="30">
        <f>Postkarten!M338</f>
        <v>5</v>
      </c>
      <c r="F336" s="30">
        <f>Postkarten!N338</f>
        <v>5</v>
      </c>
      <c r="G336" s="30">
        <v>2</v>
      </c>
      <c r="H336" s="30">
        <v>5</v>
      </c>
      <c r="I336" s="30">
        <v>5</v>
      </c>
      <c r="J336" s="30">
        <f t="shared" si="20"/>
        <v>0</v>
      </c>
      <c r="K336" s="30">
        <f t="shared" si="21"/>
        <v>0</v>
      </c>
      <c r="L336" s="30">
        <f t="shared" si="22"/>
        <v>0</v>
      </c>
      <c r="M336" s="9" t="str">
        <f t="shared" si="23"/>
        <v>Unverändert</v>
      </c>
    </row>
    <row r="337" spans="1:13" ht="27.6" x14ac:dyDescent="0.3">
      <c r="A337" s="9">
        <v>339</v>
      </c>
      <c r="B337" s="6" t="str">
        <f>Postkarten!A339</f>
        <v>AK-2026-0338</v>
      </c>
      <c r="C337" s="8" t="str">
        <f>Postkarten!B339</f>
        <v>Feldkirchen b. Westerham gegen Wendelstein (1864 m)[cite: 16, 17]</v>
      </c>
      <c r="D337" s="30">
        <f>Postkarten!L339</f>
        <v>2.4</v>
      </c>
      <c r="E337" s="30">
        <f>Postkarten!M339</f>
        <v>6.5</v>
      </c>
      <c r="F337" s="30">
        <f>Postkarten!N339</f>
        <v>6.5</v>
      </c>
      <c r="G337" s="30">
        <v>2.4</v>
      </c>
      <c r="H337" s="30">
        <v>6.5</v>
      </c>
      <c r="I337" s="30">
        <v>6.5</v>
      </c>
      <c r="J337" s="30">
        <f t="shared" si="20"/>
        <v>0</v>
      </c>
      <c r="K337" s="30">
        <f t="shared" si="21"/>
        <v>0</v>
      </c>
      <c r="L337" s="30">
        <f t="shared" si="22"/>
        <v>0</v>
      </c>
      <c r="M337" s="9" t="str">
        <f t="shared" si="23"/>
        <v>Unverändert</v>
      </c>
    </row>
    <row r="338" spans="1:13" x14ac:dyDescent="0.3">
      <c r="A338" s="9">
        <v>340</v>
      </c>
      <c r="B338" s="6" t="str">
        <f>Postkarten!A340</f>
        <v>AK-2026-0339</v>
      </c>
      <c r="C338" s="8" t="str">
        <f>Postkarten!B340</f>
        <v>Regensburg - Rathaus</v>
      </c>
      <c r="D338" s="30">
        <f>Postkarten!L340</f>
        <v>2.5</v>
      </c>
      <c r="E338" s="30">
        <f>Postkarten!M340</f>
        <v>5</v>
      </c>
      <c r="F338" s="30">
        <f>Postkarten!N340</f>
        <v>5</v>
      </c>
      <c r="G338" s="30">
        <v>2.5</v>
      </c>
      <c r="H338" s="30">
        <v>5</v>
      </c>
      <c r="I338" s="30">
        <v>5</v>
      </c>
      <c r="J338" s="30">
        <f t="shared" si="20"/>
        <v>0</v>
      </c>
      <c r="K338" s="30">
        <f t="shared" si="21"/>
        <v>0</v>
      </c>
      <c r="L338" s="30">
        <f t="shared" si="22"/>
        <v>0</v>
      </c>
      <c r="M338" s="9" t="str">
        <f t="shared" si="23"/>
        <v>Unverändert</v>
      </c>
    </row>
    <row r="339" spans="1:13" ht="27.6" x14ac:dyDescent="0.3">
      <c r="A339" s="9">
        <v>341</v>
      </c>
      <c r="B339" s="6" t="str">
        <f>Postkarten!A341</f>
        <v>AK-2026-0340</v>
      </c>
      <c r="C339" s="8" t="str">
        <f>Postkarten!B341</f>
        <v>Regensburg - Dom St. Peter (Mittelschiff, erbaut 12.-15. Jahrhundert)</v>
      </c>
      <c r="D339" s="30">
        <f>Postkarten!L341</f>
        <v>2.5</v>
      </c>
      <c r="E339" s="30">
        <f>Postkarten!M341</f>
        <v>5</v>
      </c>
      <c r="F339" s="30">
        <f>Postkarten!N341</f>
        <v>5</v>
      </c>
      <c r="G339" s="30">
        <v>2.5</v>
      </c>
      <c r="H339" s="30">
        <v>5</v>
      </c>
      <c r="I339" s="30">
        <v>5</v>
      </c>
      <c r="J339" s="30">
        <f t="shared" si="20"/>
        <v>0</v>
      </c>
      <c r="K339" s="30">
        <f t="shared" si="21"/>
        <v>0</v>
      </c>
      <c r="L339" s="30">
        <f t="shared" si="22"/>
        <v>0</v>
      </c>
      <c r="M339" s="9" t="str">
        <f t="shared" si="23"/>
        <v>Unverändert</v>
      </c>
    </row>
    <row r="340" spans="1:13" x14ac:dyDescent="0.3">
      <c r="A340" s="9">
        <v>342</v>
      </c>
      <c r="B340" s="6" t="str">
        <f>Postkarten!A342</f>
        <v>AK-2026-0341</v>
      </c>
      <c r="C340" s="8" t="str">
        <f>Postkarten!B342</f>
        <v>Regensburg - Dom und Steinerne Brücke</v>
      </c>
      <c r="D340" s="30">
        <f>Postkarten!L342</f>
        <v>3</v>
      </c>
      <c r="E340" s="30">
        <f>Postkarten!M342</f>
        <v>6</v>
      </c>
      <c r="F340" s="30">
        <f>Postkarten!N342</f>
        <v>6</v>
      </c>
      <c r="G340" s="30">
        <v>3</v>
      </c>
      <c r="H340" s="30">
        <v>6</v>
      </c>
      <c r="I340" s="30">
        <v>6</v>
      </c>
      <c r="J340" s="30">
        <f t="shared" si="20"/>
        <v>0</v>
      </c>
      <c r="K340" s="30">
        <f t="shared" si="21"/>
        <v>0</v>
      </c>
      <c r="L340" s="30">
        <f t="shared" si="22"/>
        <v>0</v>
      </c>
      <c r="M340" s="9" t="str">
        <f t="shared" si="23"/>
        <v>Unverändert</v>
      </c>
    </row>
    <row r="341" spans="1:13" x14ac:dyDescent="0.3">
      <c r="A341" s="9">
        <v>344</v>
      </c>
      <c r="B341" s="6" t="str">
        <f>Postkarten!A344</f>
        <v>AK-2026-0342</v>
      </c>
      <c r="C341" s="8" t="str">
        <f>Postkarten!B344</f>
        <v>Knabeninstitut Fürstenstein, Bayr. Wald (Südansicht)</v>
      </c>
      <c r="D341" s="30">
        <f>Postkarten!L344</f>
        <v>4</v>
      </c>
      <c r="E341" s="30">
        <f>Postkarten!M344</f>
        <v>10</v>
      </c>
      <c r="F341" s="30">
        <f>Postkarten!N344</f>
        <v>10</v>
      </c>
      <c r="G341" s="30">
        <v>5</v>
      </c>
      <c r="H341" s="30">
        <v>10</v>
      </c>
      <c r="I341" s="30">
        <v>10</v>
      </c>
      <c r="J341" s="30">
        <f t="shared" si="20"/>
        <v>1</v>
      </c>
      <c r="K341" s="30">
        <f t="shared" si="21"/>
        <v>0</v>
      </c>
      <c r="L341" s="30">
        <f t="shared" si="22"/>
        <v>0</v>
      </c>
      <c r="M341" s="9" t="str">
        <f t="shared" si="23"/>
        <v>Unverändert</v>
      </c>
    </row>
    <row r="342" spans="1:13" x14ac:dyDescent="0.3">
      <c r="A342" s="9">
        <v>345</v>
      </c>
      <c r="B342" s="6" t="str">
        <f>Postkarten!A345</f>
        <v>AK-2026-0343</v>
      </c>
      <c r="C342" s="8" t="str">
        <f>Postkarten!B345</f>
        <v>München - Ehrentempel am Königlichen Platz</v>
      </c>
      <c r="D342" s="30">
        <f>Postkarten!L345</f>
        <v>5</v>
      </c>
      <c r="E342" s="30">
        <f>Postkarten!M345</f>
        <v>10</v>
      </c>
      <c r="F342" s="30">
        <f>Postkarten!N345</f>
        <v>10</v>
      </c>
      <c r="G342" s="30">
        <v>3</v>
      </c>
      <c r="H342" s="30">
        <v>6</v>
      </c>
      <c r="I342" s="30">
        <v>6</v>
      </c>
      <c r="J342" s="30">
        <f t="shared" si="20"/>
        <v>-2</v>
      </c>
      <c r="K342" s="30">
        <f t="shared" si="21"/>
        <v>-4</v>
      </c>
      <c r="L342" s="30">
        <f t="shared" si="22"/>
        <v>-4</v>
      </c>
      <c r="M342" s="9" t="str">
        <f t="shared" si="23"/>
        <v>Senken</v>
      </c>
    </row>
    <row r="343" spans="1:13" ht="27.6" x14ac:dyDescent="0.3">
      <c r="A343" s="9">
        <v>346</v>
      </c>
      <c r="B343" s="6" t="str">
        <f>Postkarten!A346</f>
        <v>AK-2026-0344</v>
      </c>
      <c r="C343" s="8" t="str">
        <f>Postkarten!B346</f>
        <v>Walhalla a. Donau bei Regensburg (Erbaut 1830–1842 durch König Ludwig I., Entwurf von Leo von Klenze)</v>
      </c>
      <c r="D343" s="30">
        <f>Postkarten!L346</f>
        <v>3</v>
      </c>
      <c r="E343" s="30">
        <f>Postkarten!M346</f>
        <v>20</v>
      </c>
      <c r="F343" s="30">
        <f>Postkarten!N346</f>
        <v>20</v>
      </c>
      <c r="G343" s="30">
        <v>9</v>
      </c>
      <c r="H343" s="30">
        <v>20</v>
      </c>
      <c r="I343" s="30">
        <v>20</v>
      </c>
      <c r="J343" s="30">
        <f t="shared" si="20"/>
        <v>6</v>
      </c>
      <c r="K343" s="30">
        <f t="shared" si="21"/>
        <v>0</v>
      </c>
      <c r="L343" s="30">
        <f t="shared" si="22"/>
        <v>0</v>
      </c>
      <c r="M343" s="9" t="str">
        <f t="shared" si="23"/>
        <v>Unverändert</v>
      </c>
    </row>
    <row r="344" spans="1:13" x14ac:dyDescent="0.3">
      <c r="A344" s="9">
        <v>347</v>
      </c>
      <c r="B344" s="6" t="str">
        <f>Postkarten!A347</f>
        <v>AK-2026-0345</v>
      </c>
      <c r="C344" s="8" t="str">
        <f>Postkarten!B347</f>
        <v>Gaststätte „Tiroler Höhe“ Nürnberg-S. am Hasenbuck</v>
      </c>
      <c r="D344" s="30">
        <f>Postkarten!L347</f>
        <v>9</v>
      </c>
      <c r="E344" s="30">
        <f>Postkarten!M347</f>
        <v>20</v>
      </c>
      <c r="F344" s="30">
        <f>Postkarten!N347</f>
        <v>20</v>
      </c>
      <c r="G344" s="30">
        <v>3</v>
      </c>
      <c r="H344" s="30">
        <v>6</v>
      </c>
      <c r="I344" s="30">
        <v>6</v>
      </c>
      <c r="J344" s="30">
        <f t="shared" si="20"/>
        <v>-6</v>
      </c>
      <c r="K344" s="30">
        <f t="shared" si="21"/>
        <v>-14</v>
      </c>
      <c r="L344" s="30">
        <f t="shared" si="22"/>
        <v>-14</v>
      </c>
      <c r="M344" s="9" t="str">
        <f t="shared" si="23"/>
        <v>Senken</v>
      </c>
    </row>
    <row r="345" spans="1:13" ht="27.6" x14ac:dyDescent="0.3">
      <c r="A345" s="9">
        <v>348</v>
      </c>
      <c r="B345" s="6" t="str">
        <f>Postkarten!A348</f>
        <v>AK-2026-0346</v>
      </c>
      <c r="C345" s="8" t="str">
        <f>Postkarten!B348</f>
        <v>Meersburg am Bodensee (Schloss und Seeansicht mit Alpenpanorama)</v>
      </c>
      <c r="D345" s="30">
        <f>Postkarten!L348</f>
        <v>3</v>
      </c>
      <c r="E345" s="30">
        <f>Postkarten!M348</f>
        <v>6</v>
      </c>
      <c r="F345" s="30">
        <f>Postkarten!N348</f>
        <v>6</v>
      </c>
      <c r="G345" s="30">
        <v>3</v>
      </c>
      <c r="H345" s="30">
        <v>6</v>
      </c>
      <c r="I345" s="30">
        <v>6</v>
      </c>
      <c r="J345" s="30">
        <f t="shared" si="20"/>
        <v>0</v>
      </c>
      <c r="K345" s="30">
        <f t="shared" si="21"/>
        <v>0</v>
      </c>
      <c r="L345" s="30">
        <f t="shared" si="22"/>
        <v>0</v>
      </c>
      <c r="M345" s="9" t="str">
        <f t="shared" si="23"/>
        <v>Unverändert</v>
      </c>
    </row>
    <row r="346" spans="1:13" x14ac:dyDescent="0.3">
      <c r="A346" s="9">
        <v>349</v>
      </c>
      <c r="B346" s="6" t="str">
        <f>Postkarten!A349</f>
        <v>AK-2026-0347</v>
      </c>
      <c r="C346" s="8" t="str">
        <f>Postkarten!B349</f>
        <v>Wurzhütte über Neuhaus b. Schliersee</v>
      </c>
      <c r="D346" s="30">
        <f>Postkarten!L349</f>
        <v>3</v>
      </c>
      <c r="E346" s="30">
        <f>Postkarten!M349</f>
        <v>6</v>
      </c>
      <c r="F346" s="30">
        <f>Postkarten!N349</f>
        <v>6</v>
      </c>
      <c r="G346" s="30">
        <v>3</v>
      </c>
      <c r="H346" s="30">
        <v>6</v>
      </c>
      <c r="I346" s="30">
        <v>6</v>
      </c>
      <c r="J346" s="30">
        <f t="shared" si="20"/>
        <v>0</v>
      </c>
      <c r="K346" s="30">
        <f t="shared" si="21"/>
        <v>0</v>
      </c>
      <c r="L346" s="30">
        <f t="shared" si="22"/>
        <v>0</v>
      </c>
      <c r="M346" s="9" t="str">
        <f t="shared" si="23"/>
        <v>Unverändert</v>
      </c>
    </row>
    <row r="347" spans="1:13" ht="27.6" x14ac:dyDescent="0.3">
      <c r="A347" s="9">
        <v>350</v>
      </c>
      <c r="B347" s="6" t="str">
        <f>Postkarten!A350</f>
        <v>AK-2026-0348</v>
      </c>
      <c r="C347" s="8" t="str">
        <f>Postkarten!B350</f>
        <v>Oberstdorf u. die Allgäuer Bergwelt (mit detaillierter Berg-Beschriftung)</v>
      </c>
      <c r="D347" s="30">
        <f>Postkarten!L350</f>
        <v>3</v>
      </c>
      <c r="E347" s="30">
        <f>Postkarten!M350</f>
        <v>7</v>
      </c>
      <c r="F347" s="30">
        <f>Postkarten!N350</f>
        <v>7</v>
      </c>
      <c r="G347" s="30">
        <v>3</v>
      </c>
      <c r="H347" s="30">
        <v>7</v>
      </c>
      <c r="I347" s="30">
        <v>7</v>
      </c>
      <c r="J347" s="30">
        <f t="shared" si="20"/>
        <v>0</v>
      </c>
      <c r="K347" s="30">
        <f t="shared" si="21"/>
        <v>0</v>
      </c>
      <c r="L347" s="30">
        <f t="shared" si="22"/>
        <v>0</v>
      </c>
      <c r="M347" s="9" t="str">
        <f t="shared" si="23"/>
        <v>Unverändert</v>
      </c>
    </row>
    <row r="348" spans="1:13" ht="27.6" x14ac:dyDescent="0.3">
      <c r="A348" s="9">
        <v>351</v>
      </c>
      <c r="B348" s="6" t="str">
        <f>Postkarten!A351</f>
        <v>AK-2026-0349</v>
      </c>
      <c r="C348" s="8" t="str">
        <f>Postkarten!B351</f>
        <v>Kötztinger Hütte auf dem Mittagstein (bayer. Wald) - Gedeckter Tisch / Holzschnitt-Stil</v>
      </c>
      <c r="D348" s="30">
        <f>Postkarten!L351</f>
        <v>3</v>
      </c>
      <c r="E348" s="30">
        <f>Postkarten!M351</f>
        <v>7</v>
      </c>
      <c r="F348" s="30">
        <f>Postkarten!N351</f>
        <v>7</v>
      </c>
      <c r="G348" s="30">
        <v>5</v>
      </c>
      <c r="H348" s="30">
        <v>7</v>
      </c>
      <c r="I348" s="30">
        <v>7</v>
      </c>
      <c r="J348" s="30">
        <f t="shared" si="20"/>
        <v>2</v>
      </c>
      <c r="K348" s="30">
        <f t="shared" si="21"/>
        <v>0</v>
      </c>
      <c r="L348" s="30">
        <f t="shared" si="22"/>
        <v>0</v>
      </c>
      <c r="M348" s="9" t="str">
        <f t="shared" si="23"/>
        <v>Unverändert</v>
      </c>
    </row>
    <row r="349" spans="1:13" x14ac:dyDescent="0.3">
      <c r="A349" s="9">
        <v>352</v>
      </c>
      <c r="B349" s="6" t="str">
        <f>Postkarten!A352</f>
        <v>AK-2026-0350</v>
      </c>
      <c r="C349" s="8" t="str">
        <f>Postkarten!B352</f>
        <v>Walhalla bei Donaustauf (Originalluftaufnahme)</v>
      </c>
      <c r="D349" s="30">
        <f>Postkarten!L352</f>
        <v>5</v>
      </c>
      <c r="E349" s="30">
        <f>Postkarten!M352</f>
        <v>7</v>
      </c>
      <c r="F349" s="30">
        <f>Postkarten!N352</f>
        <v>7</v>
      </c>
      <c r="G349" s="30">
        <v>3</v>
      </c>
      <c r="H349" s="30">
        <v>6</v>
      </c>
      <c r="I349" s="30">
        <v>6</v>
      </c>
      <c r="J349" s="30">
        <f t="shared" si="20"/>
        <v>-2</v>
      </c>
      <c r="K349" s="30">
        <f t="shared" si="21"/>
        <v>-1</v>
      </c>
      <c r="L349" s="30">
        <f t="shared" si="22"/>
        <v>-1</v>
      </c>
      <c r="M349" s="9" t="str">
        <f t="shared" si="23"/>
        <v>Senken</v>
      </c>
    </row>
    <row r="350" spans="1:13" ht="27.6" x14ac:dyDescent="0.3">
      <c r="A350" s="9">
        <v>353</v>
      </c>
      <c r="B350" s="6" t="str">
        <f>Postkarten!A353</f>
        <v>AK-2026-0351</v>
      </c>
      <c r="C350" s="8" t="str">
        <f>Postkarten!B353</f>
        <v>Regensburg - Mehrfachansicht (Donaupartie, Brückentor mit Steinerner Brücke, Donaubrücke und Dom)</v>
      </c>
      <c r="D350" s="30">
        <f>Postkarten!L353</f>
        <v>3</v>
      </c>
      <c r="E350" s="30">
        <f>Postkarten!M353</f>
        <v>10</v>
      </c>
      <c r="F350" s="30">
        <f>Postkarten!N353</f>
        <v>10</v>
      </c>
      <c r="G350" s="30">
        <v>5</v>
      </c>
      <c r="H350" s="30">
        <v>10</v>
      </c>
      <c r="I350" s="30">
        <v>10</v>
      </c>
      <c r="J350" s="30">
        <f t="shared" si="20"/>
        <v>2</v>
      </c>
      <c r="K350" s="30">
        <f t="shared" si="21"/>
        <v>0</v>
      </c>
      <c r="L350" s="30">
        <f t="shared" si="22"/>
        <v>0</v>
      </c>
      <c r="M350" s="9" t="str">
        <f t="shared" si="23"/>
        <v>Unverändert</v>
      </c>
    </row>
    <row r="351" spans="1:13" x14ac:dyDescent="0.3">
      <c r="A351" s="9">
        <v>354</v>
      </c>
      <c r="B351" s="6" t="str">
        <f>Postkarten!A354</f>
        <v>AK-2026-0352</v>
      </c>
      <c r="C351" s="8" t="str">
        <f>Postkarten!B354</f>
        <v>Schloss Parsberg (Bayrische Oberpfalz)</v>
      </c>
      <c r="D351" s="30">
        <f>Postkarten!L354</f>
        <v>5</v>
      </c>
      <c r="E351" s="30">
        <f>Postkarten!M354</f>
        <v>10</v>
      </c>
      <c r="F351" s="30">
        <f>Postkarten!N354</f>
        <v>10</v>
      </c>
      <c r="G351" s="30">
        <v>3.5</v>
      </c>
      <c r="H351" s="30">
        <v>7</v>
      </c>
      <c r="I351" s="30">
        <v>7</v>
      </c>
      <c r="J351" s="30">
        <f t="shared" si="20"/>
        <v>-1.5</v>
      </c>
      <c r="K351" s="30">
        <f t="shared" si="21"/>
        <v>-3</v>
      </c>
      <c r="L351" s="30">
        <f t="shared" si="22"/>
        <v>-3</v>
      </c>
      <c r="M351" s="9" t="str">
        <f t="shared" si="23"/>
        <v>Senken</v>
      </c>
    </row>
    <row r="352" spans="1:13" ht="27.6" x14ac:dyDescent="0.3">
      <c r="A352" s="9">
        <v>355</v>
      </c>
      <c r="B352" s="6" t="str">
        <f>Postkarten!A355</f>
        <v>AK-2026-0353</v>
      </c>
      <c r="C352" s="8" t="str">
        <f>Postkarten!B355</f>
        <v>Ansbach - Gesamtansicht mit historischem Textdruck zur Stadtgeschichte</v>
      </c>
      <c r="D352" s="30">
        <f>Postkarten!L355</f>
        <v>3.5</v>
      </c>
      <c r="E352" s="30">
        <f>Postkarten!M355</f>
        <v>7</v>
      </c>
      <c r="F352" s="30">
        <f>Postkarten!N355</f>
        <v>7</v>
      </c>
      <c r="G352" s="30">
        <v>3.5</v>
      </c>
      <c r="H352" s="30">
        <v>7</v>
      </c>
      <c r="I352" s="30">
        <v>7</v>
      </c>
      <c r="J352" s="30">
        <f t="shared" si="20"/>
        <v>0</v>
      </c>
      <c r="K352" s="30">
        <f t="shared" si="21"/>
        <v>0</v>
      </c>
      <c r="L352" s="30">
        <f t="shared" si="22"/>
        <v>0</v>
      </c>
      <c r="M352" s="9" t="str">
        <f t="shared" si="23"/>
        <v>Unverändert</v>
      </c>
    </row>
    <row r="353" spans="1:13" ht="27.6" x14ac:dyDescent="0.3">
      <c r="A353" s="9">
        <v>356</v>
      </c>
      <c r="B353" s="6" t="str">
        <f>Postkarten!A356</f>
        <v>AK-2026-0354</v>
      </c>
      <c r="C353" s="8" t="str">
        <f>Postkarten!B356</f>
        <v>Am Königssee (Blick auf St. Bartholomä vor steiler Felswand)</v>
      </c>
      <c r="D353" s="30">
        <f>Postkarten!L356</f>
        <v>3.5</v>
      </c>
      <c r="E353" s="30">
        <f>Postkarten!M356</f>
        <v>7</v>
      </c>
      <c r="F353" s="30">
        <f>Postkarten!N356</f>
        <v>7</v>
      </c>
      <c r="G353" s="30">
        <v>2</v>
      </c>
      <c r="H353" s="30">
        <v>7</v>
      </c>
      <c r="I353" s="30">
        <v>7</v>
      </c>
      <c r="J353" s="30">
        <f t="shared" si="20"/>
        <v>-1.5</v>
      </c>
      <c r="K353" s="30">
        <f t="shared" si="21"/>
        <v>0</v>
      </c>
      <c r="L353" s="30">
        <f t="shared" si="22"/>
        <v>0</v>
      </c>
      <c r="M353" s="9" t="str">
        <f t="shared" si="23"/>
        <v>Unverändert</v>
      </c>
    </row>
    <row r="354" spans="1:13" x14ac:dyDescent="0.3">
      <c r="A354" s="9">
        <v>357</v>
      </c>
      <c r="B354" s="6" t="str">
        <f>Postkarten!A357</f>
        <v>AK-2026-0355</v>
      </c>
      <c r="C354" s="8" t="str">
        <f>Postkarten!B357</f>
        <v>Polizeianheim am Spitzingsee gegen Brecherspitz</v>
      </c>
      <c r="D354" s="30">
        <f>Postkarten!L357</f>
        <v>2</v>
      </c>
      <c r="E354" s="30">
        <f>Postkarten!M357</f>
        <v>7</v>
      </c>
      <c r="F354" s="30">
        <f>Postkarten!N357</f>
        <v>7</v>
      </c>
      <c r="G354" s="30">
        <v>3</v>
      </c>
      <c r="H354" s="30">
        <v>7</v>
      </c>
      <c r="I354" s="30">
        <v>7</v>
      </c>
      <c r="J354" s="30">
        <f t="shared" si="20"/>
        <v>1</v>
      </c>
      <c r="K354" s="30">
        <f t="shared" si="21"/>
        <v>0</v>
      </c>
      <c r="L354" s="30">
        <f t="shared" si="22"/>
        <v>0</v>
      </c>
      <c r="M354" s="9" t="str">
        <f t="shared" si="23"/>
        <v>Unverändert</v>
      </c>
    </row>
    <row r="355" spans="1:13" x14ac:dyDescent="0.3">
      <c r="A355" s="9">
        <v>358</v>
      </c>
      <c r="B355" s="6" t="str">
        <f>Postkarten!A358</f>
        <v>AK-2026-0356</v>
      </c>
      <c r="C355" s="8" t="str">
        <f>Postkarten!B358</f>
        <v>Riedenburg (Altmühltal) - Gesamtansicht mit Burgen</v>
      </c>
      <c r="D355" s="30">
        <f>Postkarten!L358</f>
        <v>3</v>
      </c>
      <c r="E355" s="30">
        <f>Postkarten!M358</f>
        <v>7</v>
      </c>
      <c r="F355" s="30">
        <f>Postkarten!N358</f>
        <v>7</v>
      </c>
      <c r="G355" s="30">
        <v>2.5</v>
      </c>
      <c r="H355" s="30">
        <v>6</v>
      </c>
      <c r="I355" s="30">
        <v>6</v>
      </c>
      <c r="J355" s="30">
        <f t="shared" si="20"/>
        <v>-0.5</v>
      </c>
      <c r="K355" s="30">
        <f t="shared" si="21"/>
        <v>-1</v>
      </c>
      <c r="L355" s="30">
        <f t="shared" si="22"/>
        <v>-1</v>
      </c>
      <c r="M355" s="9" t="str">
        <f t="shared" si="23"/>
        <v>Senken</v>
      </c>
    </row>
    <row r="356" spans="1:13" x14ac:dyDescent="0.3">
      <c r="A356" s="9">
        <v>359</v>
      </c>
      <c r="B356" s="6" t="str">
        <f>Postkarten!A359</f>
        <v>AK-2026-0357</v>
      </c>
      <c r="C356" s="8" t="str">
        <f>Postkarten!B359</f>
        <v>„Riedenburg.“ - Ortsansicht mit Burg im Altmühltal</v>
      </c>
      <c r="D356" s="30">
        <f>Postkarten!L359</f>
        <v>2.5</v>
      </c>
      <c r="E356" s="30">
        <f>Postkarten!M359</f>
        <v>10</v>
      </c>
      <c r="F356" s="30">
        <f>Postkarten!N359</f>
        <v>10</v>
      </c>
      <c r="G356" s="30">
        <v>5</v>
      </c>
      <c r="H356" s="30">
        <v>10</v>
      </c>
      <c r="I356" s="30">
        <v>10</v>
      </c>
      <c r="J356" s="30">
        <f t="shared" si="20"/>
        <v>2.5</v>
      </c>
      <c r="K356" s="30">
        <f t="shared" si="21"/>
        <v>0</v>
      </c>
      <c r="L356" s="30">
        <f t="shared" si="22"/>
        <v>0</v>
      </c>
      <c r="M356" s="9" t="str">
        <f t="shared" si="23"/>
        <v>Unverändert</v>
      </c>
    </row>
    <row r="357" spans="1:13" x14ac:dyDescent="0.3">
      <c r="A357" s="9">
        <v>360</v>
      </c>
      <c r="B357" s="6" t="str">
        <f>Postkarten!A360</f>
        <v>AK-2026-0358</v>
      </c>
      <c r="C357" s="8" t="str">
        <f>Postkarten!B360</f>
        <v>Schloss Parsberg (Bayrische Oberpfalz)</v>
      </c>
      <c r="D357" s="30">
        <f>Postkarten!L360</f>
        <v>5</v>
      </c>
      <c r="E357" s="30">
        <f>Postkarten!M360</f>
        <v>10</v>
      </c>
      <c r="F357" s="30">
        <f>Postkarten!N360</f>
        <v>10</v>
      </c>
      <c r="G357" s="30">
        <v>4</v>
      </c>
      <c r="H357" s="30">
        <v>8</v>
      </c>
      <c r="I357" s="30">
        <v>8</v>
      </c>
      <c r="J357" s="30">
        <f t="shared" si="20"/>
        <v>-1</v>
      </c>
      <c r="K357" s="30">
        <f t="shared" si="21"/>
        <v>-2</v>
      </c>
      <c r="L357" s="30">
        <f t="shared" si="22"/>
        <v>-2</v>
      </c>
      <c r="M357" s="9" t="str">
        <f t="shared" si="23"/>
        <v>Senken</v>
      </c>
    </row>
    <row r="358" spans="1:13" ht="27.6" x14ac:dyDescent="0.3">
      <c r="A358" s="19">
        <v>361</v>
      </c>
      <c r="B358" s="20" t="str">
        <f>Postkarten!A361</f>
        <v>AK-2026-0359</v>
      </c>
      <c r="C358" s="21" t="str">
        <f>Postkarten!B361</f>
        <v>Regensburg - Mehrfachansicht (Dom, Donauhafen, Walhalla)</v>
      </c>
      <c r="D358" s="53">
        <f>Postkarten!L361</f>
        <v>4</v>
      </c>
      <c r="E358" s="53">
        <f>Postkarten!M361</f>
        <v>8</v>
      </c>
      <c r="F358" s="53">
        <f>Postkarten!N361</f>
        <v>8</v>
      </c>
      <c r="G358" s="53">
        <v>3</v>
      </c>
      <c r="H358" s="53">
        <v>7</v>
      </c>
      <c r="I358" s="53">
        <v>7</v>
      </c>
      <c r="J358" s="53">
        <f t="shared" si="20"/>
        <v>-1</v>
      </c>
      <c r="K358" s="53">
        <f t="shared" si="21"/>
        <v>-1</v>
      </c>
      <c r="L358" s="53">
        <f t="shared" si="22"/>
        <v>-1</v>
      </c>
      <c r="M358" s="19" t="str">
        <f t="shared" si="23"/>
        <v>Senken</v>
      </c>
    </row>
    <row r="359" spans="1:13" x14ac:dyDescent="0.3">
      <c r="A359" s="19">
        <v>362</v>
      </c>
      <c r="B359" s="20" t="str">
        <f>Postkarten!A362</f>
        <v>AK-2026-0360</v>
      </c>
      <c r="C359" s="21" t="str">
        <f>Postkarten!B362</f>
        <v>Regensburg / Donau - Steinerne Brücke und Dom</v>
      </c>
      <c r="D359" s="53">
        <f>Postkarten!L362</f>
        <v>3</v>
      </c>
      <c r="E359" s="53">
        <f>Postkarten!M362</f>
        <v>7</v>
      </c>
      <c r="F359" s="53">
        <f>Postkarten!N362</f>
        <v>7</v>
      </c>
      <c r="G359" s="53">
        <v>3</v>
      </c>
      <c r="H359" s="53">
        <v>7</v>
      </c>
      <c r="I359" s="53">
        <v>7</v>
      </c>
      <c r="J359" s="53">
        <f t="shared" si="20"/>
        <v>0</v>
      </c>
      <c r="K359" s="53">
        <f t="shared" si="21"/>
        <v>0</v>
      </c>
      <c r="L359" s="53">
        <f t="shared" si="22"/>
        <v>0</v>
      </c>
      <c r="M359" s="19" t="str">
        <f t="shared" si="23"/>
        <v>Unverändert</v>
      </c>
    </row>
    <row r="360" spans="1:13" x14ac:dyDescent="0.3">
      <c r="A360" s="19">
        <v>363</v>
      </c>
      <c r="B360" s="20" t="str">
        <f>Postkarten!A363</f>
        <v>AK-2026-0361</v>
      </c>
      <c r="C360" s="21" t="str">
        <f>Postkarten!B363</f>
        <v>Gruß aus Beratzhausen - Ortsansicht</v>
      </c>
      <c r="D360" s="53">
        <f>Postkarten!L363</f>
        <v>3.5</v>
      </c>
      <c r="E360" s="53">
        <f>Postkarten!M363</f>
        <v>7</v>
      </c>
      <c r="F360" s="53">
        <f>Postkarten!N363</f>
        <v>7</v>
      </c>
      <c r="G360" s="53">
        <v>3.5</v>
      </c>
      <c r="H360" s="53">
        <v>7</v>
      </c>
      <c r="I360" s="53">
        <v>7</v>
      </c>
      <c r="J360" s="53">
        <f t="shared" si="20"/>
        <v>0</v>
      </c>
      <c r="K360" s="53">
        <f t="shared" si="21"/>
        <v>0</v>
      </c>
      <c r="L360" s="53">
        <f t="shared" si="22"/>
        <v>0</v>
      </c>
      <c r="M360" s="19" t="str">
        <f t="shared" si="23"/>
        <v>Unverändert</v>
      </c>
    </row>
    <row r="361" spans="1:13" ht="27.6" x14ac:dyDescent="0.3">
      <c r="A361" s="19">
        <v>364</v>
      </c>
      <c r="B361" s="20" t="str">
        <f>Postkarten!A364</f>
        <v>AK-2026-0362</v>
      </c>
      <c r="C361" s="21" t="str">
        <f>Postkarten!B364</f>
        <v>Altötting - Mehrfachansicht mit Kapellenplatz und Heiligem Bruder Konrad von Altötting</v>
      </c>
      <c r="D361" s="53">
        <f>Postkarten!L364</f>
        <v>3.5</v>
      </c>
      <c r="E361" s="53">
        <f>Postkarten!M364</f>
        <v>7</v>
      </c>
      <c r="F361" s="53">
        <f>Postkarten!N364</f>
        <v>7</v>
      </c>
      <c r="G361" s="53">
        <v>3.5</v>
      </c>
      <c r="H361" s="53">
        <v>7</v>
      </c>
      <c r="I361" s="53">
        <v>7</v>
      </c>
      <c r="J361" s="53">
        <f t="shared" si="20"/>
        <v>0</v>
      </c>
      <c r="K361" s="53">
        <f t="shared" si="21"/>
        <v>0</v>
      </c>
      <c r="L361" s="53">
        <f t="shared" si="22"/>
        <v>0</v>
      </c>
      <c r="M361" s="19" t="str">
        <f t="shared" si="23"/>
        <v>Unverändert</v>
      </c>
    </row>
    <row r="362" spans="1:13" ht="27.6" x14ac:dyDescent="0.3">
      <c r="A362" s="19">
        <v>365</v>
      </c>
      <c r="B362" s="20" t="str">
        <f>Postkarten!A365</f>
        <v>AK-2026-0363</v>
      </c>
      <c r="C362" s="21" t="str">
        <f>Postkarten!B365</f>
        <v>Regensburg - Mehrfachansicht (Donaupartie, Brückentor mit Steinerner Brücke, Donaubrücke und Dom)</v>
      </c>
      <c r="D362" s="53">
        <f>Postkarten!L365</f>
        <v>2.5</v>
      </c>
      <c r="E362" s="53">
        <f>Postkarten!M365</f>
        <v>5</v>
      </c>
      <c r="F362" s="53">
        <f>Postkarten!N365</f>
        <v>5</v>
      </c>
      <c r="G362" s="53">
        <v>2.5</v>
      </c>
      <c r="H362" s="53">
        <v>5</v>
      </c>
      <c r="I362" s="53">
        <v>5</v>
      </c>
      <c r="J362" s="53">
        <f t="shared" si="20"/>
        <v>0</v>
      </c>
      <c r="K362" s="53">
        <f t="shared" si="21"/>
        <v>0</v>
      </c>
      <c r="L362" s="53">
        <f t="shared" si="22"/>
        <v>0</v>
      </c>
      <c r="M362" s="19" t="str">
        <f t="shared" si="23"/>
        <v>Unverändert</v>
      </c>
    </row>
    <row r="363" spans="1:13" ht="27.6" x14ac:dyDescent="0.3">
      <c r="A363" s="19">
        <v>366</v>
      </c>
      <c r="B363" s="20" t="str">
        <f>Postkarten!A366</f>
        <v>AK-2026-0364</v>
      </c>
      <c r="C363" s="21" t="str">
        <f>Postkarten!B366</f>
        <v>Altötting - Mehrfachansicht (Wallfahrtsort Altötting mit Hl. Bruder Konrad, Gnadenkapelle, Basilika)</v>
      </c>
      <c r="D363" s="53">
        <f>Postkarten!L366</f>
        <v>3.5</v>
      </c>
      <c r="E363" s="53">
        <f>Postkarten!M366</f>
        <v>7</v>
      </c>
      <c r="F363" s="53">
        <f>Postkarten!N366</f>
        <v>7</v>
      </c>
      <c r="G363" s="53">
        <v>3.5</v>
      </c>
      <c r="H363" s="53">
        <v>7</v>
      </c>
      <c r="I363" s="53">
        <v>7</v>
      </c>
      <c r="J363" s="53">
        <f t="shared" si="20"/>
        <v>0</v>
      </c>
      <c r="K363" s="53">
        <f t="shared" si="21"/>
        <v>0</v>
      </c>
      <c r="L363" s="53">
        <f t="shared" si="22"/>
        <v>0</v>
      </c>
      <c r="M363" s="19" t="str">
        <f t="shared" si="23"/>
        <v>Unverändert</v>
      </c>
    </row>
    <row r="364" spans="1:13" ht="41.4" x14ac:dyDescent="0.3">
      <c r="A364" s="19">
        <v>367</v>
      </c>
      <c r="B364" s="20" t="str">
        <f>Postkarten!A367</f>
        <v>AK-2026-0365</v>
      </c>
      <c r="C364" s="21" t="str">
        <f>Postkarten!B367</f>
        <v>Altötting - Kapellplatz mit Gnadenkapelle und Stiftspfarrkirche (inkl. Hotel-Werbe-Stempel Gasthof u. Café Münchnerhof)</v>
      </c>
      <c r="D364" s="53">
        <f>Postkarten!L367</f>
        <v>4</v>
      </c>
      <c r="E364" s="53">
        <f>Postkarten!M367</f>
        <v>8</v>
      </c>
      <c r="F364" s="53">
        <f>Postkarten!N367</f>
        <v>8</v>
      </c>
      <c r="G364" s="53">
        <v>4</v>
      </c>
      <c r="H364" s="53">
        <v>8</v>
      </c>
      <c r="I364" s="53">
        <v>8</v>
      </c>
      <c r="J364" s="53">
        <f t="shared" si="20"/>
        <v>0</v>
      </c>
      <c r="K364" s="53">
        <f t="shared" si="21"/>
        <v>0</v>
      </c>
      <c r="L364" s="53">
        <f t="shared" si="22"/>
        <v>0</v>
      </c>
      <c r="M364" s="19" t="str">
        <f t="shared" si="23"/>
        <v>Unverändert</v>
      </c>
    </row>
    <row r="365" spans="1:13" x14ac:dyDescent="0.3">
      <c r="A365" s="19">
        <v>368</v>
      </c>
      <c r="B365" s="20" t="str">
        <f>Postkarten!A368</f>
        <v>AK-2026-0366</v>
      </c>
      <c r="C365" s="21" t="str">
        <f>Postkarten!B368</f>
        <v>Altötting - Gnadenaltar in der heil. Kapelle</v>
      </c>
      <c r="D365" s="53">
        <f>Postkarten!L368</f>
        <v>3.5</v>
      </c>
      <c r="E365" s="53">
        <f>Postkarten!M368</f>
        <v>7</v>
      </c>
      <c r="F365" s="53">
        <f>Postkarten!N368</f>
        <v>7</v>
      </c>
      <c r="G365" s="53">
        <v>3.5</v>
      </c>
      <c r="H365" s="53">
        <v>7</v>
      </c>
      <c r="I365" s="53">
        <v>7</v>
      </c>
      <c r="J365" s="53">
        <f t="shared" si="20"/>
        <v>0</v>
      </c>
      <c r="K365" s="53">
        <f t="shared" si="21"/>
        <v>0</v>
      </c>
      <c r="L365" s="53">
        <f t="shared" si="22"/>
        <v>0</v>
      </c>
      <c r="M365" s="19" t="str">
        <f t="shared" si="23"/>
        <v>Unverändert</v>
      </c>
    </row>
    <row r="366" spans="1:13" ht="27.6" x14ac:dyDescent="0.3">
      <c r="A366" s="19">
        <v>369</v>
      </c>
      <c r="B366" s="20" t="str">
        <f>Postkarten!A369</f>
        <v>AK-2026-0367</v>
      </c>
      <c r="C366" s="21" t="str">
        <f>Postkarten!B369</f>
        <v>Gruss aus Altötting - Mehrfachansicht mit Wallfahrtskirche und Kapellplatz</v>
      </c>
      <c r="D366" s="53">
        <f>Postkarten!L369</f>
        <v>4</v>
      </c>
      <c r="E366" s="53">
        <f>Postkarten!M369</f>
        <v>8</v>
      </c>
      <c r="F366" s="53">
        <f>Postkarten!N369</f>
        <v>8</v>
      </c>
      <c r="G366" s="53">
        <v>4</v>
      </c>
      <c r="H366" s="53">
        <v>8</v>
      </c>
      <c r="I366" s="53">
        <v>8</v>
      </c>
      <c r="J366" s="53">
        <f t="shared" si="20"/>
        <v>0</v>
      </c>
      <c r="K366" s="53">
        <f t="shared" si="21"/>
        <v>0</v>
      </c>
      <c r="L366" s="53">
        <f t="shared" si="22"/>
        <v>0</v>
      </c>
      <c r="M366" s="19" t="str">
        <f t="shared" si="23"/>
        <v>Unverändert</v>
      </c>
    </row>
    <row r="367" spans="1:13" ht="27.6" x14ac:dyDescent="0.3">
      <c r="A367" s="19">
        <v>370</v>
      </c>
      <c r="B367" s="20" t="str">
        <f>Postkarten!A370</f>
        <v>AK-2026-0368</v>
      </c>
      <c r="C367" s="21" t="str">
        <f>Postkarten!B370</f>
        <v>Regenten-Jubiläumskarte 1821-1911 (Prinzregent Luitpold von Bayern im allegorischen Blumengespann)</v>
      </c>
      <c r="D367" s="53">
        <f>Postkarten!L370</f>
        <v>3.5</v>
      </c>
      <c r="E367" s="53">
        <f>Postkarten!M370</f>
        <v>7</v>
      </c>
      <c r="F367" s="53">
        <f>Postkarten!N370</f>
        <v>7</v>
      </c>
      <c r="G367" s="53">
        <v>3.5</v>
      </c>
      <c r="H367" s="53">
        <v>7</v>
      </c>
      <c r="I367" s="53">
        <v>7</v>
      </c>
      <c r="J367" s="53">
        <f t="shared" si="20"/>
        <v>0</v>
      </c>
      <c r="K367" s="53">
        <f t="shared" si="21"/>
        <v>0</v>
      </c>
      <c r="L367" s="53">
        <f t="shared" si="22"/>
        <v>0</v>
      </c>
      <c r="M367" s="19" t="str">
        <f t="shared" si="23"/>
        <v>Unverändert</v>
      </c>
    </row>
    <row r="368" spans="1:13" x14ac:dyDescent="0.3">
      <c r="A368" s="19">
        <v>371</v>
      </c>
      <c r="B368" s="20" t="str">
        <f>Postkarten!A371</f>
        <v>AK-2026-0369</v>
      </c>
      <c r="C368" s="21" t="str">
        <f>Postkarten!B371</f>
        <v>Schloß Hirschberg bei Beilngries i. Altmühltal</v>
      </c>
      <c r="D368" s="53">
        <f>Postkarten!L371</f>
        <v>3.5</v>
      </c>
      <c r="E368" s="53">
        <f>Postkarten!M371</f>
        <v>7</v>
      </c>
      <c r="F368" s="53">
        <f>Postkarten!N371</f>
        <v>7</v>
      </c>
      <c r="G368" s="53">
        <v>3.5</v>
      </c>
      <c r="H368" s="53">
        <v>7</v>
      </c>
      <c r="I368" s="53">
        <v>7</v>
      </c>
      <c r="J368" s="53">
        <f t="shared" si="20"/>
        <v>0</v>
      </c>
      <c r="K368" s="53">
        <f t="shared" si="21"/>
        <v>0</v>
      </c>
      <c r="L368" s="53">
        <f t="shared" si="22"/>
        <v>0</v>
      </c>
      <c r="M368" s="19" t="str">
        <f t="shared" si="23"/>
        <v>Unverändert</v>
      </c>
    </row>
    <row r="369" spans="1:13" ht="27.6" x14ac:dyDescent="0.3">
      <c r="A369" s="19">
        <v>372</v>
      </c>
      <c r="B369" s="20" t="str">
        <f>Postkarten!A372</f>
        <v>AK-2026-0370</v>
      </c>
      <c r="C369" s="21" t="str">
        <f>Postkarten!B372</f>
        <v>Schloss Herrenchiemsee – Salle de l'oeil de boeuf (Ochsenaugensaal)</v>
      </c>
      <c r="D369" s="53">
        <f>Postkarten!L372</f>
        <v>15</v>
      </c>
      <c r="E369" s="53">
        <f>Postkarten!M372</f>
        <v>22</v>
      </c>
      <c r="F369" s="53">
        <f>Postkarten!N372</f>
        <v>22</v>
      </c>
      <c r="G369" s="53">
        <v>15</v>
      </c>
      <c r="H369" s="53">
        <v>22</v>
      </c>
      <c r="I369" s="53">
        <v>22</v>
      </c>
      <c r="J369" s="53">
        <f t="shared" si="20"/>
        <v>0</v>
      </c>
      <c r="K369" s="53">
        <f t="shared" si="21"/>
        <v>0</v>
      </c>
      <c r="L369" s="53">
        <f t="shared" si="22"/>
        <v>0</v>
      </c>
      <c r="M369" s="19" t="str">
        <f t="shared" si="23"/>
        <v>Unverändert</v>
      </c>
    </row>
    <row r="370" spans="1:13" x14ac:dyDescent="0.3">
      <c r="A370" s="19">
        <v>373</v>
      </c>
      <c r="B370" s="20" t="str">
        <f>Postkarten!A373</f>
        <v>AK-2026-0371</v>
      </c>
      <c r="C370" s="21" t="str">
        <f>Postkarten!B373</f>
        <v>Benediktbeuern mit Benediktenwand</v>
      </c>
      <c r="D370" s="53">
        <f>Postkarten!L373</f>
        <v>3</v>
      </c>
      <c r="E370" s="53">
        <f>Postkarten!M373</f>
        <v>6</v>
      </c>
      <c r="F370" s="53">
        <f>Postkarten!N373</f>
        <v>6</v>
      </c>
      <c r="G370" s="53">
        <v>3</v>
      </c>
      <c r="H370" s="53">
        <v>6</v>
      </c>
      <c r="I370" s="53">
        <v>6</v>
      </c>
      <c r="J370" s="53">
        <f t="shared" si="20"/>
        <v>0</v>
      </c>
      <c r="K370" s="53">
        <f t="shared" si="21"/>
        <v>0</v>
      </c>
      <c r="L370" s="53">
        <f t="shared" si="22"/>
        <v>0</v>
      </c>
      <c r="M370" s="19" t="str">
        <f t="shared" si="23"/>
        <v>Unverändert</v>
      </c>
    </row>
    <row r="371" spans="1:13" x14ac:dyDescent="0.3">
      <c r="A371" s="19">
        <v>374</v>
      </c>
      <c r="B371" s="20" t="str">
        <f>Postkarten!A374</f>
        <v>AK-2026-0372</v>
      </c>
      <c r="C371" s="21" t="str">
        <f>Postkarten!B374</f>
        <v>Compton, Königssee (Alpenansicht / Gemäldekarte)</v>
      </c>
      <c r="D371" s="53">
        <f>Postkarten!L374</f>
        <v>7</v>
      </c>
      <c r="E371" s="53">
        <f>Postkarten!M374</f>
        <v>9</v>
      </c>
      <c r="F371" s="53">
        <f>Postkarten!N374</f>
        <v>9</v>
      </c>
      <c r="G371" s="53">
        <v>7</v>
      </c>
      <c r="H371" s="53">
        <v>9</v>
      </c>
      <c r="I371" s="53">
        <v>9</v>
      </c>
      <c r="J371" s="53">
        <f t="shared" si="20"/>
        <v>0</v>
      </c>
      <c r="K371" s="53">
        <f t="shared" si="21"/>
        <v>0</v>
      </c>
      <c r="L371" s="53">
        <f t="shared" si="22"/>
        <v>0</v>
      </c>
      <c r="M371" s="19" t="str">
        <f t="shared" si="23"/>
        <v>Unverändert</v>
      </c>
    </row>
    <row r="372" spans="1:13" x14ac:dyDescent="0.3">
      <c r="A372" s="19">
        <v>375</v>
      </c>
      <c r="B372" s="20" t="str">
        <f>Postkarten!A375</f>
        <v>AK-2026-0373</v>
      </c>
      <c r="C372" s="21" t="str">
        <f>Postkarten!B375</f>
        <v>Blick von der Riffelscharte auf Eibsee</v>
      </c>
      <c r="D372" s="53">
        <f>Postkarten!L375</f>
        <v>3.5</v>
      </c>
      <c r="E372" s="53">
        <f>Postkarten!M375</f>
        <v>7</v>
      </c>
      <c r="F372" s="53">
        <f>Postkarten!N375</f>
        <v>7</v>
      </c>
      <c r="G372" s="53">
        <v>3.5</v>
      </c>
      <c r="H372" s="53">
        <v>7</v>
      </c>
      <c r="I372" s="53">
        <v>7</v>
      </c>
      <c r="J372" s="53">
        <f t="shared" si="20"/>
        <v>0</v>
      </c>
      <c r="K372" s="53">
        <f t="shared" si="21"/>
        <v>0</v>
      </c>
      <c r="L372" s="53">
        <f t="shared" si="22"/>
        <v>0</v>
      </c>
      <c r="M372" s="19" t="str">
        <f t="shared" si="23"/>
        <v>Unverändert</v>
      </c>
    </row>
    <row r="373" spans="1:13" x14ac:dyDescent="0.3">
      <c r="A373" s="19">
        <v>376</v>
      </c>
      <c r="B373" s="20" t="str">
        <f>Postkarten!A376</f>
        <v>AK-2026-0374</v>
      </c>
      <c r="C373" s="21" t="str">
        <f>Postkarten!B376</f>
        <v>Regensburg a. D. – Alte Kapelle, Hochaltar</v>
      </c>
      <c r="D373" s="53">
        <f>Postkarten!L376</f>
        <v>3.5</v>
      </c>
      <c r="E373" s="53">
        <f>Postkarten!M376</f>
        <v>7</v>
      </c>
      <c r="F373" s="53">
        <f>Postkarten!N376</f>
        <v>7</v>
      </c>
      <c r="G373" s="53">
        <v>3.5</v>
      </c>
      <c r="H373" s="53">
        <v>7</v>
      </c>
      <c r="I373" s="53">
        <v>7</v>
      </c>
      <c r="J373" s="53">
        <f t="shared" si="20"/>
        <v>0</v>
      </c>
      <c r="K373" s="53">
        <f t="shared" si="21"/>
        <v>0</v>
      </c>
      <c r="L373" s="53">
        <f t="shared" si="22"/>
        <v>0</v>
      </c>
      <c r="M373" s="19" t="str">
        <f t="shared" si="23"/>
        <v>Unverändert</v>
      </c>
    </row>
    <row r="374" spans="1:13" x14ac:dyDescent="0.3">
      <c r="A374" s="19">
        <v>377</v>
      </c>
      <c r="B374" s="20" t="str">
        <f>Postkarten!A377</f>
        <v>AK-2026-0375</v>
      </c>
      <c r="C374" s="21" t="str">
        <f>Postkarten!B377</f>
        <v>Garmisch-Partenkirchen mit Zugspitze, 2964 m</v>
      </c>
      <c r="D374" s="53">
        <f>Postkarten!L377</f>
        <v>3</v>
      </c>
      <c r="E374" s="53">
        <f>Postkarten!M377</f>
        <v>6</v>
      </c>
      <c r="F374" s="53">
        <f>Postkarten!N377</f>
        <v>6</v>
      </c>
      <c r="G374" s="53">
        <v>3</v>
      </c>
      <c r="H374" s="53">
        <v>6</v>
      </c>
      <c r="I374" s="53">
        <v>6</v>
      </c>
      <c r="J374" s="53">
        <f t="shared" si="20"/>
        <v>0</v>
      </c>
      <c r="K374" s="53">
        <f t="shared" si="21"/>
        <v>0</v>
      </c>
      <c r="L374" s="53">
        <f t="shared" si="22"/>
        <v>0</v>
      </c>
      <c r="M374" s="19" t="str">
        <f t="shared" si="23"/>
        <v>Unverändert</v>
      </c>
    </row>
    <row r="375" spans="1:13" ht="27.6" x14ac:dyDescent="0.3">
      <c r="A375" s="9">
        <v>378</v>
      </c>
      <c r="B375" s="6" t="str">
        <f>Postkarten!A378</f>
        <v>AK-2026-0376</v>
      </c>
      <c r="C375" s="8" t="str">
        <f>Postkarten!B378</f>
        <v>Geschichte des ehem. Klosters St. Michael zu Bamberg / Blick auf St. Michael</v>
      </c>
      <c r="D375" s="30">
        <f>Postkarten!L378</f>
        <v>3.5</v>
      </c>
      <c r="E375" s="30">
        <f>Postkarten!M378</f>
        <v>6</v>
      </c>
      <c r="F375" s="30">
        <f>Postkarten!N378</f>
        <v>6</v>
      </c>
      <c r="G375" s="30">
        <v>3.5</v>
      </c>
      <c r="H375" s="30">
        <v>6</v>
      </c>
      <c r="I375" s="30">
        <v>6</v>
      </c>
      <c r="J375" s="30">
        <f t="shared" si="20"/>
        <v>0</v>
      </c>
      <c r="K375" s="30">
        <f t="shared" si="21"/>
        <v>0</v>
      </c>
      <c r="L375" s="30">
        <f t="shared" si="22"/>
        <v>0</v>
      </c>
      <c r="M375" s="9" t="str">
        <f t="shared" si="23"/>
        <v>Unverändert</v>
      </c>
    </row>
    <row r="376" spans="1:13" ht="27.6" x14ac:dyDescent="0.3">
      <c r="A376" s="9">
        <v>379</v>
      </c>
      <c r="B376" s="6" t="str">
        <f>Postkarten!A379</f>
        <v>AK-2026-0377</v>
      </c>
      <c r="C376" s="8" t="str">
        <f>Postkarten!B379</f>
        <v>8461 Schwarzhofen / Opf. – Gemischtwaren Fa. Hausladen</v>
      </c>
      <c r="D376" s="30">
        <f>Postkarten!L379</f>
        <v>8</v>
      </c>
      <c r="E376" s="30">
        <f>Postkarten!M379</f>
        <v>13</v>
      </c>
      <c r="F376" s="30">
        <f>Postkarten!N379</f>
        <v>13</v>
      </c>
      <c r="G376" s="30">
        <v>8</v>
      </c>
      <c r="H376" s="30">
        <v>13</v>
      </c>
      <c r="I376" s="30">
        <v>13</v>
      </c>
      <c r="J376" s="30">
        <f t="shared" si="20"/>
        <v>0</v>
      </c>
      <c r="K376" s="30">
        <f t="shared" si="21"/>
        <v>0</v>
      </c>
      <c r="L376" s="30">
        <f t="shared" si="22"/>
        <v>0</v>
      </c>
      <c r="M376" s="9" t="str">
        <f t="shared" si="23"/>
        <v>Unverändert</v>
      </c>
    </row>
    <row r="377" spans="1:13" x14ac:dyDescent="0.3">
      <c r="A377" s="9">
        <v>380</v>
      </c>
      <c r="B377" s="6" t="str">
        <f>Postkarten!A380</f>
        <v>AK-2026-0378</v>
      </c>
      <c r="C377" s="8" t="str">
        <f>Postkarten!B380</f>
        <v>Oberammergau – Häusel u. Gretelheim</v>
      </c>
      <c r="D377" s="30">
        <f>Postkarten!L380</f>
        <v>3</v>
      </c>
      <c r="E377" s="30">
        <f>Postkarten!M380</f>
        <v>6</v>
      </c>
      <c r="F377" s="30">
        <f>Postkarten!N380</f>
        <v>6</v>
      </c>
      <c r="G377" s="30">
        <v>3</v>
      </c>
      <c r="H377" s="30">
        <v>6</v>
      </c>
      <c r="I377" s="30">
        <v>6</v>
      </c>
      <c r="J377" s="30">
        <f t="shared" si="20"/>
        <v>0</v>
      </c>
      <c r="K377" s="30">
        <f t="shared" si="21"/>
        <v>0</v>
      </c>
      <c r="L377" s="30">
        <f t="shared" si="22"/>
        <v>0</v>
      </c>
      <c r="M377" s="9" t="str">
        <f t="shared" si="23"/>
        <v>Unverändert</v>
      </c>
    </row>
    <row r="378" spans="1:13" x14ac:dyDescent="0.3">
      <c r="A378" s="9">
        <v>381</v>
      </c>
      <c r="B378" s="6" t="str">
        <f>Postkarten!A381</f>
        <v>AK-2026-0379</v>
      </c>
      <c r="C378" s="8" t="str">
        <f>Postkarten!B381</f>
        <v>Schloß Parsberg / Bayrische Oberpfalz</v>
      </c>
      <c r="D378" s="30">
        <f>Postkarten!L381</f>
        <v>5</v>
      </c>
      <c r="E378" s="30">
        <f>Postkarten!M381</f>
        <v>10</v>
      </c>
      <c r="F378" s="30">
        <f>Postkarten!N381</f>
        <v>10</v>
      </c>
      <c r="G378" s="30">
        <v>5</v>
      </c>
      <c r="H378" s="30">
        <v>10</v>
      </c>
      <c r="I378" s="30">
        <v>10</v>
      </c>
      <c r="J378" s="30">
        <f t="shared" si="20"/>
        <v>0</v>
      </c>
      <c r="K378" s="30">
        <f t="shared" si="21"/>
        <v>0</v>
      </c>
      <c r="L378" s="30">
        <f t="shared" si="22"/>
        <v>0</v>
      </c>
      <c r="M378" s="9" t="str">
        <f t="shared" si="23"/>
        <v>Unverändert</v>
      </c>
    </row>
    <row r="379" spans="1:13" ht="27.6" x14ac:dyDescent="0.3">
      <c r="A379" s="9">
        <v>382</v>
      </c>
      <c r="B379" s="6" t="str">
        <f>Postkarten!A382</f>
        <v>AK-2026-0380</v>
      </c>
      <c r="C379" s="8" t="str">
        <f>Postkarten!B382</f>
        <v>Kunstuhr an der ehemaligen Ratstrinkstube zu Rothenburg o. Tbr., mittag 12 Uhr den Meistertrunk darstellend</v>
      </c>
      <c r="D379" s="30">
        <f>Postkarten!L382</f>
        <v>3</v>
      </c>
      <c r="E379" s="30">
        <f>Postkarten!M382</f>
        <v>6</v>
      </c>
      <c r="F379" s="30">
        <f>Postkarten!N382</f>
        <v>6</v>
      </c>
      <c r="G379" s="30">
        <v>3</v>
      </c>
      <c r="H379" s="30">
        <v>6</v>
      </c>
      <c r="I379" s="30">
        <v>6</v>
      </c>
      <c r="J379" s="30">
        <f t="shared" si="20"/>
        <v>0</v>
      </c>
      <c r="K379" s="30">
        <f t="shared" si="21"/>
        <v>0</v>
      </c>
      <c r="L379" s="30">
        <f t="shared" si="22"/>
        <v>0</v>
      </c>
      <c r="M379" s="9" t="str">
        <f t="shared" si="23"/>
        <v>Unverändert</v>
      </c>
    </row>
    <row r="380" spans="1:13" x14ac:dyDescent="0.3">
      <c r="A380" s="9">
        <v>383</v>
      </c>
      <c r="B380" s="6" t="str">
        <f>Postkarten!A383</f>
        <v>AK-2026-0381</v>
      </c>
      <c r="C380" s="8" t="str">
        <f>Postkarten!B383</f>
        <v>Feste Koburg aus einem Flugzeug gesehen</v>
      </c>
      <c r="D380" s="30">
        <f>Postkarten!L383</f>
        <v>2.5</v>
      </c>
      <c r="E380" s="30">
        <f>Postkarten!M383</f>
        <v>5</v>
      </c>
      <c r="F380" s="30">
        <f>Postkarten!N383</f>
        <v>5</v>
      </c>
      <c r="G380" s="30">
        <v>3</v>
      </c>
      <c r="H380" s="30">
        <v>6</v>
      </c>
      <c r="I380" s="30">
        <v>6</v>
      </c>
      <c r="J380" s="30">
        <f t="shared" si="20"/>
        <v>0.5</v>
      </c>
      <c r="K380" s="30">
        <f t="shared" si="21"/>
        <v>1</v>
      </c>
      <c r="L380" s="30">
        <f t="shared" si="22"/>
        <v>1</v>
      </c>
      <c r="M380" s="9" t="str">
        <f t="shared" si="23"/>
        <v>Erhöhen</v>
      </c>
    </row>
    <row r="381" spans="1:13" x14ac:dyDescent="0.3">
      <c r="A381" s="9">
        <v>384</v>
      </c>
      <c r="B381" s="6" t="str">
        <f>Postkarten!A384</f>
        <v>AK-2026-0382</v>
      </c>
      <c r="C381" s="8" t="str">
        <f>Postkarten!B384</f>
        <v>Zenting, bayr. Wald</v>
      </c>
      <c r="D381" s="30">
        <f>Postkarten!L384</f>
        <v>2</v>
      </c>
      <c r="E381" s="30">
        <f>Postkarten!M384</f>
        <v>4</v>
      </c>
      <c r="F381" s="30">
        <f>Postkarten!N384</f>
        <v>4</v>
      </c>
      <c r="G381" s="30">
        <v>3</v>
      </c>
      <c r="H381" s="30">
        <v>6</v>
      </c>
      <c r="I381" s="30">
        <v>6</v>
      </c>
      <c r="J381" s="30">
        <f t="shared" si="20"/>
        <v>1</v>
      </c>
      <c r="K381" s="30">
        <f t="shared" si="21"/>
        <v>2</v>
      </c>
      <c r="L381" s="30">
        <f t="shared" si="22"/>
        <v>2</v>
      </c>
      <c r="M381" s="9" t="str">
        <f t="shared" si="23"/>
        <v>Erhöhen</v>
      </c>
    </row>
    <row r="382" spans="1:13" x14ac:dyDescent="0.3">
      <c r="A382" s="9">
        <v>385</v>
      </c>
      <c r="B382" s="6" t="str">
        <f>Postkarten!A385</f>
        <v>AK-2026-0383</v>
      </c>
      <c r="C382" s="8" t="str">
        <f>Postkarten!B385</f>
        <v>Zenting, bayr. Wald</v>
      </c>
      <c r="D382" s="30">
        <f>Postkarten!L385</f>
        <v>2</v>
      </c>
      <c r="E382" s="30">
        <f>Postkarten!M385</f>
        <v>4</v>
      </c>
      <c r="F382" s="30">
        <f>Postkarten!N385</f>
        <v>4</v>
      </c>
      <c r="G382" s="30">
        <v>3</v>
      </c>
      <c r="H382" s="30">
        <v>6</v>
      </c>
      <c r="I382" s="30">
        <v>6</v>
      </c>
      <c r="J382" s="30">
        <f t="shared" si="20"/>
        <v>1</v>
      </c>
      <c r="K382" s="30">
        <f t="shared" si="21"/>
        <v>2</v>
      </c>
      <c r="L382" s="30">
        <f t="shared" si="22"/>
        <v>2</v>
      </c>
      <c r="M382" s="9" t="str">
        <f t="shared" si="23"/>
        <v>Erhöhen</v>
      </c>
    </row>
    <row r="383" spans="1:13" x14ac:dyDescent="0.3">
      <c r="A383" s="9">
        <v>386</v>
      </c>
      <c r="B383" s="6" t="str">
        <f>Postkarten!A386</f>
        <v>AK-2026-0384</v>
      </c>
      <c r="C383" s="8" t="str">
        <f>Postkarten!B386</f>
        <v>Roth a/ See</v>
      </c>
      <c r="D383" s="30">
        <f>Postkarten!L386</f>
        <v>3</v>
      </c>
      <c r="E383" s="30">
        <f>Postkarten!M386</f>
        <v>6</v>
      </c>
      <c r="F383" s="30">
        <f>Postkarten!N386</f>
        <v>6</v>
      </c>
      <c r="G383" s="30">
        <v>5</v>
      </c>
      <c r="H383" s="30">
        <v>9</v>
      </c>
      <c r="I383" s="30">
        <v>9</v>
      </c>
      <c r="J383" s="30">
        <f t="shared" si="20"/>
        <v>2</v>
      </c>
      <c r="K383" s="30">
        <f t="shared" si="21"/>
        <v>3</v>
      </c>
      <c r="L383" s="30">
        <f t="shared" si="22"/>
        <v>3</v>
      </c>
      <c r="M383" s="9" t="str">
        <f t="shared" si="23"/>
        <v>Erhöhen</v>
      </c>
    </row>
    <row r="384" spans="1:13" x14ac:dyDescent="0.3">
      <c r="A384" s="9">
        <v>387</v>
      </c>
      <c r="B384" s="6" t="str">
        <f>Postkarten!A387</f>
        <v>AK-2026-0385</v>
      </c>
      <c r="C384" s="8" t="str">
        <f>Postkarten!B387</f>
        <v>Klosterkirche Ettal</v>
      </c>
      <c r="D384" s="30">
        <f>Postkarten!L387</f>
        <v>3</v>
      </c>
      <c r="E384" s="30">
        <f>Postkarten!M387</f>
        <v>6</v>
      </c>
      <c r="F384" s="30">
        <f>Postkarten!N387</f>
        <v>6</v>
      </c>
      <c r="G384" s="30">
        <v>2.5</v>
      </c>
      <c r="H384" s="30">
        <v>5</v>
      </c>
      <c r="I384" s="30">
        <v>5</v>
      </c>
      <c r="J384" s="30">
        <f t="shared" si="20"/>
        <v>-0.5</v>
      </c>
      <c r="K384" s="30">
        <f t="shared" si="21"/>
        <v>-1</v>
      </c>
      <c r="L384" s="30">
        <f t="shared" si="22"/>
        <v>-1</v>
      </c>
      <c r="M384" s="9" t="str">
        <f t="shared" si="23"/>
        <v>Senken</v>
      </c>
    </row>
    <row r="385" spans="1:13" x14ac:dyDescent="0.3">
      <c r="A385" s="9">
        <v>388</v>
      </c>
      <c r="B385" s="6" t="str">
        <f>Postkarten!A388</f>
        <v>AK-2026-0386</v>
      </c>
      <c r="C385" s="8" t="str">
        <f>Postkarten!B388</f>
        <v>Crailsheim – Im Chor der Johanniskirche</v>
      </c>
      <c r="D385" s="30">
        <f>Postkarten!L388</f>
        <v>3.5</v>
      </c>
      <c r="E385" s="30">
        <f>Postkarten!M388</f>
        <v>7</v>
      </c>
      <c r="F385" s="30">
        <f>Postkarten!N388</f>
        <v>7</v>
      </c>
      <c r="G385" s="30">
        <v>3</v>
      </c>
      <c r="H385" s="30">
        <v>5</v>
      </c>
      <c r="I385" s="30">
        <v>5</v>
      </c>
      <c r="J385" s="30">
        <f t="shared" si="20"/>
        <v>-0.5</v>
      </c>
      <c r="K385" s="30">
        <f t="shared" si="21"/>
        <v>-2</v>
      </c>
      <c r="L385" s="30">
        <f t="shared" si="22"/>
        <v>-2</v>
      </c>
      <c r="M385" s="9" t="str">
        <f t="shared" si="23"/>
        <v>Senken</v>
      </c>
    </row>
    <row r="386" spans="1:13" x14ac:dyDescent="0.3">
      <c r="A386" s="9">
        <v>391</v>
      </c>
      <c r="B386" s="6" t="str">
        <f>Postkarten!A391</f>
        <v>AK-2026-0389</v>
      </c>
      <c r="C386" s="8" t="str">
        <f>Postkarten!B391</f>
        <v>Freibergsee bei Oberstdorf (Allg.)</v>
      </c>
      <c r="D386" s="30">
        <f>Postkarten!L391</f>
        <v>3</v>
      </c>
      <c r="E386" s="30">
        <f>Postkarten!M391</f>
        <v>6</v>
      </c>
      <c r="F386" s="30">
        <f>Postkarten!N391</f>
        <v>6</v>
      </c>
      <c r="G386" s="30">
        <v>2</v>
      </c>
      <c r="H386" s="30">
        <v>4</v>
      </c>
      <c r="I386" s="30">
        <v>4</v>
      </c>
      <c r="J386" s="30">
        <f t="shared" si="20"/>
        <v>-1</v>
      </c>
      <c r="K386" s="30">
        <f t="shared" si="21"/>
        <v>-2</v>
      </c>
      <c r="L386" s="30">
        <f t="shared" si="22"/>
        <v>-2</v>
      </c>
      <c r="M386" s="9" t="str">
        <f t="shared" si="23"/>
        <v>Senken</v>
      </c>
    </row>
    <row r="387" spans="1:13" x14ac:dyDescent="0.3">
      <c r="A387" s="9">
        <v>392</v>
      </c>
      <c r="B387" s="6" t="str">
        <f>Postkarten!A392</f>
        <v>AK-2026-0390</v>
      </c>
      <c r="C387" s="8" t="str">
        <f>Postkarten!B392</f>
        <v>Regensburg – Blick auf die Stadt von den Winserer Höhen</v>
      </c>
      <c r="D387" s="30">
        <f>Postkarten!L392</f>
        <v>3</v>
      </c>
      <c r="E387" s="30">
        <f>Postkarten!M392</f>
        <v>6</v>
      </c>
      <c r="F387" s="30">
        <f>Postkarten!N392</f>
        <v>6</v>
      </c>
      <c r="G387" s="30">
        <v>4</v>
      </c>
      <c r="H387" s="30">
        <v>7</v>
      </c>
      <c r="I387" s="30">
        <v>7</v>
      </c>
      <c r="J387" s="30">
        <f t="shared" si="20"/>
        <v>1</v>
      </c>
      <c r="K387" s="30">
        <f t="shared" si="21"/>
        <v>1</v>
      </c>
      <c r="L387" s="30">
        <f t="shared" si="22"/>
        <v>1</v>
      </c>
      <c r="M387" s="9" t="str">
        <f t="shared" si="23"/>
        <v>Erhöhen</v>
      </c>
    </row>
    <row r="388" spans="1:13" x14ac:dyDescent="0.3">
      <c r="A388" s="9">
        <v>393</v>
      </c>
      <c r="B388" s="6" t="str">
        <f>Postkarten!A393</f>
        <v>AK-2026-0391</v>
      </c>
      <c r="C388" s="8" t="str">
        <f>Postkarten!B393</f>
        <v>München – Total mit Frauenkirche</v>
      </c>
      <c r="D388" s="30">
        <f>Postkarten!L393</f>
        <v>3.5</v>
      </c>
      <c r="E388" s="30">
        <f>Postkarten!M393</f>
        <v>7</v>
      </c>
      <c r="F388" s="30">
        <f>Postkarten!N393</f>
        <v>7</v>
      </c>
      <c r="G388" s="30">
        <v>4</v>
      </c>
      <c r="H388" s="30">
        <v>8</v>
      </c>
      <c r="I388" s="30">
        <v>8</v>
      </c>
      <c r="J388" s="30">
        <f t="shared" si="20"/>
        <v>0.5</v>
      </c>
      <c r="K388" s="30">
        <f t="shared" si="21"/>
        <v>1</v>
      </c>
      <c r="L388" s="30">
        <f t="shared" si="22"/>
        <v>1</v>
      </c>
      <c r="M388" s="9" t="str">
        <f t="shared" si="23"/>
        <v>Erhöhen</v>
      </c>
    </row>
    <row r="389" spans="1:13" x14ac:dyDescent="0.3">
      <c r="A389" s="9">
        <v>394</v>
      </c>
      <c r="B389" s="6" t="str">
        <f>Postkarten!A394</f>
        <v>AK-2026-0392</v>
      </c>
      <c r="C389" s="8" t="str">
        <f>Postkarten!B394</f>
        <v>München – Chinesischer Turm im Englischen Garten</v>
      </c>
      <c r="D389" s="30">
        <f>Postkarten!L394</f>
        <v>3</v>
      </c>
      <c r="E389" s="30">
        <f>Postkarten!M394</f>
        <v>6</v>
      </c>
      <c r="F389" s="30">
        <f>Postkarten!N394</f>
        <v>6</v>
      </c>
      <c r="G389" s="30">
        <v>2.5</v>
      </c>
      <c r="H389" s="30">
        <v>5</v>
      </c>
      <c r="I389" s="30">
        <v>5</v>
      </c>
      <c r="J389" s="30">
        <f t="shared" si="20"/>
        <v>-0.5</v>
      </c>
      <c r="K389" s="30">
        <f t="shared" si="21"/>
        <v>-1</v>
      </c>
      <c r="L389" s="30">
        <f t="shared" si="22"/>
        <v>-1</v>
      </c>
      <c r="M389" s="9" t="str">
        <f t="shared" si="23"/>
        <v>Senken</v>
      </c>
    </row>
    <row r="390" spans="1:13" x14ac:dyDescent="0.3">
      <c r="A390" s="9">
        <v>395</v>
      </c>
      <c r="B390" s="6" t="str">
        <f>Postkarten!A395</f>
        <v>AK-2026-0393</v>
      </c>
      <c r="C390" s="8" t="str">
        <f>Postkarten!B395</f>
        <v>Ulm a. D. – Stadtansicht im Winter mit Ulmer Münster</v>
      </c>
      <c r="D390" s="30">
        <f>Postkarten!L395</f>
        <v>3</v>
      </c>
      <c r="E390" s="30">
        <f>Postkarten!M395</f>
        <v>6</v>
      </c>
      <c r="F390" s="30">
        <f>Postkarten!N395</f>
        <v>6</v>
      </c>
      <c r="G390" s="30">
        <v>2.5</v>
      </c>
      <c r="H390" s="30">
        <v>5</v>
      </c>
      <c r="I390" s="30">
        <v>5</v>
      </c>
      <c r="J390" s="30">
        <f t="shared" si="20"/>
        <v>-0.5</v>
      </c>
      <c r="K390" s="30">
        <f t="shared" si="21"/>
        <v>-1</v>
      </c>
      <c r="L390" s="30">
        <f t="shared" si="22"/>
        <v>-1</v>
      </c>
      <c r="M390" s="9" t="str">
        <f t="shared" si="23"/>
        <v>Senken</v>
      </c>
    </row>
    <row r="391" spans="1:13" x14ac:dyDescent="0.3">
      <c r="A391" s="9">
        <v>396</v>
      </c>
      <c r="B391" s="6" t="str">
        <f>Postkarten!A396</f>
        <v>AK-2026-0394</v>
      </c>
      <c r="C391" s="8" t="str">
        <f>Postkarten!B396</f>
        <v>Nürnberg – Heidenturm &amp; Brunnenhäuschen</v>
      </c>
      <c r="D391" s="30">
        <f>Postkarten!L396</f>
        <v>3</v>
      </c>
      <c r="E391" s="30">
        <f>Postkarten!M396</f>
        <v>6</v>
      </c>
      <c r="F391" s="30">
        <f>Postkarten!N396</f>
        <v>6</v>
      </c>
      <c r="G391" s="30">
        <v>2.5</v>
      </c>
      <c r="H391" s="30">
        <v>4.5</v>
      </c>
      <c r="I391" s="30">
        <v>4.5</v>
      </c>
      <c r="J391" s="30">
        <f t="shared" si="20"/>
        <v>-0.5</v>
      </c>
      <c r="K391" s="30">
        <f t="shared" si="21"/>
        <v>-1.5</v>
      </c>
      <c r="L391" s="30">
        <f t="shared" si="22"/>
        <v>-1.5</v>
      </c>
      <c r="M391" s="9" t="str">
        <f t="shared" si="23"/>
        <v>Senken</v>
      </c>
    </row>
    <row r="392" spans="1:13" x14ac:dyDescent="0.3">
      <c r="A392" s="9">
        <v>397</v>
      </c>
      <c r="B392" s="6" t="str">
        <f>Postkarten!A397</f>
        <v>AK-2026-0395</v>
      </c>
      <c r="C392" s="8" t="str">
        <f>Postkarten!B397</f>
        <v>Hannover – Maschsee-Promenade</v>
      </c>
      <c r="D392" s="30">
        <f>Postkarten!L397</f>
        <v>3</v>
      </c>
      <c r="E392" s="30">
        <f>Postkarten!M397</f>
        <v>6</v>
      </c>
      <c r="F392" s="30">
        <f>Postkarten!N397</f>
        <v>6</v>
      </c>
      <c r="G392" s="30">
        <v>3</v>
      </c>
      <c r="H392" s="30">
        <v>5</v>
      </c>
      <c r="I392" s="30">
        <v>5</v>
      </c>
      <c r="J392" s="30">
        <f t="shared" ref="J392:J414" si="24">G392-D392</f>
        <v>0</v>
      </c>
      <c r="K392" s="30">
        <f t="shared" ref="K392:K414" si="25">H392-E392</f>
        <v>-1</v>
      </c>
      <c r="L392" s="30">
        <f t="shared" ref="L392:L414" si="26">I392-F392</f>
        <v>-1</v>
      </c>
      <c r="M392" s="9" t="str">
        <f t="shared" ref="M392:M414" si="27">IF(L392&gt;0,"Erhöhen",IF(L392&lt;0,"Senken","Unverändert"))</f>
        <v>Senken</v>
      </c>
    </row>
    <row r="393" spans="1:13" x14ac:dyDescent="0.3">
      <c r="A393" s="9">
        <v>398</v>
      </c>
      <c r="B393" s="6" t="str">
        <f>Postkarten!A398</f>
        <v>AK-2026-0396</v>
      </c>
      <c r="C393" s="8" t="str">
        <f>Postkarten!B398</f>
        <v>Gruß aus Ensdorf bei Amberg Opf.</v>
      </c>
      <c r="D393" s="30">
        <f>Postkarten!L398</f>
        <v>3.5</v>
      </c>
      <c r="E393" s="30">
        <f>Postkarten!M398</f>
        <v>7</v>
      </c>
      <c r="F393" s="30">
        <f>Postkarten!N398</f>
        <v>7</v>
      </c>
      <c r="G393" s="30">
        <v>7</v>
      </c>
      <c r="H393" s="30">
        <v>14</v>
      </c>
      <c r="I393" s="30">
        <v>14</v>
      </c>
      <c r="J393" s="30">
        <f t="shared" si="24"/>
        <v>3.5</v>
      </c>
      <c r="K393" s="30">
        <f t="shared" si="25"/>
        <v>7</v>
      </c>
      <c r="L393" s="30">
        <f t="shared" si="26"/>
        <v>7</v>
      </c>
      <c r="M393" s="9" t="str">
        <f t="shared" si="27"/>
        <v>Erhöhen</v>
      </c>
    </row>
    <row r="394" spans="1:13" x14ac:dyDescent="0.3">
      <c r="A394" s="9">
        <v>399</v>
      </c>
      <c r="B394" s="6" t="str">
        <f>Postkarten!A399</f>
        <v>AK-2026-0397</v>
      </c>
      <c r="C394" s="8" t="str">
        <f>Postkarten!B399</f>
        <v>Ansbach – Krankenhaus</v>
      </c>
      <c r="D394" s="30">
        <f>Postkarten!L399</f>
        <v>3</v>
      </c>
      <c r="E394" s="30">
        <f>Postkarten!M399</f>
        <v>6</v>
      </c>
      <c r="F394" s="30">
        <f>Postkarten!N399</f>
        <v>6</v>
      </c>
      <c r="G394" s="30">
        <v>7</v>
      </c>
      <c r="H394" s="30">
        <v>13</v>
      </c>
      <c r="I394" s="30">
        <v>13</v>
      </c>
      <c r="J394" s="30">
        <f t="shared" si="24"/>
        <v>4</v>
      </c>
      <c r="K394" s="30">
        <f t="shared" si="25"/>
        <v>7</v>
      </c>
      <c r="L394" s="30">
        <f t="shared" si="26"/>
        <v>7</v>
      </c>
      <c r="M394" s="9" t="str">
        <f t="shared" si="27"/>
        <v>Erhöhen</v>
      </c>
    </row>
    <row r="395" spans="1:13" x14ac:dyDescent="0.3">
      <c r="A395" s="9">
        <v>400</v>
      </c>
      <c r="B395" s="6" t="str">
        <f>Postkarten!A400</f>
        <v>AK-2026-0398</v>
      </c>
      <c r="C395" s="8" t="str">
        <f>Postkarten!B400</f>
        <v>München – Marienplatz mit Fischbrunnen</v>
      </c>
      <c r="D395" s="30">
        <f>Postkarten!L400</f>
        <v>3.5</v>
      </c>
      <c r="E395" s="30">
        <f>Postkarten!M400</f>
        <v>7</v>
      </c>
      <c r="F395" s="30">
        <f>Postkarten!N400</f>
        <v>7</v>
      </c>
      <c r="G395" s="30">
        <v>3</v>
      </c>
      <c r="H395" s="30">
        <v>6</v>
      </c>
      <c r="I395" s="30">
        <v>6</v>
      </c>
      <c r="J395" s="30">
        <f t="shared" si="24"/>
        <v>-0.5</v>
      </c>
      <c r="K395" s="30">
        <f t="shared" si="25"/>
        <v>-1</v>
      </c>
      <c r="L395" s="30">
        <f t="shared" si="26"/>
        <v>-1</v>
      </c>
      <c r="M395" s="9" t="str">
        <f t="shared" si="27"/>
        <v>Senken</v>
      </c>
    </row>
    <row r="396" spans="1:13" x14ac:dyDescent="0.3">
      <c r="A396" s="9">
        <v>401</v>
      </c>
      <c r="B396" s="6" t="str">
        <f>Postkarten!A401</f>
        <v>AK-2026-0399</v>
      </c>
      <c r="C396" s="8" t="str">
        <f>Postkarten!B401</f>
        <v>Richard-Wagner-Kopf am gr. Arber</v>
      </c>
      <c r="D396" s="30">
        <f>Postkarten!L401</f>
        <v>3</v>
      </c>
      <c r="E396" s="30">
        <f>Postkarten!M401</f>
        <v>6</v>
      </c>
      <c r="F396" s="30">
        <f>Postkarten!N401</f>
        <v>6</v>
      </c>
      <c r="G396" s="30">
        <v>2</v>
      </c>
      <c r="H396" s="30">
        <v>3</v>
      </c>
      <c r="I396" s="30">
        <v>3</v>
      </c>
      <c r="J396" s="30">
        <f t="shared" si="24"/>
        <v>-1</v>
      </c>
      <c r="K396" s="30">
        <f t="shared" si="25"/>
        <v>-3</v>
      </c>
      <c r="L396" s="30">
        <f t="shared" si="26"/>
        <v>-3</v>
      </c>
      <c r="M396" s="9" t="str">
        <f t="shared" si="27"/>
        <v>Senken</v>
      </c>
    </row>
    <row r="397" spans="1:13" x14ac:dyDescent="0.3">
      <c r="A397" s="9">
        <v>234</v>
      </c>
      <c r="B397" s="6" t="str">
        <f>Postkarten!A234</f>
        <v>AK-2026-0233</v>
      </c>
      <c r="C397" s="8" t="str">
        <f>Postkarten!B234</f>
        <v>Talpartie mit Burg Gößweinstein, Fränkische Schweiz</v>
      </c>
      <c r="D397" s="30">
        <f>Postkarten!L234</f>
        <v>3</v>
      </c>
      <c r="E397" s="30">
        <f>Postkarten!M234</f>
        <v>6</v>
      </c>
      <c r="F397" s="30">
        <f>Postkarten!N234</f>
        <v>6</v>
      </c>
      <c r="G397" s="30">
        <v>4</v>
      </c>
      <c r="H397" s="30">
        <v>7</v>
      </c>
      <c r="I397" s="30">
        <v>7</v>
      </c>
      <c r="J397" s="30">
        <f t="shared" si="24"/>
        <v>1</v>
      </c>
      <c r="K397" s="30">
        <f t="shared" si="25"/>
        <v>1</v>
      </c>
      <c r="L397" s="30">
        <f t="shared" si="26"/>
        <v>1</v>
      </c>
      <c r="M397" s="9" t="str">
        <f t="shared" si="27"/>
        <v>Erhöhen</v>
      </c>
    </row>
    <row r="398" spans="1:13" x14ac:dyDescent="0.3">
      <c r="A398" s="9">
        <v>235</v>
      </c>
      <c r="B398" s="6" t="str">
        <f>Postkarten!A235</f>
        <v>AK-2026-0234</v>
      </c>
      <c r="C398" s="8" t="str">
        <f>Postkarten!B235</f>
        <v>Einsiedeln, Kloster</v>
      </c>
      <c r="D398" s="30">
        <f>Postkarten!L235</f>
        <v>3.5</v>
      </c>
      <c r="E398" s="30">
        <f>Postkarten!M235</f>
        <v>7</v>
      </c>
      <c r="F398" s="30">
        <f>Postkarten!N235</f>
        <v>7</v>
      </c>
      <c r="G398" s="30">
        <v>3</v>
      </c>
      <c r="H398" s="30">
        <v>5</v>
      </c>
      <c r="I398" s="30">
        <v>5</v>
      </c>
      <c r="J398" s="30">
        <f t="shared" si="24"/>
        <v>-0.5</v>
      </c>
      <c r="K398" s="30">
        <f t="shared" si="25"/>
        <v>-2</v>
      </c>
      <c r="L398" s="30">
        <f t="shared" si="26"/>
        <v>-2</v>
      </c>
      <c r="M398" s="9" t="str">
        <f t="shared" si="27"/>
        <v>Senken</v>
      </c>
    </row>
    <row r="399" spans="1:13" x14ac:dyDescent="0.3">
      <c r="A399" s="9">
        <v>236</v>
      </c>
      <c r="B399" s="6" t="str">
        <f>Postkarten!A236</f>
        <v>AK-2026-0235</v>
      </c>
      <c r="C399" s="8" t="str">
        <f>Postkarten!B236</f>
        <v>Regensburg a. D. – Domplatz</v>
      </c>
      <c r="D399" s="30">
        <f>Postkarten!L236</f>
        <v>3.5</v>
      </c>
      <c r="E399" s="30">
        <f>Postkarten!M236</f>
        <v>7</v>
      </c>
      <c r="F399" s="30">
        <f>Postkarten!N236</f>
        <v>7</v>
      </c>
      <c r="G399" s="30">
        <v>4</v>
      </c>
      <c r="H399" s="30">
        <v>8</v>
      </c>
      <c r="I399" s="30">
        <v>8</v>
      </c>
      <c r="J399" s="30">
        <f t="shared" si="24"/>
        <v>0.5</v>
      </c>
      <c r="K399" s="30">
        <f t="shared" si="25"/>
        <v>1</v>
      </c>
      <c r="L399" s="30">
        <f t="shared" si="26"/>
        <v>1</v>
      </c>
      <c r="M399" s="9" t="str">
        <f t="shared" si="27"/>
        <v>Erhöhen</v>
      </c>
    </row>
    <row r="400" spans="1:13" x14ac:dyDescent="0.3">
      <c r="A400" s="9">
        <v>389</v>
      </c>
      <c r="B400" s="6" t="str">
        <f>Postkarten!A389</f>
        <v>AK-2026-0387</v>
      </c>
      <c r="C400" s="8" t="str">
        <f>Postkarten!B389</f>
        <v>Hammerschmiede (Hornberg)</v>
      </c>
      <c r="D400" s="30">
        <f>Postkarten!L389</f>
        <v>3</v>
      </c>
      <c r="E400" s="30">
        <f>Postkarten!M389</f>
        <v>6</v>
      </c>
      <c r="F400" s="30">
        <f>Postkarten!N389</f>
        <v>6</v>
      </c>
      <c r="G400" s="30">
        <v>3</v>
      </c>
      <c r="H400" s="30">
        <v>6</v>
      </c>
      <c r="I400" s="30">
        <v>6</v>
      </c>
      <c r="J400" s="30">
        <f t="shared" si="24"/>
        <v>0</v>
      </c>
      <c r="K400" s="30">
        <f t="shared" si="25"/>
        <v>0</v>
      </c>
      <c r="L400" s="30">
        <f t="shared" si="26"/>
        <v>0</v>
      </c>
      <c r="M400" s="9" t="str">
        <f t="shared" si="27"/>
        <v>Unverändert</v>
      </c>
    </row>
    <row r="401" spans="1:13" ht="27.6" x14ac:dyDescent="0.3">
      <c r="A401" s="9">
        <v>390</v>
      </c>
      <c r="B401" s="6" t="str">
        <f>Postkarten!A390</f>
        <v>AK-2026-0388</v>
      </c>
      <c r="C401" s="8" t="str">
        <f>Postkarten!B390</f>
        <v>Schönburgwarte auf dem großen Kornberg, 820 m Höhe, Fichtelgebirge</v>
      </c>
      <c r="D401" s="30">
        <f>Postkarten!L390</f>
        <v>3.5</v>
      </c>
      <c r="E401" s="30">
        <f>Postkarten!M390</f>
        <v>7</v>
      </c>
      <c r="F401" s="30">
        <f>Postkarten!N390</f>
        <v>7</v>
      </c>
      <c r="G401" s="30">
        <v>3</v>
      </c>
      <c r="H401" s="30">
        <v>6</v>
      </c>
      <c r="I401" s="30">
        <v>6</v>
      </c>
      <c r="J401" s="30">
        <f t="shared" si="24"/>
        <v>-0.5</v>
      </c>
      <c r="K401" s="30">
        <f t="shared" si="25"/>
        <v>-1</v>
      </c>
      <c r="L401" s="30">
        <f t="shared" si="26"/>
        <v>-1</v>
      </c>
      <c r="M401" s="9" t="str">
        <f t="shared" si="27"/>
        <v>Senken</v>
      </c>
    </row>
    <row r="402" spans="1:13" x14ac:dyDescent="0.3">
      <c r="A402" s="9">
        <v>402</v>
      </c>
      <c r="B402" s="6" t="str">
        <f>Postkarten!A402</f>
        <v>AK-2026-0400</v>
      </c>
      <c r="C402" s="8" t="str">
        <f>Postkarten!B402</f>
        <v>Schloß Parsberg / Bayrische Oberpfalz</v>
      </c>
      <c r="D402" s="30">
        <f>Postkarten!L402</f>
        <v>3.5</v>
      </c>
      <c r="E402" s="30">
        <f>Postkarten!M402</f>
        <v>7</v>
      </c>
      <c r="F402" s="30">
        <f>Postkarten!N402</f>
        <v>7</v>
      </c>
      <c r="G402" s="30">
        <v>5</v>
      </c>
      <c r="H402" s="30">
        <v>10</v>
      </c>
      <c r="I402" s="30">
        <v>10</v>
      </c>
      <c r="J402" s="30">
        <f t="shared" si="24"/>
        <v>1.5</v>
      </c>
      <c r="K402" s="30">
        <f t="shared" si="25"/>
        <v>3</v>
      </c>
      <c r="L402" s="30">
        <f t="shared" si="26"/>
        <v>3</v>
      </c>
      <c r="M402" s="9" t="str">
        <f t="shared" si="27"/>
        <v>Erhöhen</v>
      </c>
    </row>
    <row r="403" spans="1:13" x14ac:dyDescent="0.3">
      <c r="A403" s="9">
        <v>237</v>
      </c>
      <c r="B403" s="6" t="str">
        <f>Postkarten!A237</f>
        <v>AK-2026-0236</v>
      </c>
      <c r="C403" s="8" t="str">
        <f>Postkarten!B237</f>
        <v>Schwarzenkopfhütte über Neuhaus b. Schliersee</v>
      </c>
      <c r="D403" s="30">
        <f>Postkarten!L237</f>
        <v>3</v>
      </c>
      <c r="E403" s="30">
        <f>Postkarten!M237</f>
        <v>6</v>
      </c>
      <c r="F403" s="30">
        <f>Postkarten!N237</f>
        <v>6</v>
      </c>
      <c r="G403" s="30">
        <v>4</v>
      </c>
      <c r="H403" s="30">
        <v>8</v>
      </c>
      <c r="I403" s="30">
        <v>8</v>
      </c>
      <c r="J403" s="30">
        <f t="shared" si="24"/>
        <v>1</v>
      </c>
      <c r="K403" s="30">
        <f t="shared" si="25"/>
        <v>2</v>
      </c>
      <c r="L403" s="30">
        <f t="shared" si="26"/>
        <v>2</v>
      </c>
      <c r="M403" s="9" t="str">
        <f t="shared" si="27"/>
        <v>Erhöhen</v>
      </c>
    </row>
    <row r="404" spans="1:13" ht="27.6" x14ac:dyDescent="0.3">
      <c r="A404" s="9">
        <v>403</v>
      </c>
      <c r="B404" s="6" t="str">
        <f>Postkarten!A403</f>
        <v>AK-2026-0401</v>
      </c>
      <c r="C404" s="8" t="str">
        <f>Postkarten!B403</f>
        <v>Berchtesgaden – Gesamtansicht mit Watzmann und Funtenseeauern</v>
      </c>
      <c r="D404" s="30">
        <f>Postkarten!L403</f>
        <v>3.5</v>
      </c>
      <c r="E404" s="30">
        <f>Postkarten!M403</f>
        <v>7</v>
      </c>
      <c r="F404" s="30">
        <f>Postkarten!N403</f>
        <v>7</v>
      </c>
      <c r="G404" s="30">
        <v>4</v>
      </c>
      <c r="H404" s="30">
        <v>9</v>
      </c>
      <c r="I404" s="30">
        <v>7</v>
      </c>
      <c r="J404" s="30">
        <f t="shared" si="24"/>
        <v>0.5</v>
      </c>
      <c r="K404" s="30">
        <f t="shared" si="25"/>
        <v>2</v>
      </c>
      <c r="L404" s="30">
        <f t="shared" si="26"/>
        <v>0</v>
      </c>
      <c r="M404" s="9" t="str">
        <f t="shared" si="27"/>
        <v>Unverändert</v>
      </c>
    </row>
    <row r="405" spans="1:13" x14ac:dyDescent="0.3">
      <c r="A405" s="9">
        <v>404</v>
      </c>
      <c r="B405" s="6" t="str">
        <f>Postkarten!A404</f>
        <v>AK-2026-0402</v>
      </c>
      <c r="C405" s="8" t="str">
        <f>Postkarten!B404</f>
        <v>Fraueninsel im Chiemsee</v>
      </c>
      <c r="D405" s="30">
        <f>Postkarten!L404</f>
        <v>3.5</v>
      </c>
      <c r="E405" s="30">
        <f>Postkarten!M404</f>
        <v>7</v>
      </c>
      <c r="F405" s="30">
        <f>Postkarten!N404</f>
        <v>7</v>
      </c>
      <c r="G405" s="30">
        <v>5</v>
      </c>
      <c r="H405" s="30">
        <v>9</v>
      </c>
      <c r="I405" s="30">
        <v>7</v>
      </c>
      <c r="J405" s="30">
        <f t="shared" si="24"/>
        <v>1.5</v>
      </c>
      <c r="K405" s="30">
        <f t="shared" si="25"/>
        <v>2</v>
      </c>
      <c r="L405" s="30">
        <f t="shared" si="26"/>
        <v>0</v>
      </c>
      <c r="M405" s="9" t="str">
        <f t="shared" si="27"/>
        <v>Unverändert</v>
      </c>
    </row>
    <row r="406" spans="1:13" x14ac:dyDescent="0.3">
      <c r="A406" s="9">
        <v>405</v>
      </c>
      <c r="B406" s="6" t="str">
        <f>Postkarten!A405</f>
        <v>AK-2026-0403</v>
      </c>
      <c r="C406" s="8" t="str">
        <f>Postkarten!B405</f>
        <v>Ulm a. D. – Münster, höchste Kirche der Welt, 161 m hoch</v>
      </c>
      <c r="D406" s="30">
        <f>Postkarten!L405</f>
        <v>3</v>
      </c>
      <c r="E406" s="30">
        <f>Postkarten!M405</f>
        <v>6</v>
      </c>
      <c r="F406" s="30">
        <f>Postkarten!N405</f>
        <v>6</v>
      </c>
      <c r="G406" s="30">
        <v>3.5</v>
      </c>
      <c r="H406" s="30">
        <v>6</v>
      </c>
      <c r="I406" s="30">
        <v>6</v>
      </c>
      <c r="J406" s="30">
        <f t="shared" si="24"/>
        <v>0.5</v>
      </c>
      <c r="K406" s="30">
        <f t="shared" si="25"/>
        <v>0</v>
      </c>
      <c r="L406" s="30">
        <f t="shared" si="26"/>
        <v>0</v>
      </c>
      <c r="M406" s="9" t="str">
        <f t="shared" si="27"/>
        <v>Unverändert</v>
      </c>
    </row>
    <row r="407" spans="1:13" x14ac:dyDescent="0.3">
      <c r="A407" s="9">
        <v>406</v>
      </c>
      <c r="B407" s="6" t="str">
        <f>Postkarten!A406</f>
        <v>AK-2026-0404</v>
      </c>
      <c r="C407" s="8" t="str">
        <f>Postkarten!B406</f>
        <v>Aus deutschen Gauen – [Motive/Tor]</v>
      </c>
      <c r="D407" s="30">
        <f>Postkarten!L406</f>
        <v>3.5</v>
      </c>
      <c r="E407" s="30">
        <f>Postkarten!M406</f>
        <v>7</v>
      </c>
      <c r="F407" s="30">
        <f>Postkarten!N406</f>
        <v>7</v>
      </c>
      <c r="G407" s="30">
        <v>4</v>
      </c>
      <c r="H407" s="30">
        <v>6</v>
      </c>
      <c r="I407" s="30">
        <v>5</v>
      </c>
      <c r="J407" s="30">
        <f t="shared" si="24"/>
        <v>0.5</v>
      </c>
      <c r="K407" s="30">
        <f t="shared" si="25"/>
        <v>-1</v>
      </c>
      <c r="L407" s="30">
        <f t="shared" si="26"/>
        <v>-2</v>
      </c>
      <c r="M407" s="9" t="str">
        <f t="shared" si="27"/>
        <v>Senken</v>
      </c>
    </row>
    <row r="408" spans="1:13" x14ac:dyDescent="0.3">
      <c r="A408" s="9">
        <v>407</v>
      </c>
      <c r="B408" s="6" t="str">
        <f>Postkarten!A407</f>
        <v>AK-2026-0405</v>
      </c>
      <c r="C408" s="8" t="str">
        <f>Postkarten!B407</f>
        <v>Wurzhütte über Neuhaus b. Schliersee</v>
      </c>
      <c r="D408" s="30">
        <f>Postkarten!L407</f>
        <v>3</v>
      </c>
      <c r="E408" s="30">
        <f>Postkarten!M407</f>
        <v>6</v>
      </c>
      <c r="F408" s="30">
        <f>Postkarten!N407</f>
        <v>6</v>
      </c>
      <c r="G408" s="30">
        <v>4</v>
      </c>
      <c r="H408" s="30">
        <v>6</v>
      </c>
      <c r="I408" s="30">
        <v>6</v>
      </c>
      <c r="J408" s="30">
        <f t="shared" si="24"/>
        <v>1</v>
      </c>
      <c r="K408" s="30">
        <f t="shared" si="25"/>
        <v>0</v>
      </c>
      <c r="L408" s="30">
        <f t="shared" si="26"/>
        <v>0</v>
      </c>
      <c r="M408" s="9" t="str">
        <f t="shared" si="27"/>
        <v>Unverändert</v>
      </c>
    </row>
    <row r="409" spans="1:13" x14ac:dyDescent="0.3">
      <c r="A409" s="9">
        <v>408</v>
      </c>
      <c r="B409" s="6" t="str">
        <f>Postkarten!A408</f>
        <v>AK-2026-0406</v>
      </c>
      <c r="C409" s="8" t="str">
        <f>Postkarten!B408</f>
        <v>Taubenstein am Spitzingsee geg. Brecherspitz</v>
      </c>
      <c r="D409" s="30">
        <f>Postkarten!L408</f>
        <v>3</v>
      </c>
      <c r="E409" s="30">
        <f>Postkarten!M408</f>
        <v>6</v>
      </c>
      <c r="F409" s="30">
        <f>Postkarten!N408</f>
        <v>6</v>
      </c>
      <c r="G409" s="30">
        <v>4</v>
      </c>
      <c r="H409" s="30">
        <v>6</v>
      </c>
      <c r="I409" s="30">
        <v>5</v>
      </c>
      <c r="J409" s="30">
        <f t="shared" si="24"/>
        <v>1</v>
      </c>
      <c r="K409" s="30">
        <f t="shared" si="25"/>
        <v>0</v>
      </c>
      <c r="L409" s="30">
        <f t="shared" si="26"/>
        <v>-1</v>
      </c>
      <c r="M409" s="9" t="str">
        <f t="shared" si="27"/>
        <v>Senken</v>
      </c>
    </row>
    <row r="410" spans="1:13" x14ac:dyDescent="0.3">
      <c r="A410" s="9">
        <v>409</v>
      </c>
      <c r="B410" s="6" t="str">
        <f>Postkarten!A409</f>
        <v>AK-2026-0407</v>
      </c>
      <c r="C410" s="8" t="str">
        <f>Postkarten!B409</f>
        <v>Der Edersee mit Sperrmauer u. Schloß Waldeck</v>
      </c>
      <c r="D410" s="30">
        <f>Postkarten!L409</f>
        <v>3</v>
      </c>
      <c r="E410" s="30">
        <f>Postkarten!M409</f>
        <v>6</v>
      </c>
      <c r="F410" s="30">
        <f>Postkarten!N409</f>
        <v>6</v>
      </c>
      <c r="G410" s="30">
        <v>3</v>
      </c>
      <c r="H410" s="30">
        <v>6</v>
      </c>
      <c r="I410" s="30">
        <v>5</v>
      </c>
      <c r="J410" s="30">
        <f t="shared" si="24"/>
        <v>0</v>
      </c>
      <c r="K410" s="30">
        <f t="shared" si="25"/>
        <v>0</v>
      </c>
      <c r="L410" s="30">
        <f t="shared" si="26"/>
        <v>-1</v>
      </c>
      <c r="M410" s="9" t="str">
        <f t="shared" si="27"/>
        <v>Senken</v>
      </c>
    </row>
    <row r="411" spans="1:13" ht="27.6" x14ac:dyDescent="0.3">
      <c r="A411" s="9">
        <v>410</v>
      </c>
      <c r="B411" s="6" t="str">
        <f>Postkarten!A410</f>
        <v>AK-2026-0408</v>
      </c>
      <c r="C411" s="8" t="str">
        <f>Postkarten!B410</f>
        <v>Bayer. Wald. Kaitersberg. Kötztinger-Hütte am Mittagstein (1026 m)</v>
      </c>
      <c r="D411" s="30">
        <f>Postkarten!L410</f>
        <v>3</v>
      </c>
      <c r="E411" s="30">
        <f>Postkarten!M410</f>
        <v>6</v>
      </c>
      <c r="F411" s="30">
        <f>Postkarten!N410</f>
        <v>6</v>
      </c>
      <c r="G411" s="30">
        <v>4</v>
      </c>
      <c r="H411" s="30">
        <v>5</v>
      </c>
      <c r="I411" s="30">
        <v>5</v>
      </c>
      <c r="J411" s="30">
        <f t="shared" si="24"/>
        <v>1</v>
      </c>
      <c r="K411" s="30">
        <f t="shared" si="25"/>
        <v>-1</v>
      </c>
      <c r="L411" s="30">
        <f t="shared" si="26"/>
        <v>-1</v>
      </c>
      <c r="M411" s="9" t="str">
        <f t="shared" si="27"/>
        <v>Senken</v>
      </c>
    </row>
    <row r="412" spans="1:13" x14ac:dyDescent="0.3">
      <c r="A412" s="9">
        <v>214</v>
      </c>
      <c r="B412" s="6" t="str">
        <f>Postkarten!A214</f>
        <v>AK-2026-0213</v>
      </c>
      <c r="C412" s="8" t="str">
        <f>Postkarten!B214</f>
        <v>Parsberg - Ortsansicht mit Schloss</v>
      </c>
      <c r="D412" s="30">
        <f>Postkarten!L214</f>
        <v>3</v>
      </c>
      <c r="E412" s="30">
        <f>Postkarten!M214</f>
        <v>11</v>
      </c>
      <c r="F412" s="30">
        <f>Postkarten!N214</f>
        <v>11</v>
      </c>
      <c r="G412" s="30">
        <v>6</v>
      </c>
      <c r="H412" s="30">
        <v>11</v>
      </c>
      <c r="I412" s="30">
        <v>11</v>
      </c>
      <c r="J412" s="30">
        <f t="shared" si="24"/>
        <v>3</v>
      </c>
      <c r="K412" s="30">
        <f t="shared" si="25"/>
        <v>0</v>
      </c>
      <c r="L412" s="30">
        <f t="shared" si="26"/>
        <v>0</v>
      </c>
      <c r="M412" s="9" t="str">
        <f t="shared" si="27"/>
        <v>Unverändert</v>
      </c>
    </row>
    <row r="413" spans="1:13" x14ac:dyDescent="0.3">
      <c r="A413" s="9">
        <v>215</v>
      </c>
      <c r="B413" s="6" t="str">
        <f>Postkarten!A215</f>
        <v>AK-2026-0214</v>
      </c>
      <c r="C413" s="8" t="str">
        <f>Postkarten!B215</f>
        <v>Parsberg (Opf.) - Original-Fliegeraufnahme</v>
      </c>
      <c r="D413" s="30">
        <f>Postkarten!L215</f>
        <v>3</v>
      </c>
      <c r="E413" s="30">
        <f>Postkarten!M215</f>
        <v>12</v>
      </c>
      <c r="F413" s="30">
        <f>Postkarten!N215</f>
        <v>12</v>
      </c>
      <c r="G413" s="30">
        <v>7</v>
      </c>
      <c r="H413" s="30">
        <v>12</v>
      </c>
      <c r="I413" s="30">
        <v>12</v>
      </c>
      <c r="J413" s="30">
        <f t="shared" si="24"/>
        <v>4</v>
      </c>
      <c r="K413" s="30">
        <f t="shared" si="25"/>
        <v>0</v>
      </c>
      <c r="L413" s="30">
        <f t="shared" si="26"/>
        <v>0</v>
      </c>
      <c r="M413" s="9" t="str">
        <f t="shared" si="27"/>
        <v>Unverändert</v>
      </c>
    </row>
    <row r="414" spans="1:13" x14ac:dyDescent="0.3">
      <c r="A414" s="9">
        <v>216</v>
      </c>
      <c r="B414" s="6" t="str">
        <f>Postkarten!A216</f>
        <v>AK-2026-0215</v>
      </c>
      <c r="C414" s="8" t="str">
        <f>Postkarten!B216</f>
        <v>Mühlhausen (Bayr. Ostmark) - Storchennest</v>
      </c>
      <c r="D414" s="30">
        <f>Postkarten!L216</f>
        <v>3</v>
      </c>
      <c r="E414" s="30">
        <f>Postkarten!M216</f>
        <v>10.5</v>
      </c>
      <c r="F414" s="30">
        <f>Postkarten!N216</f>
        <v>10.5</v>
      </c>
      <c r="G414" s="30">
        <v>5</v>
      </c>
      <c r="H414" s="30">
        <v>10</v>
      </c>
      <c r="I414" s="30">
        <v>10</v>
      </c>
      <c r="J414" s="30">
        <f t="shared" si="24"/>
        <v>2</v>
      </c>
      <c r="K414" s="30">
        <f t="shared" si="25"/>
        <v>-0.5</v>
      </c>
      <c r="L414" s="30">
        <f t="shared" si="26"/>
        <v>-0.5</v>
      </c>
      <c r="M414" s="9" t="str">
        <f t="shared" si="27"/>
        <v>Senken</v>
      </c>
    </row>
  </sheetData>
  <mergeCells count="14">
    <mergeCell ref="I3:J3"/>
    <mergeCell ref="I4:J4"/>
    <mergeCell ref="K3:M3"/>
    <mergeCell ref="K4:M4"/>
    <mergeCell ref="A1:M1"/>
    <mergeCell ref="A2:M2"/>
    <mergeCell ref="A3:B3"/>
    <mergeCell ref="A4:B4"/>
    <mergeCell ref="C3:D3"/>
    <mergeCell ref="C4:D4"/>
    <mergeCell ref="E3:F3"/>
    <mergeCell ref="E4:F4"/>
    <mergeCell ref="G3:H3"/>
    <mergeCell ref="G4:H4"/>
  </mergeCells>
  <conditionalFormatting sqref="J7:L414">
    <cfRule type="expression" dxfId="9" priority="1">
      <formula>J7&gt;0</formula>
    </cfRule>
    <cfRule type="expression" dxfId="8" priority="2">
      <formula>J7&lt;0</formula>
    </cfRule>
  </conditionalFormatting>
  <conditionalFormatting sqref="J285:L308">
    <cfRule type="expression" dxfId="7" priority="6">
      <formula>J285&gt;0</formula>
    </cfRule>
    <cfRule type="expression" dxfId="6" priority="7">
      <formula>J285&lt;0</formula>
    </cfRule>
  </conditionalFormatting>
  <conditionalFormatting sqref="M7:M414">
    <cfRule type="expression" dxfId="5" priority="3">
      <formula>$M7="Erhöhen"</formula>
    </cfRule>
    <cfRule type="expression" dxfId="4" priority="4">
      <formula>$M7="Senken"</formula>
    </cfRule>
    <cfRule type="expression" dxfId="3" priority="5">
      <formula>$M7="Unverändert"</formula>
    </cfRule>
  </conditionalFormatting>
  <conditionalFormatting sqref="M285:M308">
    <cfRule type="expression" dxfId="2" priority="8">
      <formula>$M285="Erhöhen"</formula>
    </cfRule>
    <cfRule type="expression" dxfId="1" priority="9">
      <formula>$M285="Senken"</formula>
    </cfRule>
  </conditionalFormatting>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EF0A5-188C-497D-BB4D-41BEC9CFF417}">
  <dimension ref="A1:Q15"/>
  <sheetViews>
    <sheetView showGridLines="0" topLeftCell="L1" workbookViewId="0">
      <pane ySplit="4" topLeftCell="A10" activePane="bottomLeft" state="frozen"/>
      <selection pane="bottomLeft" activeCell="Q19" sqref="Q19"/>
    </sheetView>
  </sheetViews>
  <sheetFormatPr baseColWidth="10" defaultRowHeight="14.4" x14ac:dyDescent="0.3"/>
  <cols>
    <col min="1" max="1" width="17" customWidth="1"/>
    <col min="2" max="2" width="42.5546875" customWidth="1"/>
    <col min="3" max="3" width="33.33203125" customWidth="1"/>
    <col min="4" max="4" width="29.6640625" customWidth="1"/>
    <col min="5" max="5" width="40.77734375" customWidth="1"/>
    <col min="6" max="6" width="20.33203125" customWidth="1"/>
    <col min="7" max="7" width="46.33203125" customWidth="1"/>
    <col min="8" max="8" width="17.5546875" customWidth="1"/>
    <col min="9" max="9" width="13.33203125" customWidth="1"/>
    <col min="10" max="11" width="23.109375" customWidth="1"/>
    <col min="12" max="13" width="14.77734375" customWidth="1"/>
    <col min="14" max="15" width="16.6640625" customWidth="1"/>
    <col min="16" max="16" width="46.33203125" customWidth="1"/>
    <col min="17" max="17" width="40.77734375" customWidth="1"/>
  </cols>
  <sheetData>
    <row r="1" spans="1:17" ht="30" customHeight="1" x14ac:dyDescent="0.3">
      <c r="A1" s="94" t="s">
        <v>3413</v>
      </c>
      <c r="B1" s="94"/>
      <c r="C1" s="94"/>
      <c r="D1" s="94"/>
      <c r="E1" s="94"/>
      <c r="F1" s="94"/>
      <c r="G1" s="94"/>
      <c r="H1" s="94"/>
      <c r="I1" s="94"/>
      <c r="J1" s="94"/>
      <c r="K1" s="94"/>
      <c r="L1" s="94"/>
      <c r="M1" s="94"/>
      <c r="N1" s="94"/>
      <c r="O1" s="94"/>
      <c r="P1" s="94"/>
      <c r="Q1" s="94"/>
    </row>
    <row r="2" spans="1:17" ht="22.05" customHeight="1" x14ac:dyDescent="0.3">
      <c r="A2" s="95" t="s">
        <v>3414</v>
      </c>
      <c r="B2" s="95"/>
      <c r="C2" s="95"/>
      <c r="D2" s="95"/>
      <c r="E2" s="95"/>
      <c r="F2" s="95"/>
      <c r="G2" s="95"/>
      <c r="H2" s="95"/>
      <c r="I2" s="95"/>
      <c r="J2" s="95"/>
      <c r="K2" s="95"/>
      <c r="L2" s="95"/>
      <c r="M2" s="95"/>
      <c r="N2" s="95"/>
      <c r="O2" s="95"/>
      <c r="P2" s="95"/>
      <c r="Q2" s="95"/>
    </row>
    <row r="3" spans="1:17" x14ac:dyDescent="0.3">
      <c r="A3" s="33"/>
      <c r="B3" s="33"/>
      <c r="C3" s="33"/>
      <c r="D3" s="33"/>
      <c r="E3" s="33"/>
      <c r="F3" s="33"/>
      <c r="G3" s="33"/>
      <c r="H3" s="33"/>
      <c r="I3" s="33"/>
      <c r="J3" s="33"/>
      <c r="K3" s="33"/>
      <c r="L3" s="33"/>
      <c r="M3" s="33"/>
      <c r="N3" s="33"/>
      <c r="O3" s="33"/>
      <c r="P3" s="33"/>
      <c r="Q3" s="33"/>
    </row>
    <row r="4" spans="1:17" ht="34.049999999999997" customHeight="1" x14ac:dyDescent="0.3">
      <c r="A4" s="51" t="s">
        <v>0</v>
      </c>
      <c r="B4" s="51" t="s">
        <v>3415</v>
      </c>
      <c r="C4" s="51" t="s">
        <v>3416</v>
      </c>
      <c r="D4" s="51" t="s">
        <v>3417</v>
      </c>
      <c r="E4" s="51" t="s">
        <v>3418</v>
      </c>
      <c r="F4" s="51" t="s">
        <v>3419</v>
      </c>
      <c r="G4" s="51" t="s">
        <v>3420</v>
      </c>
      <c r="H4" s="51" t="s">
        <v>3421</v>
      </c>
      <c r="I4" s="51" t="s">
        <v>3422</v>
      </c>
      <c r="J4" s="51" t="s">
        <v>3423</v>
      </c>
      <c r="K4" s="51" t="s">
        <v>3424</v>
      </c>
      <c r="L4" s="51" t="s">
        <v>11</v>
      </c>
      <c r="M4" s="51" t="s">
        <v>12</v>
      </c>
      <c r="N4" s="51" t="s">
        <v>13</v>
      </c>
      <c r="O4" s="51" t="s">
        <v>14</v>
      </c>
      <c r="P4" s="51" t="s">
        <v>15</v>
      </c>
      <c r="Q4" s="51" t="s">
        <v>3323</v>
      </c>
    </row>
    <row r="5" spans="1:17" ht="48" customHeight="1" x14ac:dyDescent="0.3">
      <c r="A5" s="51" t="s">
        <v>3425</v>
      </c>
      <c r="B5" s="51" t="s">
        <v>3426</v>
      </c>
      <c r="C5" s="51" t="s">
        <v>3427</v>
      </c>
      <c r="D5" s="51" t="s">
        <v>3428</v>
      </c>
      <c r="E5" s="51" t="s">
        <v>3429</v>
      </c>
      <c r="F5" s="51" t="s">
        <v>3430</v>
      </c>
      <c r="G5" s="51" t="s">
        <v>3431</v>
      </c>
      <c r="H5" s="51" t="s">
        <v>63</v>
      </c>
      <c r="I5" s="51">
        <v>1913</v>
      </c>
      <c r="J5" s="51"/>
      <c r="K5" s="51" t="s">
        <v>3432</v>
      </c>
      <c r="L5" s="52">
        <v>15</v>
      </c>
      <c r="M5" s="52">
        <v>25</v>
      </c>
      <c r="N5" s="52">
        <f t="shared" ref="N5:N13" si="0">MAX(L5,M5)</f>
        <v>25</v>
      </c>
      <c r="O5" s="51" t="s">
        <v>27</v>
      </c>
      <c r="P5" s="51" t="s">
        <v>3433</v>
      </c>
      <c r="Q5" s="51" t="s">
        <v>3434</v>
      </c>
    </row>
    <row r="6" spans="1:17" ht="48" customHeight="1" x14ac:dyDescent="0.3">
      <c r="A6" s="51" t="s">
        <v>3435</v>
      </c>
      <c r="B6" s="51" t="s">
        <v>3436</v>
      </c>
      <c r="C6" s="51" t="s">
        <v>3437</v>
      </c>
      <c r="D6" s="51" t="s">
        <v>3438</v>
      </c>
      <c r="E6" s="51" t="s">
        <v>3439</v>
      </c>
      <c r="F6" s="51" t="s">
        <v>3430</v>
      </c>
      <c r="G6" s="51" t="s">
        <v>3440</v>
      </c>
      <c r="H6" s="51" t="s">
        <v>63</v>
      </c>
      <c r="I6" s="51">
        <v>1906</v>
      </c>
      <c r="J6" s="51"/>
      <c r="K6" s="51" t="s">
        <v>3441</v>
      </c>
      <c r="L6" s="52">
        <v>30</v>
      </c>
      <c r="M6" s="52">
        <v>50</v>
      </c>
      <c r="N6" s="52">
        <f t="shared" si="0"/>
        <v>50</v>
      </c>
      <c r="O6" s="51" t="s">
        <v>27</v>
      </c>
      <c r="P6" s="51" t="s">
        <v>3442</v>
      </c>
      <c r="Q6" s="51" t="s">
        <v>3443</v>
      </c>
    </row>
    <row r="7" spans="1:17" ht="48" customHeight="1" x14ac:dyDescent="0.3">
      <c r="A7" s="51" t="s">
        <v>3444</v>
      </c>
      <c r="B7" s="51" t="s">
        <v>3445</v>
      </c>
      <c r="C7" s="51" t="s">
        <v>3446</v>
      </c>
      <c r="D7" s="51" t="s">
        <v>3446</v>
      </c>
      <c r="E7" s="51" t="s">
        <v>3447</v>
      </c>
      <c r="F7" s="51" t="s">
        <v>3448</v>
      </c>
      <c r="G7" s="51" t="s">
        <v>3449</v>
      </c>
      <c r="H7" s="51" t="s">
        <v>63</v>
      </c>
      <c r="I7" s="51">
        <v>1888</v>
      </c>
      <c r="J7" s="51"/>
      <c r="K7" s="51" t="s">
        <v>3450</v>
      </c>
      <c r="L7" s="52">
        <v>18</v>
      </c>
      <c r="M7" s="52">
        <v>30</v>
      </c>
      <c r="N7" s="52">
        <f t="shared" si="0"/>
        <v>30</v>
      </c>
      <c r="O7" s="51" t="s">
        <v>27</v>
      </c>
      <c r="P7" s="51" t="s">
        <v>3451</v>
      </c>
      <c r="Q7" s="51" t="s">
        <v>3452</v>
      </c>
    </row>
    <row r="8" spans="1:17" ht="48" customHeight="1" x14ac:dyDescent="0.3">
      <c r="A8" s="51" t="s">
        <v>3453</v>
      </c>
      <c r="B8" s="51" t="s">
        <v>3454</v>
      </c>
      <c r="C8" s="51" t="s">
        <v>3446</v>
      </c>
      <c r="D8" s="51" t="s">
        <v>3446</v>
      </c>
      <c r="E8" s="51" t="s">
        <v>3455</v>
      </c>
      <c r="F8" s="51" t="s">
        <v>3430</v>
      </c>
      <c r="G8" s="51" t="s">
        <v>3456</v>
      </c>
      <c r="H8" s="51" t="s">
        <v>63</v>
      </c>
      <c r="I8" s="51">
        <v>1909</v>
      </c>
      <c r="J8" s="51"/>
      <c r="K8" s="51" t="s">
        <v>3450</v>
      </c>
      <c r="L8" s="52">
        <v>20</v>
      </c>
      <c r="M8" s="52">
        <v>35</v>
      </c>
      <c r="N8" s="52">
        <f t="shared" si="0"/>
        <v>35</v>
      </c>
      <c r="O8" s="51" t="s">
        <v>27</v>
      </c>
      <c r="P8" s="51" t="s">
        <v>3457</v>
      </c>
      <c r="Q8" s="51" t="s">
        <v>3458</v>
      </c>
    </row>
    <row r="9" spans="1:17" ht="48" customHeight="1" x14ac:dyDescent="0.3">
      <c r="A9" s="51" t="s">
        <v>3459</v>
      </c>
      <c r="B9" s="51" t="s">
        <v>3460</v>
      </c>
      <c r="C9" s="51" t="s">
        <v>3446</v>
      </c>
      <c r="D9" s="51" t="s">
        <v>3428</v>
      </c>
      <c r="E9" s="51" t="s">
        <v>3461</v>
      </c>
      <c r="F9" s="51" t="s">
        <v>3430</v>
      </c>
      <c r="G9" s="51" t="s">
        <v>3462</v>
      </c>
      <c r="H9" s="51" t="s">
        <v>63</v>
      </c>
      <c r="I9" s="51">
        <v>1888</v>
      </c>
      <c r="J9" s="51"/>
      <c r="K9" s="51" t="s">
        <v>3432</v>
      </c>
      <c r="L9" s="52">
        <v>25</v>
      </c>
      <c r="M9" s="52">
        <v>45</v>
      </c>
      <c r="N9" s="52">
        <f t="shared" si="0"/>
        <v>45</v>
      </c>
      <c r="O9" s="51" t="s">
        <v>27</v>
      </c>
      <c r="P9" s="51" t="s">
        <v>3463</v>
      </c>
      <c r="Q9" s="51" t="s">
        <v>3464</v>
      </c>
    </row>
    <row r="10" spans="1:17" ht="48" customHeight="1" x14ac:dyDescent="0.3">
      <c r="A10" s="51" t="s">
        <v>3465</v>
      </c>
      <c r="B10" s="51" t="s">
        <v>3466</v>
      </c>
      <c r="C10" s="51" t="s">
        <v>3427</v>
      </c>
      <c r="D10" s="51" t="s">
        <v>3428</v>
      </c>
      <c r="E10" s="51" t="s">
        <v>3467</v>
      </c>
      <c r="F10" s="51" t="s">
        <v>3468</v>
      </c>
      <c r="G10" s="51" t="s">
        <v>3469</v>
      </c>
      <c r="H10" s="51" t="s">
        <v>63</v>
      </c>
      <c r="I10" s="51"/>
      <c r="J10" s="51"/>
      <c r="K10" s="51" t="s">
        <v>3432</v>
      </c>
      <c r="L10" s="52">
        <v>15</v>
      </c>
      <c r="M10" s="52">
        <v>25</v>
      </c>
      <c r="N10" s="52">
        <f t="shared" si="0"/>
        <v>25</v>
      </c>
      <c r="O10" s="51" t="s">
        <v>27</v>
      </c>
      <c r="P10" s="51" t="s">
        <v>3470</v>
      </c>
      <c r="Q10" s="51" t="s">
        <v>3471</v>
      </c>
    </row>
    <row r="11" spans="1:17" ht="48" customHeight="1" x14ac:dyDescent="0.3">
      <c r="A11" s="51" t="s">
        <v>3472</v>
      </c>
      <c r="B11" s="51" t="s">
        <v>3473</v>
      </c>
      <c r="C11" s="51" t="s">
        <v>3446</v>
      </c>
      <c r="D11" s="51" t="s">
        <v>3446</v>
      </c>
      <c r="E11" s="51" t="s">
        <v>3474</v>
      </c>
      <c r="F11" s="51" t="s">
        <v>3430</v>
      </c>
      <c r="G11" s="51" t="s">
        <v>3475</v>
      </c>
      <c r="H11" s="51" t="s">
        <v>63</v>
      </c>
      <c r="I11" s="51">
        <v>1903</v>
      </c>
      <c r="J11" s="51"/>
      <c r="K11" s="51" t="s">
        <v>3450</v>
      </c>
      <c r="L11" s="52">
        <v>35</v>
      </c>
      <c r="M11" s="52">
        <v>60</v>
      </c>
      <c r="N11" s="52">
        <f t="shared" si="0"/>
        <v>60</v>
      </c>
      <c r="O11" s="51" t="s">
        <v>27</v>
      </c>
      <c r="P11" s="51" t="s">
        <v>3476</v>
      </c>
      <c r="Q11" s="51" t="s">
        <v>3477</v>
      </c>
    </row>
    <row r="12" spans="1:17" ht="48" customHeight="1" x14ac:dyDescent="0.3">
      <c r="A12" s="51" t="s">
        <v>3478</v>
      </c>
      <c r="B12" s="51" t="s">
        <v>3479</v>
      </c>
      <c r="C12" s="51" t="s">
        <v>3480</v>
      </c>
      <c r="D12" s="51" t="s">
        <v>3481</v>
      </c>
      <c r="E12" s="51" t="s">
        <v>3482</v>
      </c>
      <c r="F12" s="51" t="s">
        <v>3430</v>
      </c>
      <c r="G12" s="51" t="s">
        <v>3483</v>
      </c>
      <c r="H12" s="51" t="s">
        <v>63</v>
      </c>
      <c r="I12" s="51">
        <v>1912</v>
      </c>
      <c r="J12" s="51"/>
      <c r="K12" s="51" t="s">
        <v>3484</v>
      </c>
      <c r="L12" s="52">
        <v>25</v>
      </c>
      <c r="M12" s="52">
        <v>45</v>
      </c>
      <c r="N12" s="52">
        <f t="shared" si="0"/>
        <v>45</v>
      </c>
      <c r="O12" s="51" t="s">
        <v>27</v>
      </c>
      <c r="P12" s="51" t="s">
        <v>3485</v>
      </c>
      <c r="Q12" s="51" t="s">
        <v>3486</v>
      </c>
    </row>
    <row r="13" spans="1:17" ht="48" customHeight="1" x14ac:dyDescent="0.3">
      <c r="A13" s="51" t="s">
        <v>3487</v>
      </c>
      <c r="B13" s="51" t="s">
        <v>3488</v>
      </c>
      <c r="C13" s="51" t="s">
        <v>3446</v>
      </c>
      <c r="D13" s="51" t="s">
        <v>3446</v>
      </c>
      <c r="E13" s="51" t="s">
        <v>3489</v>
      </c>
      <c r="F13" s="51" t="s">
        <v>3430</v>
      </c>
      <c r="G13" s="51" t="s">
        <v>3490</v>
      </c>
      <c r="H13" s="51" t="s">
        <v>63</v>
      </c>
      <c r="I13" s="51">
        <v>1911</v>
      </c>
      <c r="J13" s="51"/>
      <c r="K13" s="51" t="s">
        <v>3450</v>
      </c>
      <c r="L13" s="52">
        <v>15</v>
      </c>
      <c r="M13" s="52">
        <v>25</v>
      </c>
      <c r="N13" s="52">
        <f t="shared" si="0"/>
        <v>25</v>
      </c>
      <c r="O13" s="51" t="s">
        <v>27</v>
      </c>
      <c r="P13" s="51" t="s">
        <v>3491</v>
      </c>
      <c r="Q13" s="51" t="s">
        <v>3492</v>
      </c>
    </row>
    <row r="14" spans="1:17" x14ac:dyDescent="0.3">
      <c r="A14" s="33"/>
      <c r="B14" s="33"/>
      <c r="C14" s="33"/>
      <c r="D14" s="33"/>
      <c r="E14" s="33"/>
      <c r="F14" s="33"/>
      <c r="G14" s="33"/>
      <c r="H14" s="33"/>
      <c r="I14" s="33"/>
      <c r="J14" s="33"/>
      <c r="K14" s="33"/>
      <c r="L14" s="48"/>
      <c r="M14" s="48"/>
      <c r="N14" s="48"/>
      <c r="O14" s="33"/>
      <c r="P14" s="33"/>
      <c r="Q14" s="33"/>
    </row>
    <row r="15" spans="1:17" x14ac:dyDescent="0.3">
      <c r="A15" s="33"/>
      <c r="B15" s="33"/>
      <c r="C15" s="33"/>
      <c r="D15" s="33"/>
      <c r="E15" s="33"/>
      <c r="F15" s="33"/>
      <c r="G15" s="33"/>
      <c r="H15" s="33"/>
      <c r="I15" s="33"/>
      <c r="J15" s="33"/>
      <c r="K15" s="33"/>
      <c r="L15" s="48"/>
      <c r="M15" s="49" t="s">
        <v>2547</v>
      </c>
      <c r="N15" s="49">
        <f>SUM(N5:N13)</f>
        <v>340</v>
      </c>
      <c r="O15" s="33"/>
      <c r="P15" s="50" t="s">
        <v>3493</v>
      </c>
      <c r="Q15" s="50">
        <f>COUNTA(A5:A13)</f>
        <v>9</v>
      </c>
    </row>
  </sheetData>
  <mergeCells count="2">
    <mergeCell ref="A1:Q1"/>
    <mergeCell ref="A2:Q2"/>
  </mergeCells>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7E0A-216C-41E8-B406-8CC59E956D9A}">
  <dimension ref="A1:M17"/>
  <sheetViews>
    <sheetView showGridLines="0" workbookViewId="0">
      <selection activeCell="C8" sqref="C8"/>
    </sheetView>
  </sheetViews>
  <sheetFormatPr baseColWidth="10" defaultRowHeight="14.4" x14ac:dyDescent="0.3"/>
  <cols>
    <col min="1" max="1" width="13" customWidth="1"/>
    <col min="2" max="2" width="19.44140625" customWidth="1"/>
    <col min="3" max="3" width="48.109375" customWidth="1"/>
    <col min="4" max="12" width="14.77734375" customWidth="1"/>
    <col min="13" max="13" width="23.109375" customWidth="1"/>
  </cols>
  <sheetData>
    <row r="1" spans="1:13" ht="30" customHeight="1" x14ac:dyDescent="0.45">
      <c r="A1" s="96" t="s">
        <v>3498</v>
      </c>
      <c r="B1" s="96"/>
      <c r="C1" s="96"/>
      <c r="D1" s="96"/>
      <c r="E1" s="96"/>
      <c r="F1" s="96"/>
      <c r="G1" s="96"/>
      <c r="H1" s="96"/>
      <c r="I1" s="96"/>
      <c r="J1" s="96"/>
      <c r="K1" s="96"/>
      <c r="L1" s="96"/>
      <c r="M1" s="96"/>
    </row>
    <row r="2" spans="1:13" x14ac:dyDescent="0.3">
      <c r="A2" s="97" t="s">
        <v>3499</v>
      </c>
      <c r="B2" s="97"/>
      <c r="C2" s="97"/>
      <c r="D2" s="97"/>
      <c r="E2" s="97"/>
      <c r="F2" s="97"/>
      <c r="G2" s="97"/>
      <c r="H2" s="97"/>
      <c r="I2" s="97"/>
      <c r="J2" s="97"/>
      <c r="K2" s="97"/>
      <c r="L2" s="97"/>
      <c r="M2" s="97"/>
    </row>
    <row r="3" spans="1:13" x14ac:dyDescent="0.3">
      <c r="A3" s="75" t="s">
        <v>3500</v>
      </c>
      <c r="B3" s="75"/>
      <c r="C3" s="75" t="s">
        <v>2158</v>
      </c>
      <c r="D3" s="75"/>
      <c r="E3" s="75" t="s">
        <v>3286</v>
      </c>
      <c r="F3" s="75"/>
      <c r="G3" s="75" t="s">
        <v>2403</v>
      </c>
      <c r="H3" s="75"/>
      <c r="I3" s="75" t="s">
        <v>3494</v>
      </c>
      <c r="J3" s="75"/>
      <c r="K3" s="75"/>
      <c r="L3" s="75"/>
      <c r="M3" s="75"/>
    </row>
    <row r="4" spans="1:13" ht="18" x14ac:dyDescent="0.35">
      <c r="A4" s="98">
        <f>COUNTA(Münzen!A5:A13)</f>
        <v>9</v>
      </c>
      <c r="B4" s="98"/>
      <c r="C4" s="99">
        <f>SUM(Münzen!N5:N13)</f>
        <v>340</v>
      </c>
      <c r="D4" s="99"/>
      <c r="E4" s="99">
        <f>SUM(I7:I15)</f>
        <v>352</v>
      </c>
      <c r="F4" s="99"/>
      <c r="G4" s="99">
        <f>E4-C4</f>
        <v>12</v>
      </c>
      <c r="H4" s="99"/>
      <c r="I4" s="98">
        <f>COUNTIF(M7:M15,"Identifikation prüfen")</f>
        <v>5</v>
      </c>
      <c r="J4" s="98"/>
      <c r="K4" s="98"/>
      <c r="L4" s="98"/>
      <c r="M4" s="98"/>
    </row>
    <row r="5" spans="1:13" x14ac:dyDescent="0.3">
      <c r="A5" s="32"/>
      <c r="B5" s="32"/>
      <c r="C5" s="32"/>
      <c r="D5" s="32"/>
      <c r="E5" s="32"/>
      <c r="F5" s="32"/>
      <c r="G5" s="32"/>
      <c r="H5" s="32"/>
      <c r="I5" s="32"/>
      <c r="J5" s="32"/>
      <c r="K5" s="32"/>
      <c r="L5" s="32"/>
      <c r="M5" s="32"/>
    </row>
    <row r="6" spans="1:13" x14ac:dyDescent="0.3">
      <c r="A6" s="32" t="s">
        <v>2163</v>
      </c>
      <c r="B6" s="32" t="s">
        <v>0</v>
      </c>
      <c r="C6" s="32" t="s">
        <v>3415</v>
      </c>
      <c r="D6" s="32" t="s">
        <v>2164</v>
      </c>
      <c r="E6" s="32" t="s">
        <v>2165</v>
      </c>
      <c r="F6" s="32" t="s">
        <v>2166</v>
      </c>
      <c r="G6" s="32" t="s">
        <v>2167</v>
      </c>
      <c r="H6" s="32" t="s">
        <v>2168</v>
      </c>
      <c r="I6" s="32" t="s">
        <v>2169</v>
      </c>
      <c r="J6" s="32" t="s">
        <v>2170</v>
      </c>
      <c r="K6" s="32" t="s">
        <v>2171</v>
      </c>
      <c r="L6" s="32" t="s">
        <v>2172</v>
      </c>
      <c r="M6" s="32" t="s">
        <v>2173</v>
      </c>
    </row>
    <row r="7" spans="1:13" x14ac:dyDescent="0.3">
      <c r="A7" s="32">
        <v>5</v>
      </c>
      <c r="B7" s="32" t="str">
        <f>Münzen!A5</f>
        <v>MN-2026-0001</v>
      </c>
      <c r="C7" s="32" t="str">
        <f>Münzen!B5</f>
        <v>2 Mark Wilhelm II. Deutscher Kaiser König v. Preußen 1913</v>
      </c>
      <c r="D7" s="58">
        <f>Münzen!L5</f>
        <v>15</v>
      </c>
      <c r="E7" s="58">
        <f>Münzen!M5</f>
        <v>25</v>
      </c>
      <c r="F7" s="58">
        <f>Münzen!N5</f>
        <v>25</v>
      </c>
      <c r="G7" s="58">
        <v>30</v>
      </c>
      <c r="H7" s="58">
        <v>45</v>
      </c>
      <c r="I7" s="58">
        <v>40</v>
      </c>
      <c r="J7" s="58">
        <f t="shared" ref="J7:J15" si="0">G7-D7</f>
        <v>15</v>
      </c>
      <c r="K7" s="58">
        <f t="shared" ref="K7:K15" si="1">H7-E7</f>
        <v>20</v>
      </c>
      <c r="L7" s="58">
        <f t="shared" ref="L7:L15" si="2">I7-F7</f>
        <v>15</v>
      </c>
      <c r="M7" s="32" t="s">
        <v>2406</v>
      </c>
    </row>
    <row r="8" spans="1:13" x14ac:dyDescent="0.3">
      <c r="A8" s="32">
        <v>6</v>
      </c>
      <c r="B8" s="32" t="str">
        <f>Münzen!A6</f>
        <v>MN-2026-0002</v>
      </c>
      <c r="C8" s="32" t="str">
        <f>Münzen!B6</f>
        <v>3 Mark Friedrich II. Großherzog von Baden 1906</v>
      </c>
      <c r="D8" s="58">
        <f>Münzen!L6</f>
        <v>30</v>
      </c>
      <c r="E8" s="58">
        <f>Münzen!M6</f>
        <v>50</v>
      </c>
      <c r="F8" s="58">
        <f>Münzen!N6</f>
        <v>50</v>
      </c>
      <c r="G8" s="58">
        <v>30</v>
      </c>
      <c r="H8" s="58">
        <v>60</v>
      </c>
      <c r="I8" s="58">
        <v>50</v>
      </c>
      <c r="J8" s="58">
        <f t="shared" si="0"/>
        <v>0</v>
      </c>
      <c r="K8" s="58">
        <f t="shared" si="1"/>
        <v>10</v>
      </c>
      <c r="L8" s="58">
        <f t="shared" si="2"/>
        <v>0</v>
      </c>
      <c r="M8" s="32" t="s">
        <v>3494</v>
      </c>
    </row>
    <row r="9" spans="1:13" x14ac:dyDescent="0.3">
      <c r="A9" s="32">
        <v>7</v>
      </c>
      <c r="B9" s="32" t="str">
        <f>Münzen!A7</f>
        <v>MN-2026-0003</v>
      </c>
      <c r="C9" s="32" t="str">
        <f>Münzen!B7</f>
        <v>2 Mark Deutsches Reich 1888 (Wilhelm II. / Reichsadler)</v>
      </c>
      <c r="D9" s="58">
        <f>Münzen!L7</f>
        <v>18</v>
      </c>
      <c r="E9" s="58">
        <f>Münzen!M7</f>
        <v>30</v>
      </c>
      <c r="F9" s="58">
        <f>Münzen!N7</f>
        <v>30</v>
      </c>
      <c r="G9" s="58">
        <v>28</v>
      </c>
      <c r="H9" s="58">
        <v>40</v>
      </c>
      <c r="I9" s="58">
        <v>34</v>
      </c>
      <c r="J9" s="58">
        <f t="shared" si="0"/>
        <v>10</v>
      </c>
      <c r="K9" s="58">
        <f t="shared" si="1"/>
        <v>10</v>
      </c>
      <c r="L9" s="58">
        <f t="shared" si="2"/>
        <v>4</v>
      </c>
      <c r="M9" s="32" t="s">
        <v>2406</v>
      </c>
    </row>
    <row r="10" spans="1:13" x14ac:dyDescent="0.3">
      <c r="A10" s="32">
        <v>8</v>
      </c>
      <c r="B10" s="32" t="str">
        <f>Münzen!A8</f>
        <v>MN-2026-0004</v>
      </c>
      <c r="C10" s="32" t="str">
        <f>Münzen!B8</f>
        <v>3 Mark Deutsches Reich 1909 (Reichsadler)</v>
      </c>
      <c r="D10" s="58">
        <f>Münzen!L8</f>
        <v>20</v>
      </c>
      <c r="E10" s="58">
        <f>Münzen!M8</f>
        <v>35</v>
      </c>
      <c r="F10" s="58">
        <f>Münzen!N8</f>
        <v>35</v>
      </c>
      <c r="G10" s="58">
        <v>25</v>
      </c>
      <c r="H10" s="58">
        <v>45</v>
      </c>
      <c r="I10" s="58">
        <v>35</v>
      </c>
      <c r="J10" s="58">
        <f t="shared" si="0"/>
        <v>5</v>
      </c>
      <c r="K10" s="58">
        <f t="shared" si="1"/>
        <v>10</v>
      </c>
      <c r="L10" s="58">
        <f t="shared" si="2"/>
        <v>0</v>
      </c>
      <c r="M10" s="32" t="s">
        <v>3494</v>
      </c>
    </row>
    <row r="11" spans="1:13" x14ac:dyDescent="0.3">
      <c r="A11" s="32">
        <v>9</v>
      </c>
      <c r="B11" s="32" t="str">
        <f>Münzen!A9</f>
        <v>MN-2026-0005</v>
      </c>
      <c r="C11" s="32" t="str">
        <f>Münzen!B9</f>
        <v>3 Mark Friedrich III. 9. März - 15. Juni 1888 (Gedächtnismünze)</v>
      </c>
      <c r="D11" s="58">
        <f>Münzen!L9</f>
        <v>25</v>
      </c>
      <c r="E11" s="58">
        <f>Münzen!M9</f>
        <v>45</v>
      </c>
      <c r="F11" s="58">
        <f>Münzen!N9</f>
        <v>45</v>
      </c>
      <c r="G11" s="58">
        <v>35</v>
      </c>
      <c r="H11" s="58">
        <v>60</v>
      </c>
      <c r="I11" s="58">
        <v>45</v>
      </c>
      <c r="J11" s="58">
        <f t="shared" si="0"/>
        <v>10</v>
      </c>
      <c r="K11" s="58">
        <f t="shared" si="1"/>
        <v>15</v>
      </c>
      <c r="L11" s="58">
        <f t="shared" si="2"/>
        <v>0</v>
      </c>
      <c r="M11" s="32" t="s">
        <v>3494</v>
      </c>
    </row>
    <row r="12" spans="1:13" x14ac:dyDescent="0.3">
      <c r="A12" s="32">
        <v>10</v>
      </c>
      <c r="B12" s="32" t="str">
        <f>Münzen!A10</f>
        <v>MN-2026-0006</v>
      </c>
      <c r="C12" s="32" t="str">
        <f>Münzen!B10</f>
        <v>2 Mark Wilhelm II. Deutscher Kaiser König v. Preußen (Kopf nach rechts)</v>
      </c>
      <c r="D12" s="58">
        <f>Münzen!L10</f>
        <v>15</v>
      </c>
      <c r="E12" s="58">
        <f>Münzen!M10</f>
        <v>25</v>
      </c>
      <c r="F12" s="58">
        <f>Münzen!N10</f>
        <v>25</v>
      </c>
      <c r="G12" s="58">
        <v>25</v>
      </c>
      <c r="H12" s="58">
        <v>40</v>
      </c>
      <c r="I12" s="58">
        <v>30</v>
      </c>
      <c r="J12" s="58">
        <f t="shared" si="0"/>
        <v>10</v>
      </c>
      <c r="K12" s="58">
        <f t="shared" si="1"/>
        <v>15</v>
      </c>
      <c r="L12" s="58">
        <f t="shared" si="2"/>
        <v>5</v>
      </c>
      <c r="M12" s="32" t="s">
        <v>3494</v>
      </c>
    </row>
    <row r="13" spans="1:13" x14ac:dyDescent="0.3">
      <c r="A13" s="32">
        <v>11</v>
      </c>
      <c r="B13" s="32" t="str">
        <f>Münzen!A11</f>
        <v>MN-2026-0007</v>
      </c>
      <c r="C13" s="32" t="str">
        <f>Münzen!B11</f>
        <v>5 Mark Deutsches Reich 1903 (Großer Reichsadler)</v>
      </c>
      <c r="D13" s="58">
        <f>Münzen!L11</f>
        <v>35</v>
      </c>
      <c r="E13" s="58">
        <f>Münzen!M11</f>
        <v>60</v>
      </c>
      <c r="F13" s="58">
        <f>Münzen!N11</f>
        <v>60</v>
      </c>
      <c r="G13" s="58">
        <v>30</v>
      </c>
      <c r="H13" s="58">
        <v>55</v>
      </c>
      <c r="I13" s="58">
        <v>48</v>
      </c>
      <c r="J13" s="58">
        <f t="shared" si="0"/>
        <v>-5</v>
      </c>
      <c r="K13" s="58">
        <f t="shared" si="1"/>
        <v>-5</v>
      </c>
      <c r="L13" s="58">
        <f t="shared" si="2"/>
        <v>-12</v>
      </c>
      <c r="M13" s="32" t="s">
        <v>2405</v>
      </c>
    </row>
    <row r="14" spans="1:13" x14ac:dyDescent="0.3">
      <c r="A14" s="32">
        <v>12</v>
      </c>
      <c r="B14" s="32" t="str">
        <f>Münzen!A12</f>
        <v>MN-2026-0008</v>
      </c>
      <c r="C14" s="32" t="str">
        <f>Münzen!B12</f>
        <v>3 Mark Wilhelm II. König v. Württemberg 1912</v>
      </c>
      <c r="D14" s="58">
        <f>Münzen!L12</f>
        <v>25</v>
      </c>
      <c r="E14" s="58">
        <f>Münzen!M12</f>
        <v>45</v>
      </c>
      <c r="F14" s="58">
        <f>Münzen!N12</f>
        <v>45</v>
      </c>
      <c r="G14" s="58">
        <v>35</v>
      </c>
      <c r="H14" s="58">
        <v>55</v>
      </c>
      <c r="I14" s="58">
        <v>45</v>
      </c>
      <c r="J14" s="58">
        <f t="shared" si="0"/>
        <v>10</v>
      </c>
      <c r="K14" s="58">
        <f t="shared" si="1"/>
        <v>10</v>
      </c>
      <c r="L14" s="58">
        <f t="shared" si="2"/>
        <v>0</v>
      </c>
      <c r="M14" s="32" t="s">
        <v>2162</v>
      </c>
    </row>
    <row r="15" spans="1:13" x14ac:dyDescent="0.3">
      <c r="A15" s="32">
        <v>13</v>
      </c>
      <c r="B15" s="32" t="str">
        <f>Münzen!A13</f>
        <v>MN-2026-0009</v>
      </c>
      <c r="C15" s="32" t="str">
        <f>Münzen!B13</f>
        <v>2 Mark Deutsches Reich 1911 (Reichsadler)</v>
      </c>
      <c r="D15" s="58">
        <f>Münzen!L13</f>
        <v>15</v>
      </c>
      <c r="E15" s="58">
        <f>Münzen!M13</f>
        <v>25</v>
      </c>
      <c r="F15" s="58">
        <f>Münzen!N13</f>
        <v>25</v>
      </c>
      <c r="G15" s="58">
        <v>20</v>
      </c>
      <c r="H15" s="58">
        <v>35</v>
      </c>
      <c r="I15" s="58">
        <v>25</v>
      </c>
      <c r="J15" s="58">
        <f t="shared" si="0"/>
        <v>5</v>
      </c>
      <c r="K15" s="58">
        <f t="shared" si="1"/>
        <v>10</v>
      </c>
      <c r="L15" s="58">
        <f t="shared" si="2"/>
        <v>0</v>
      </c>
      <c r="M15" s="32" t="s">
        <v>3494</v>
      </c>
    </row>
    <row r="16" spans="1:13" x14ac:dyDescent="0.3">
      <c r="A16" s="32"/>
      <c r="B16" s="32"/>
      <c r="C16" s="32"/>
      <c r="D16" s="32"/>
      <c r="E16" s="32"/>
      <c r="F16" s="32"/>
      <c r="G16" s="32"/>
      <c r="H16" s="32"/>
      <c r="I16" s="32"/>
      <c r="J16" s="32"/>
      <c r="K16" s="32"/>
      <c r="L16" s="32"/>
      <c r="M16" s="32"/>
    </row>
    <row r="17" spans="1:13" ht="58.05" customHeight="1" x14ac:dyDescent="0.3">
      <c r="A17" s="76" t="s">
        <v>3501</v>
      </c>
      <c r="B17" s="76"/>
      <c r="C17" s="76"/>
      <c r="D17" s="76"/>
      <c r="E17" s="76"/>
      <c r="F17" s="76"/>
      <c r="G17" s="76"/>
      <c r="H17" s="76"/>
      <c r="I17" s="76"/>
      <c r="J17" s="76"/>
      <c r="K17" s="76"/>
      <c r="L17" s="76"/>
      <c r="M17" s="76"/>
    </row>
  </sheetData>
  <mergeCells count="13">
    <mergeCell ref="A17:M17"/>
    <mergeCell ref="A1:M1"/>
    <mergeCell ref="A2:M2"/>
    <mergeCell ref="A3:B3"/>
    <mergeCell ref="C3:D3"/>
    <mergeCell ref="E3:F3"/>
    <mergeCell ref="G3:H3"/>
    <mergeCell ref="I3:M3"/>
    <mergeCell ref="A4:B4"/>
    <mergeCell ref="C4:D4"/>
    <mergeCell ref="E4:F4"/>
    <mergeCell ref="G4:H4"/>
    <mergeCell ref="I4:M4"/>
  </mergeCells>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34389-C192-4730-9BFE-6977BC458F94}">
  <dimension ref="A1:I130"/>
  <sheetViews>
    <sheetView showGridLines="0" topLeftCell="A125" workbookViewId="0">
      <selection activeCell="C129" sqref="C129:I129"/>
    </sheetView>
  </sheetViews>
  <sheetFormatPr baseColWidth="10" defaultRowHeight="14.4" x14ac:dyDescent="0.3"/>
  <cols>
    <col min="1" max="1" width="16.33203125" customWidth="1"/>
    <col min="2" max="2" width="23.109375" customWidth="1"/>
    <col min="3" max="3" width="19.44140625" customWidth="1"/>
    <col min="4" max="4" width="15.77734375" customWidth="1"/>
    <col min="5" max="5" width="16.6640625" customWidth="1"/>
    <col min="6" max="6" width="35.21875" customWidth="1"/>
    <col min="7" max="7" width="16.6640625" customWidth="1"/>
    <col min="8" max="8" width="31.44140625" customWidth="1"/>
    <col min="9" max="9" width="6.44140625" customWidth="1"/>
  </cols>
  <sheetData>
    <row r="1" spans="1:9" ht="30" customHeight="1" x14ac:dyDescent="0.3">
      <c r="A1" s="100" t="s">
        <v>3282</v>
      </c>
      <c r="B1" s="100"/>
      <c r="C1" s="100"/>
      <c r="D1" s="100"/>
      <c r="E1" s="100"/>
      <c r="F1" s="100"/>
      <c r="G1" s="100"/>
      <c r="H1" s="100"/>
      <c r="I1" s="100"/>
    </row>
    <row r="2" spans="1:9" ht="22.05" customHeight="1" x14ac:dyDescent="0.3">
      <c r="A2" s="101" t="s">
        <v>3283</v>
      </c>
      <c r="B2" s="101"/>
      <c r="C2" s="101"/>
      <c r="D2" s="101"/>
      <c r="E2" s="101"/>
      <c r="F2" s="101"/>
      <c r="G2" s="101"/>
      <c r="H2" s="101"/>
      <c r="I2" s="101"/>
    </row>
    <row r="3" spans="1:9" x14ac:dyDescent="0.3">
      <c r="A3" s="34"/>
      <c r="B3" s="34"/>
      <c r="C3" s="34"/>
      <c r="D3" s="34"/>
      <c r="E3" s="34"/>
      <c r="F3" s="34"/>
      <c r="G3" s="34"/>
      <c r="H3" s="34"/>
      <c r="I3" s="34"/>
    </row>
    <row r="4" spans="1:9" x14ac:dyDescent="0.3">
      <c r="A4" s="102" t="s">
        <v>3284</v>
      </c>
      <c r="B4" s="102"/>
      <c r="C4" s="102" t="s">
        <v>3285</v>
      </c>
      <c r="D4" s="102"/>
      <c r="E4" s="102" t="s">
        <v>3286</v>
      </c>
      <c r="F4" s="102"/>
      <c r="G4" s="102" t="s">
        <v>3287</v>
      </c>
      <c r="H4" s="102"/>
      <c r="I4" s="102"/>
    </row>
    <row r="5" spans="1:9" x14ac:dyDescent="0.3">
      <c r="A5" s="103">
        <v>10</v>
      </c>
      <c r="B5" s="103"/>
      <c r="C5" s="104">
        <v>176</v>
      </c>
      <c r="D5" s="104"/>
      <c r="E5" s="104">
        <v>159</v>
      </c>
      <c r="F5" s="104"/>
      <c r="G5" s="103" t="s">
        <v>3288</v>
      </c>
      <c r="H5" s="103"/>
      <c r="I5" s="103"/>
    </row>
    <row r="6" spans="1:9" x14ac:dyDescent="0.3">
      <c r="A6" s="103"/>
      <c r="B6" s="103"/>
      <c r="C6" s="104"/>
      <c r="D6" s="104"/>
      <c r="E6" s="104"/>
      <c r="F6" s="104"/>
      <c r="G6" s="103"/>
      <c r="H6" s="103"/>
      <c r="I6" s="103"/>
    </row>
    <row r="7" spans="1:9" x14ac:dyDescent="0.3">
      <c r="A7" s="34"/>
      <c r="B7" s="34"/>
      <c r="C7" s="34"/>
      <c r="D7" s="34"/>
      <c r="E7" s="34"/>
      <c r="F7" s="34"/>
      <c r="G7" s="34"/>
      <c r="H7" s="34"/>
      <c r="I7" s="34"/>
    </row>
    <row r="8" spans="1:9" ht="30" customHeight="1" x14ac:dyDescent="0.3">
      <c r="A8" s="35" t="s">
        <v>2399</v>
      </c>
      <c r="B8" s="35" t="s">
        <v>0</v>
      </c>
      <c r="C8" s="35" t="s">
        <v>3289</v>
      </c>
      <c r="D8" s="35" t="s">
        <v>3290</v>
      </c>
      <c r="E8" s="35" t="s">
        <v>2402</v>
      </c>
      <c r="F8" s="35" t="s">
        <v>3291</v>
      </c>
      <c r="G8" s="35" t="s">
        <v>3292</v>
      </c>
      <c r="H8" s="35" t="s">
        <v>3</v>
      </c>
      <c r="I8" s="35" t="s">
        <v>2163</v>
      </c>
    </row>
    <row r="9" spans="1:9" ht="41.4" x14ac:dyDescent="0.3">
      <c r="A9" s="34">
        <v>1</v>
      </c>
      <c r="B9" s="34" t="s">
        <v>1992</v>
      </c>
      <c r="C9" s="34" t="s">
        <v>3293</v>
      </c>
      <c r="D9" s="36">
        <v>22</v>
      </c>
      <c r="E9" s="36">
        <v>22</v>
      </c>
      <c r="F9" s="37" t="s">
        <v>3294</v>
      </c>
      <c r="G9" s="34" t="s">
        <v>3295</v>
      </c>
      <c r="H9" s="34" t="s">
        <v>1390</v>
      </c>
      <c r="I9" s="34">
        <v>269</v>
      </c>
    </row>
    <row r="10" spans="1:9" ht="69" x14ac:dyDescent="0.3">
      <c r="A10" s="38">
        <v>2</v>
      </c>
      <c r="B10" s="38" t="s">
        <v>2933</v>
      </c>
      <c r="C10" s="38" t="s">
        <v>3296</v>
      </c>
      <c r="D10" s="39">
        <v>22</v>
      </c>
      <c r="E10" s="39">
        <v>22</v>
      </c>
      <c r="F10" s="40" t="s">
        <v>3294</v>
      </c>
      <c r="G10" s="38" t="s">
        <v>3297</v>
      </c>
      <c r="H10" s="38" t="s">
        <v>3298</v>
      </c>
      <c r="I10" s="38">
        <v>372</v>
      </c>
    </row>
    <row r="11" spans="1:9" ht="69" x14ac:dyDescent="0.3">
      <c r="A11" s="34">
        <v>3</v>
      </c>
      <c r="B11" s="34" t="s">
        <v>2710</v>
      </c>
      <c r="C11" s="34" t="s">
        <v>3299</v>
      </c>
      <c r="D11" s="36">
        <v>20</v>
      </c>
      <c r="E11" s="36">
        <v>20</v>
      </c>
      <c r="F11" s="37" t="s">
        <v>3294</v>
      </c>
      <c r="G11" s="34" t="s">
        <v>3297</v>
      </c>
      <c r="H11" s="34" t="s">
        <v>3300</v>
      </c>
      <c r="I11" s="34">
        <v>346</v>
      </c>
    </row>
    <row r="12" spans="1:9" ht="41.4" x14ac:dyDescent="0.3">
      <c r="A12" s="38">
        <v>4</v>
      </c>
      <c r="B12" s="38" t="s">
        <v>1005</v>
      </c>
      <c r="C12" s="38" t="s">
        <v>3301</v>
      </c>
      <c r="D12" s="39">
        <v>19</v>
      </c>
      <c r="E12" s="39">
        <v>19</v>
      </c>
      <c r="F12" s="40" t="s">
        <v>3294</v>
      </c>
      <c r="G12" s="38" t="s">
        <v>2015</v>
      </c>
      <c r="H12" s="38" t="s">
        <v>40</v>
      </c>
      <c r="I12" s="38">
        <v>134</v>
      </c>
    </row>
    <row r="13" spans="1:9" ht="55.2" x14ac:dyDescent="0.3">
      <c r="A13" s="34">
        <v>5</v>
      </c>
      <c r="B13" s="34" t="s">
        <v>636</v>
      </c>
      <c r="C13" s="34" t="s">
        <v>3302</v>
      </c>
      <c r="D13" s="36">
        <v>18</v>
      </c>
      <c r="E13" s="36">
        <v>12</v>
      </c>
      <c r="F13" s="41" t="s">
        <v>3303</v>
      </c>
      <c r="G13" s="34" t="s">
        <v>3304</v>
      </c>
      <c r="H13" s="34" t="s">
        <v>639</v>
      </c>
      <c r="I13" s="34">
        <v>85</v>
      </c>
    </row>
    <row r="14" spans="1:9" ht="41.4" x14ac:dyDescent="0.3">
      <c r="A14" s="38">
        <v>6</v>
      </c>
      <c r="B14" s="38" t="s">
        <v>643</v>
      </c>
      <c r="C14" s="38" t="s">
        <v>3305</v>
      </c>
      <c r="D14" s="39">
        <v>18</v>
      </c>
      <c r="E14" s="39">
        <v>12</v>
      </c>
      <c r="F14" s="42" t="s">
        <v>3303</v>
      </c>
      <c r="G14" s="38" t="s">
        <v>3304</v>
      </c>
      <c r="H14" s="38" t="s">
        <v>639</v>
      </c>
      <c r="I14" s="38">
        <v>86</v>
      </c>
    </row>
    <row r="15" spans="1:9" ht="41.4" x14ac:dyDescent="0.3">
      <c r="A15" s="34">
        <v>7</v>
      </c>
      <c r="B15" s="34" t="s">
        <v>2465</v>
      </c>
      <c r="C15" s="34" t="s">
        <v>3306</v>
      </c>
      <c r="D15" s="36">
        <v>15</v>
      </c>
      <c r="E15" s="36">
        <v>12</v>
      </c>
      <c r="F15" s="41" t="s">
        <v>3303</v>
      </c>
      <c r="G15" s="34" t="s">
        <v>3297</v>
      </c>
      <c r="H15" s="34" t="s">
        <v>3307</v>
      </c>
      <c r="I15" s="34">
        <v>315</v>
      </c>
    </row>
    <row r="16" spans="1:9" ht="55.2" x14ac:dyDescent="0.3">
      <c r="A16" s="38">
        <v>8</v>
      </c>
      <c r="B16" s="38" t="s">
        <v>401</v>
      </c>
      <c r="C16" s="38" t="s">
        <v>3308</v>
      </c>
      <c r="D16" s="39">
        <v>14</v>
      </c>
      <c r="E16" s="39">
        <v>14</v>
      </c>
      <c r="F16" s="40" t="s">
        <v>3294</v>
      </c>
      <c r="G16" s="38" t="s">
        <v>3297</v>
      </c>
      <c r="H16" s="38" t="s">
        <v>3307</v>
      </c>
      <c r="I16" s="38">
        <v>52</v>
      </c>
    </row>
    <row r="17" spans="1:9" ht="55.2" x14ac:dyDescent="0.3">
      <c r="A17" s="34">
        <v>9</v>
      </c>
      <c r="B17" s="34" t="s">
        <v>1015</v>
      </c>
      <c r="C17" s="34" t="s">
        <v>3309</v>
      </c>
      <c r="D17" s="36">
        <v>14</v>
      </c>
      <c r="E17" s="36">
        <v>14</v>
      </c>
      <c r="F17" s="37" t="s">
        <v>3294</v>
      </c>
      <c r="G17" s="34" t="s">
        <v>2015</v>
      </c>
      <c r="H17" s="34" t="s">
        <v>1107</v>
      </c>
      <c r="I17" s="34">
        <v>144</v>
      </c>
    </row>
    <row r="18" spans="1:9" ht="41.4" x14ac:dyDescent="0.3">
      <c r="A18" s="43">
        <v>10</v>
      </c>
      <c r="B18" s="43" t="s">
        <v>2535</v>
      </c>
      <c r="C18" s="43" t="s">
        <v>3310</v>
      </c>
      <c r="D18" s="44">
        <v>14</v>
      </c>
      <c r="E18" s="44">
        <v>12</v>
      </c>
      <c r="F18" s="45" t="s">
        <v>3303</v>
      </c>
      <c r="G18" s="43" t="s">
        <v>3297</v>
      </c>
      <c r="H18" s="43" t="s">
        <v>1193</v>
      </c>
      <c r="I18" s="43">
        <v>324</v>
      </c>
    </row>
    <row r="19" spans="1:9" ht="30" customHeight="1" x14ac:dyDescent="0.3">
      <c r="A19" s="111" t="s">
        <v>3377</v>
      </c>
      <c r="B19" s="111"/>
      <c r="C19" s="111"/>
      <c r="D19" s="111"/>
      <c r="E19" s="111"/>
      <c r="F19" s="111"/>
      <c r="G19" s="111"/>
      <c r="H19" s="111"/>
      <c r="I19" s="111"/>
    </row>
    <row r="20" spans="1:9" x14ac:dyDescent="0.3">
      <c r="A20" s="34"/>
      <c r="B20" s="34"/>
      <c r="C20" s="34"/>
      <c r="D20" s="34"/>
      <c r="E20" s="34"/>
      <c r="F20" s="34"/>
      <c r="G20" s="34"/>
      <c r="H20" s="34"/>
      <c r="I20" s="34"/>
    </row>
    <row r="21" spans="1:9" ht="25.05" customHeight="1" x14ac:dyDescent="0.3">
      <c r="A21" s="109" t="s">
        <v>3378</v>
      </c>
      <c r="B21" s="109"/>
      <c r="C21" s="109"/>
      <c r="D21" s="109"/>
      <c r="E21" s="109"/>
      <c r="F21" s="109"/>
      <c r="G21" s="109"/>
      <c r="H21" s="109"/>
      <c r="I21" s="109"/>
    </row>
    <row r="22" spans="1:9" ht="34.049999999999997" customHeight="1" x14ac:dyDescent="0.3">
      <c r="A22" s="46" t="s">
        <v>3311</v>
      </c>
      <c r="B22" s="34" t="s">
        <v>3312</v>
      </c>
      <c r="C22" s="46" t="s">
        <v>3313</v>
      </c>
      <c r="D22" s="34" t="s">
        <v>3314</v>
      </c>
      <c r="E22" s="46" t="s">
        <v>3315</v>
      </c>
      <c r="F22" s="34" t="s">
        <v>3316</v>
      </c>
      <c r="G22" s="47" t="s">
        <v>3379</v>
      </c>
      <c r="H22" s="110" t="s">
        <v>3380</v>
      </c>
      <c r="I22" s="110"/>
    </row>
    <row r="23" spans="1:9" ht="34.049999999999997" customHeight="1" x14ac:dyDescent="0.3">
      <c r="A23" s="46" t="s">
        <v>3</v>
      </c>
      <c r="B23" s="34" t="s">
        <v>1390</v>
      </c>
      <c r="C23" s="46" t="s">
        <v>3317</v>
      </c>
      <c r="D23" s="34">
        <v>1926</v>
      </c>
      <c r="E23" s="46" t="s">
        <v>3292</v>
      </c>
      <c r="F23" s="34" t="s">
        <v>3295</v>
      </c>
      <c r="G23" s="46" t="s">
        <v>3318</v>
      </c>
      <c r="H23" s="108" t="s">
        <v>3319</v>
      </c>
      <c r="I23" s="108"/>
    </row>
    <row r="24" spans="1:9" ht="34.049999999999997" customHeight="1" x14ac:dyDescent="0.3">
      <c r="A24" s="46" t="s">
        <v>2</v>
      </c>
      <c r="B24" s="108" t="s">
        <v>3320</v>
      </c>
      <c r="C24" s="108"/>
      <c r="D24" s="108"/>
      <c r="E24" s="108"/>
      <c r="F24" s="108"/>
      <c r="G24" s="108"/>
      <c r="H24" s="108"/>
      <c r="I24" s="108"/>
    </row>
    <row r="25" spans="1:9" ht="42" customHeight="1" x14ac:dyDescent="0.3">
      <c r="A25" s="107" t="s">
        <v>3321</v>
      </c>
      <c r="B25" s="107"/>
      <c r="C25" s="108" t="s">
        <v>3322</v>
      </c>
      <c r="D25" s="108"/>
      <c r="E25" s="108"/>
      <c r="F25" s="108"/>
      <c r="G25" s="108"/>
      <c r="H25" s="108"/>
      <c r="I25" s="108"/>
    </row>
    <row r="26" spans="1:9" ht="34.049999999999997" customHeight="1" x14ac:dyDescent="0.3">
      <c r="A26" s="107" t="s">
        <v>3323</v>
      </c>
      <c r="B26" s="107"/>
      <c r="C26" s="108" t="s">
        <v>1999</v>
      </c>
      <c r="D26" s="108"/>
      <c r="E26" s="108"/>
      <c r="F26" s="108"/>
      <c r="G26" s="108"/>
      <c r="H26" s="108"/>
      <c r="I26" s="108"/>
    </row>
    <row r="27" spans="1:9" ht="64.95" customHeight="1" x14ac:dyDescent="0.3">
      <c r="A27" s="107" t="s">
        <v>3324</v>
      </c>
      <c r="B27" s="107"/>
      <c r="C27" s="108" t="s">
        <v>3325</v>
      </c>
      <c r="D27" s="108"/>
      <c r="E27" s="108"/>
      <c r="F27" s="108"/>
      <c r="G27" s="108"/>
      <c r="H27" s="108"/>
      <c r="I27" s="108"/>
    </row>
    <row r="28" spans="1:9" ht="190.05" customHeight="1" x14ac:dyDescent="0.3">
      <c r="A28" s="105" t="s">
        <v>3326</v>
      </c>
      <c r="B28" s="105"/>
      <c r="C28" s="106" t="s">
        <v>3381</v>
      </c>
      <c r="D28" s="106"/>
      <c r="E28" s="106"/>
      <c r="F28" s="106"/>
      <c r="G28" s="106"/>
      <c r="H28" s="106"/>
      <c r="I28" s="106"/>
    </row>
    <row r="29" spans="1:9" ht="75" customHeight="1" x14ac:dyDescent="0.3">
      <c r="A29" s="107" t="s">
        <v>3327</v>
      </c>
      <c r="B29" s="107"/>
      <c r="C29" s="108" t="s">
        <v>3328</v>
      </c>
      <c r="D29" s="108"/>
      <c r="E29" s="108"/>
      <c r="F29" s="108"/>
      <c r="G29" s="108"/>
      <c r="H29" s="108"/>
      <c r="I29" s="108"/>
    </row>
    <row r="30" spans="1:9" ht="31.95" customHeight="1" x14ac:dyDescent="0.3">
      <c r="A30" s="107" t="s">
        <v>3329</v>
      </c>
      <c r="B30" s="107"/>
      <c r="C30" s="108" t="s">
        <v>3330</v>
      </c>
      <c r="D30" s="108"/>
      <c r="E30" s="108"/>
      <c r="F30" s="108"/>
      <c r="G30" s="108"/>
      <c r="H30" s="108"/>
      <c r="I30" s="108"/>
    </row>
    <row r="31" spans="1:9" ht="10.050000000000001" customHeight="1" x14ac:dyDescent="0.3">
      <c r="A31" s="34"/>
      <c r="B31" s="34"/>
      <c r="C31" s="34"/>
      <c r="D31" s="34"/>
      <c r="E31" s="34"/>
      <c r="F31" s="34"/>
      <c r="G31" s="34"/>
      <c r="H31" s="34"/>
      <c r="I31" s="34"/>
    </row>
    <row r="32" spans="1:9" ht="25.05" customHeight="1" x14ac:dyDescent="0.3">
      <c r="A32" s="109" t="s">
        <v>3382</v>
      </c>
      <c r="B32" s="109"/>
      <c r="C32" s="109"/>
      <c r="D32" s="109"/>
      <c r="E32" s="109"/>
      <c r="F32" s="109"/>
      <c r="G32" s="109"/>
      <c r="H32" s="109"/>
      <c r="I32" s="109"/>
    </row>
    <row r="33" spans="1:9" ht="34.049999999999997" customHeight="1" x14ac:dyDescent="0.3">
      <c r="A33" s="46" t="s">
        <v>3311</v>
      </c>
      <c r="B33" s="34" t="s">
        <v>3312</v>
      </c>
      <c r="C33" s="46" t="s">
        <v>3313</v>
      </c>
      <c r="D33" s="34" t="s">
        <v>3314</v>
      </c>
      <c r="E33" s="46" t="s">
        <v>3315</v>
      </c>
      <c r="F33" s="34" t="s">
        <v>3331</v>
      </c>
      <c r="G33" s="47" t="s">
        <v>3379</v>
      </c>
      <c r="H33" s="110" t="s">
        <v>3383</v>
      </c>
      <c r="I33" s="110"/>
    </row>
    <row r="34" spans="1:9" ht="34.049999999999997" customHeight="1" x14ac:dyDescent="0.3">
      <c r="A34" s="46" t="s">
        <v>3</v>
      </c>
      <c r="B34" s="34" t="s">
        <v>3298</v>
      </c>
      <c r="C34" s="46" t="s">
        <v>3317</v>
      </c>
      <c r="D34" s="34" t="s">
        <v>3332</v>
      </c>
      <c r="E34" s="46" t="s">
        <v>3292</v>
      </c>
      <c r="F34" s="34" t="s">
        <v>3297</v>
      </c>
      <c r="G34" s="46" t="s">
        <v>3318</v>
      </c>
      <c r="H34" s="108" t="s">
        <v>3319</v>
      </c>
      <c r="I34" s="108"/>
    </row>
    <row r="35" spans="1:9" ht="34.049999999999997" customHeight="1" x14ac:dyDescent="0.3">
      <c r="A35" s="46" t="s">
        <v>2</v>
      </c>
      <c r="B35" s="108" t="s">
        <v>3333</v>
      </c>
      <c r="C35" s="108"/>
      <c r="D35" s="108"/>
      <c r="E35" s="108"/>
      <c r="F35" s="108"/>
      <c r="G35" s="108"/>
      <c r="H35" s="108"/>
      <c r="I35" s="108"/>
    </row>
    <row r="36" spans="1:9" ht="42" customHeight="1" x14ac:dyDescent="0.3">
      <c r="A36" s="107" t="s">
        <v>3321</v>
      </c>
      <c r="B36" s="107"/>
      <c r="C36" s="108" t="s">
        <v>3334</v>
      </c>
      <c r="D36" s="108"/>
      <c r="E36" s="108"/>
      <c r="F36" s="108"/>
      <c r="G36" s="108"/>
      <c r="H36" s="108"/>
      <c r="I36" s="108"/>
    </row>
    <row r="37" spans="1:9" ht="34.049999999999997" customHeight="1" x14ac:dyDescent="0.3">
      <c r="A37" s="107" t="s">
        <v>3323</v>
      </c>
      <c r="B37" s="107"/>
      <c r="C37" s="108" t="s">
        <v>3410</v>
      </c>
      <c r="D37" s="108"/>
      <c r="E37" s="108"/>
      <c r="F37" s="108"/>
      <c r="G37" s="108"/>
      <c r="H37" s="108"/>
      <c r="I37" s="108"/>
    </row>
    <row r="38" spans="1:9" ht="64.95" customHeight="1" x14ac:dyDescent="0.3">
      <c r="A38" s="107" t="s">
        <v>3324</v>
      </c>
      <c r="B38" s="107"/>
      <c r="C38" s="108" t="s">
        <v>3335</v>
      </c>
      <c r="D38" s="108"/>
      <c r="E38" s="108"/>
      <c r="F38" s="108"/>
      <c r="G38" s="108"/>
      <c r="H38" s="108"/>
      <c r="I38" s="108"/>
    </row>
    <row r="39" spans="1:9" ht="190.05" customHeight="1" x14ac:dyDescent="0.3">
      <c r="A39" s="105" t="s">
        <v>3326</v>
      </c>
      <c r="B39" s="105"/>
      <c r="C39" s="106" t="s">
        <v>3384</v>
      </c>
      <c r="D39" s="106"/>
      <c r="E39" s="106"/>
      <c r="F39" s="106"/>
      <c r="G39" s="106"/>
      <c r="H39" s="106"/>
      <c r="I39" s="106"/>
    </row>
    <row r="40" spans="1:9" ht="75" customHeight="1" x14ac:dyDescent="0.3">
      <c r="A40" s="107" t="s">
        <v>3327</v>
      </c>
      <c r="B40" s="107"/>
      <c r="C40" s="108" t="s">
        <v>3328</v>
      </c>
      <c r="D40" s="108"/>
      <c r="E40" s="108"/>
      <c r="F40" s="108"/>
      <c r="G40" s="108"/>
      <c r="H40" s="108"/>
      <c r="I40" s="108"/>
    </row>
    <row r="41" spans="1:9" ht="31.95" customHeight="1" x14ac:dyDescent="0.3">
      <c r="A41" s="107" t="s">
        <v>3329</v>
      </c>
      <c r="B41" s="107"/>
      <c r="C41" s="108" t="s">
        <v>3330</v>
      </c>
      <c r="D41" s="108"/>
      <c r="E41" s="108"/>
      <c r="F41" s="108"/>
      <c r="G41" s="108"/>
      <c r="H41" s="108"/>
      <c r="I41" s="108"/>
    </row>
    <row r="42" spans="1:9" ht="10.050000000000001" customHeight="1" x14ac:dyDescent="0.3">
      <c r="A42" s="34"/>
      <c r="B42" s="34"/>
      <c r="C42" s="34"/>
      <c r="D42" s="34"/>
      <c r="E42" s="34"/>
      <c r="F42" s="34"/>
      <c r="G42" s="34"/>
      <c r="H42" s="34"/>
      <c r="I42" s="34"/>
    </row>
    <row r="43" spans="1:9" ht="25.05" customHeight="1" x14ac:dyDescent="0.3">
      <c r="A43" s="109" t="s">
        <v>3385</v>
      </c>
      <c r="B43" s="109"/>
      <c r="C43" s="109"/>
      <c r="D43" s="109"/>
      <c r="E43" s="109"/>
      <c r="F43" s="109"/>
      <c r="G43" s="109"/>
      <c r="H43" s="109"/>
      <c r="I43" s="109"/>
    </row>
    <row r="44" spans="1:9" ht="34.049999999999997" customHeight="1" x14ac:dyDescent="0.3">
      <c r="A44" s="46" t="s">
        <v>3311</v>
      </c>
      <c r="B44" s="34" t="s">
        <v>3336</v>
      </c>
      <c r="C44" s="46" t="s">
        <v>3313</v>
      </c>
      <c r="D44" s="34" t="s">
        <v>3337</v>
      </c>
      <c r="E44" s="46" t="s">
        <v>3315</v>
      </c>
      <c r="F44" s="34" t="s">
        <v>3338</v>
      </c>
      <c r="G44" s="47" t="s">
        <v>3379</v>
      </c>
      <c r="H44" s="110" t="s">
        <v>3386</v>
      </c>
      <c r="I44" s="110"/>
    </row>
    <row r="45" spans="1:9" ht="34.049999999999997" customHeight="1" x14ac:dyDescent="0.3">
      <c r="A45" s="46" t="s">
        <v>3</v>
      </c>
      <c r="B45" s="34" t="s">
        <v>3300</v>
      </c>
      <c r="C45" s="46" t="s">
        <v>3317</v>
      </c>
      <c r="D45" s="34" t="s">
        <v>3332</v>
      </c>
      <c r="E45" s="46" t="s">
        <v>3292</v>
      </c>
      <c r="F45" s="34" t="s">
        <v>3297</v>
      </c>
      <c r="G45" s="46" t="s">
        <v>3318</v>
      </c>
      <c r="H45" s="108" t="s">
        <v>3319</v>
      </c>
      <c r="I45" s="108"/>
    </row>
    <row r="46" spans="1:9" ht="34.049999999999997" customHeight="1" x14ac:dyDescent="0.3">
      <c r="A46" s="46" t="s">
        <v>2</v>
      </c>
      <c r="B46" s="108" t="s">
        <v>3339</v>
      </c>
      <c r="C46" s="108"/>
      <c r="D46" s="108"/>
      <c r="E46" s="108"/>
      <c r="F46" s="108"/>
      <c r="G46" s="108"/>
      <c r="H46" s="108"/>
      <c r="I46" s="108"/>
    </row>
    <row r="47" spans="1:9" ht="42" customHeight="1" x14ac:dyDescent="0.3">
      <c r="A47" s="107" t="s">
        <v>3321</v>
      </c>
      <c r="B47" s="107"/>
      <c r="C47" s="108" t="s">
        <v>3340</v>
      </c>
      <c r="D47" s="108"/>
      <c r="E47" s="108"/>
      <c r="F47" s="108"/>
      <c r="G47" s="108"/>
      <c r="H47" s="108"/>
      <c r="I47" s="108"/>
    </row>
    <row r="48" spans="1:9" ht="34.049999999999997" customHeight="1" x14ac:dyDescent="0.3">
      <c r="A48" s="107" t="s">
        <v>3323</v>
      </c>
      <c r="B48" s="107"/>
      <c r="C48" s="108" t="s">
        <v>3411</v>
      </c>
      <c r="D48" s="108"/>
      <c r="E48" s="108"/>
      <c r="F48" s="108"/>
      <c r="G48" s="108"/>
      <c r="H48" s="108"/>
      <c r="I48" s="108"/>
    </row>
    <row r="49" spans="1:9" ht="64.95" customHeight="1" x14ac:dyDescent="0.3">
      <c r="A49" s="107" t="s">
        <v>3324</v>
      </c>
      <c r="B49" s="107"/>
      <c r="C49" s="108" t="s">
        <v>3341</v>
      </c>
      <c r="D49" s="108"/>
      <c r="E49" s="108"/>
      <c r="F49" s="108"/>
      <c r="G49" s="108"/>
      <c r="H49" s="108"/>
      <c r="I49" s="108"/>
    </row>
    <row r="50" spans="1:9" ht="190.05" customHeight="1" x14ac:dyDescent="0.3">
      <c r="A50" s="105" t="s">
        <v>3326</v>
      </c>
      <c r="B50" s="105"/>
      <c r="C50" s="106" t="s">
        <v>3387</v>
      </c>
      <c r="D50" s="106"/>
      <c r="E50" s="106"/>
      <c r="F50" s="106"/>
      <c r="G50" s="106"/>
      <c r="H50" s="106"/>
      <c r="I50" s="106"/>
    </row>
    <row r="51" spans="1:9" ht="75" customHeight="1" x14ac:dyDescent="0.3">
      <c r="A51" s="107" t="s">
        <v>3327</v>
      </c>
      <c r="B51" s="107"/>
      <c r="C51" s="108" t="s">
        <v>3328</v>
      </c>
      <c r="D51" s="108"/>
      <c r="E51" s="108"/>
      <c r="F51" s="108"/>
      <c r="G51" s="108"/>
      <c r="H51" s="108"/>
      <c r="I51" s="108"/>
    </row>
    <row r="52" spans="1:9" ht="31.95" customHeight="1" x14ac:dyDescent="0.3">
      <c r="A52" s="107" t="s">
        <v>3329</v>
      </c>
      <c r="B52" s="107"/>
      <c r="C52" s="108" t="s">
        <v>3330</v>
      </c>
      <c r="D52" s="108"/>
      <c r="E52" s="108"/>
      <c r="F52" s="108"/>
      <c r="G52" s="108"/>
      <c r="H52" s="108"/>
      <c r="I52" s="108"/>
    </row>
    <row r="53" spans="1:9" ht="10.050000000000001" customHeight="1" x14ac:dyDescent="0.3">
      <c r="A53" s="34"/>
      <c r="B53" s="34"/>
      <c r="C53" s="34"/>
      <c r="D53" s="34"/>
      <c r="E53" s="34"/>
      <c r="F53" s="34"/>
      <c r="G53" s="34"/>
      <c r="H53" s="34"/>
      <c r="I53" s="34"/>
    </row>
    <row r="54" spans="1:9" ht="25.05" customHeight="1" x14ac:dyDescent="0.3">
      <c r="A54" s="109" t="s">
        <v>3388</v>
      </c>
      <c r="B54" s="109"/>
      <c r="C54" s="109"/>
      <c r="D54" s="109"/>
      <c r="E54" s="109"/>
      <c r="F54" s="109"/>
      <c r="G54" s="109"/>
      <c r="H54" s="109"/>
      <c r="I54" s="109"/>
    </row>
    <row r="55" spans="1:9" ht="34.049999999999997" customHeight="1" x14ac:dyDescent="0.3">
      <c r="A55" s="46" t="s">
        <v>3311</v>
      </c>
      <c r="B55" s="34" t="s">
        <v>3342</v>
      </c>
      <c r="C55" s="46" t="s">
        <v>3313</v>
      </c>
      <c r="D55" s="34" t="s">
        <v>3343</v>
      </c>
      <c r="E55" s="46" t="s">
        <v>3315</v>
      </c>
      <c r="F55" s="34" t="s">
        <v>3344</v>
      </c>
      <c r="G55" s="47" t="s">
        <v>3379</v>
      </c>
      <c r="H55" s="110" t="s">
        <v>3389</v>
      </c>
      <c r="I55" s="110"/>
    </row>
    <row r="56" spans="1:9" ht="34.049999999999997" customHeight="1" x14ac:dyDescent="0.3">
      <c r="A56" s="46" t="s">
        <v>3</v>
      </c>
      <c r="B56" s="34" t="s">
        <v>40</v>
      </c>
      <c r="C56" s="46" t="s">
        <v>3317</v>
      </c>
      <c r="D56" s="34">
        <v>1906</v>
      </c>
      <c r="E56" s="46" t="s">
        <v>3292</v>
      </c>
      <c r="F56" s="34" t="s">
        <v>2015</v>
      </c>
      <c r="G56" s="46" t="s">
        <v>3318</v>
      </c>
      <c r="H56" s="108" t="s">
        <v>3319</v>
      </c>
      <c r="I56" s="108"/>
    </row>
    <row r="57" spans="1:9" ht="34.049999999999997" customHeight="1" x14ac:dyDescent="0.3">
      <c r="A57" s="46" t="s">
        <v>2</v>
      </c>
      <c r="B57" s="108" t="s">
        <v>3345</v>
      </c>
      <c r="C57" s="108"/>
      <c r="D57" s="108"/>
      <c r="E57" s="108"/>
      <c r="F57" s="108"/>
      <c r="G57" s="108"/>
      <c r="H57" s="108"/>
      <c r="I57" s="108"/>
    </row>
    <row r="58" spans="1:9" ht="42" customHeight="1" x14ac:dyDescent="0.3">
      <c r="A58" s="107" t="s">
        <v>3321</v>
      </c>
      <c r="B58" s="107"/>
      <c r="C58" s="108" t="s">
        <v>3346</v>
      </c>
      <c r="D58" s="108"/>
      <c r="E58" s="108"/>
      <c r="F58" s="108"/>
      <c r="G58" s="108"/>
      <c r="H58" s="108"/>
      <c r="I58" s="108"/>
    </row>
    <row r="59" spans="1:9" ht="34.049999999999997" customHeight="1" x14ac:dyDescent="0.3">
      <c r="A59" s="107" t="s">
        <v>3323</v>
      </c>
      <c r="B59" s="107"/>
      <c r="C59" s="108" t="s">
        <v>3390</v>
      </c>
      <c r="D59" s="108"/>
      <c r="E59" s="108"/>
      <c r="F59" s="108"/>
      <c r="G59" s="108"/>
      <c r="H59" s="108"/>
      <c r="I59" s="108"/>
    </row>
    <row r="60" spans="1:9" ht="64.95" customHeight="1" x14ac:dyDescent="0.3">
      <c r="A60" s="107" t="s">
        <v>3324</v>
      </c>
      <c r="B60" s="107"/>
      <c r="C60" s="108" t="s">
        <v>3347</v>
      </c>
      <c r="D60" s="108"/>
      <c r="E60" s="108"/>
      <c r="F60" s="108"/>
      <c r="G60" s="108"/>
      <c r="H60" s="108"/>
      <c r="I60" s="108"/>
    </row>
    <row r="61" spans="1:9" ht="190.05" customHeight="1" x14ac:dyDescent="0.3">
      <c r="A61" s="105" t="s">
        <v>3326</v>
      </c>
      <c r="B61" s="105"/>
      <c r="C61" s="106" t="s">
        <v>3391</v>
      </c>
      <c r="D61" s="106"/>
      <c r="E61" s="106"/>
      <c r="F61" s="106"/>
      <c r="G61" s="106"/>
      <c r="H61" s="106"/>
      <c r="I61" s="106"/>
    </row>
    <row r="62" spans="1:9" ht="75" customHeight="1" x14ac:dyDescent="0.3">
      <c r="A62" s="107" t="s">
        <v>3327</v>
      </c>
      <c r="B62" s="107"/>
      <c r="C62" s="108" t="s">
        <v>3328</v>
      </c>
      <c r="D62" s="108"/>
      <c r="E62" s="108"/>
      <c r="F62" s="108"/>
      <c r="G62" s="108"/>
      <c r="H62" s="108"/>
      <c r="I62" s="108"/>
    </row>
    <row r="63" spans="1:9" ht="31.95" customHeight="1" x14ac:dyDescent="0.3">
      <c r="A63" s="107" t="s">
        <v>3329</v>
      </c>
      <c r="B63" s="107"/>
      <c r="C63" s="108" t="s">
        <v>3330</v>
      </c>
      <c r="D63" s="108"/>
      <c r="E63" s="108"/>
      <c r="F63" s="108"/>
      <c r="G63" s="108"/>
      <c r="H63" s="108"/>
      <c r="I63" s="108"/>
    </row>
    <row r="64" spans="1:9" ht="10.050000000000001" customHeight="1" x14ac:dyDescent="0.3">
      <c r="A64" s="34"/>
      <c r="B64" s="34"/>
      <c r="C64" s="34"/>
      <c r="D64" s="34"/>
      <c r="E64" s="34"/>
      <c r="F64" s="34"/>
      <c r="G64" s="34"/>
      <c r="H64" s="34"/>
      <c r="I64" s="34"/>
    </row>
    <row r="65" spans="1:9" ht="25.05" customHeight="1" x14ac:dyDescent="0.3">
      <c r="A65" s="109" t="s">
        <v>3392</v>
      </c>
      <c r="B65" s="109"/>
      <c r="C65" s="109"/>
      <c r="D65" s="109"/>
      <c r="E65" s="109"/>
      <c r="F65" s="109"/>
      <c r="G65" s="109"/>
      <c r="H65" s="109"/>
      <c r="I65" s="109"/>
    </row>
    <row r="66" spans="1:9" ht="34.049999999999997" customHeight="1" x14ac:dyDescent="0.3">
      <c r="A66" s="46" t="s">
        <v>3311</v>
      </c>
      <c r="B66" s="34" t="s">
        <v>3348</v>
      </c>
      <c r="C66" s="46" t="s">
        <v>3313</v>
      </c>
      <c r="D66" s="34" t="s">
        <v>3349</v>
      </c>
      <c r="E66" s="46" t="s">
        <v>3315</v>
      </c>
      <c r="F66" s="34" t="s">
        <v>3350</v>
      </c>
      <c r="G66" s="47" t="s">
        <v>3379</v>
      </c>
      <c r="H66" s="110" t="s">
        <v>3393</v>
      </c>
      <c r="I66" s="110"/>
    </row>
    <row r="67" spans="1:9" ht="34.049999999999997" customHeight="1" x14ac:dyDescent="0.3">
      <c r="A67" s="46" t="s">
        <v>3</v>
      </c>
      <c r="B67" s="34" t="s">
        <v>639</v>
      </c>
      <c r="C67" s="46" t="s">
        <v>3317</v>
      </c>
      <c r="D67" s="34">
        <v>1911</v>
      </c>
      <c r="E67" s="46" t="s">
        <v>3292</v>
      </c>
      <c r="F67" s="34" t="s">
        <v>3304</v>
      </c>
      <c r="G67" s="46" t="s">
        <v>3318</v>
      </c>
      <c r="H67" s="108" t="s">
        <v>3319</v>
      </c>
      <c r="I67" s="108"/>
    </row>
    <row r="68" spans="1:9" ht="34.049999999999997" customHeight="1" x14ac:dyDescent="0.3">
      <c r="A68" s="46" t="s">
        <v>2</v>
      </c>
      <c r="B68" s="108" t="s">
        <v>3351</v>
      </c>
      <c r="C68" s="108"/>
      <c r="D68" s="108"/>
      <c r="E68" s="108"/>
      <c r="F68" s="108"/>
      <c r="G68" s="108"/>
      <c r="H68" s="108"/>
      <c r="I68" s="108"/>
    </row>
    <row r="69" spans="1:9" ht="42" customHeight="1" x14ac:dyDescent="0.3">
      <c r="A69" s="107" t="s">
        <v>3321</v>
      </c>
      <c r="B69" s="107"/>
      <c r="C69" s="108" t="s">
        <v>3352</v>
      </c>
      <c r="D69" s="108"/>
      <c r="E69" s="108"/>
      <c r="F69" s="108"/>
      <c r="G69" s="108"/>
      <c r="H69" s="108"/>
      <c r="I69" s="108"/>
    </row>
    <row r="70" spans="1:9" ht="34.049999999999997" customHeight="1" x14ac:dyDescent="0.3">
      <c r="A70" s="107" t="s">
        <v>3323</v>
      </c>
      <c r="B70" s="107"/>
      <c r="C70" s="108" t="s">
        <v>3390</v>
      </c>
      <c r="D70" s="108"/>
      <c r="E70" s="108"/>
      <c r="F70" s="108"/>
      <c r="G70" s="108"/>
      <c r="H70" s="108"/>
      <c r="I70" s="108"/>
    </row>
    <row r="71" spans="1:9" ht="64.95" customHeight="1" x14ac:dyDescent="0.3">
      <c r="A71" s="107" t="s">
        <v>3324</v>
      </c>
      <c r="B71" s="107"/>
      <c r="C71" s="108" t="s">
        <v>3353</v>
      </c>
      <c r="D71" s="108"/>
      <c r="E71" s="108"/>
      <c r="F71" s="108"/>
      <c r="G71" s="108"/>
      <c r="H71" s="108"/>
      <c r="I71" s="108"/>
    </row>
    <row r="72" spans="1:9" ht="190.05" customHeight="1" x14ac:dyDescent="0.3">
      <c r="A72" s="105" t="s">
        <v>3326</v>
      </c>
      <c r="B72" s="105"/>
      <c r="C72" s="106" t="s">
        <v>3394</v>
      </c>
      <c r="D72" s="106"/>
      <c r="E72" s="106"/>
      <c r="F72" s="106"/>
      <c r="G72" s="106"/>
      <c r="H72" s="106"/>
      <c r="I72" s="106"/>
    </row>
    <row r="73" spans="1:9" ht="75" customHeight="1" x14ac:dyDescent="0.3">
      <c r="A73" s="107" t="s">
        <v>3327</v>
      </c>
      <c r="B73" s="107"/>
      <c r="C73" s="108" t="s">
        <v>3328</v>
      </c>
      <c r="D73" s="108"/>
      <c r="E73" s="108"/>
      <c r="F73" s="108"/>
      <c r="G73" s="108"/>
      <c r="H73" s="108"/>
      <c r="I73" s="108"/>
    </row>
    <row r="74" spans="1:9" ht="31.95" customHeight="1" x14ac:dyDescent="0.3">
      <c r="A74" s="107" t="s">
        <v>3329</v>
      </c>
      <c r="B74" s="107"/>
      <c r="C74" s="108" t="s">
        <v>3330</v>
      </c>
      <c r="D74" s="108"/>
      <c r="E74" s="108"/>
      <c r="F74" s="108"/>
      <c r="G74" s="108"/>
      <c r="H74" s="108"/>
      <c r="I74" s="108"/>
    </row>
    <row r="75" spans="1:9" ht="10.050000000000001" customHeight="1" x14ac:dyDescent="0.3">
      <c r="A75" s="34"/>
      <c r="B75" s="34"/>
      <c r="C75" s="34"/>
      <c r="D75" s="34"/>
      <c r="E75" s="34"/>
      <c r="F75" s="34"/>
      <c r="G75" s="34"/>
      <c r="H75" s="34"/>
      <c r="I75" s="34"/>
    </row>
    <row r="76" spans="1:9" ht="25.05" customHeight="1" x14ac:dyDescent="0.3">
      <c r="A76" s="109" t="s">
        <v>3395</v>
      </c>
      <c r="B76" s="109"/>
      <c r="C76" s="109"/>
      <c r="D76" s="109"/>
      <c r="E76" s="109"/>
      <c r="F76" s="109"/>
      <c r="G76" s="109"/>
      <c r="H76" s="109"/>
      <c r="I76" s="109"/>
    </row>
    <row r="77" spans="1:9" ht="34.049999999999997" customHeight="1" x14ac:dyDescent="0.3">
      <c r="A77" s="46" t="s">
        <v>3311</v>
      </c>
      <c r="B77" s="34" t="s">
        <v>3348</v>
      </c>
      <c r="C77" s="46" t="s">
        <v>3313</v>
      </c>
      <c r="D77" s="34" t="s">
        <v>3349</v>
      </c>
      <c r="E77" s="46" t="s">
        <v>3315</v>
      </c>
      <c r="F77" s="34" t="s">
        <v>3350</v>
      </c>
      <c r="G77" s="47" t="s">
        <v>3379</v>
      </c>
      <c r="H77" s="110" t="s">
        <v>3396</v>
      </c>
      <c r="I77" s="110"/>
    </row>
    <row r="78" spans="1:9" ht="34.049999999999997" customHeight="1" x14ac:dyDescent="0.3">
      <c r="A78" s="46" t="s">
        <v>3</v>
      </c>
      <c r="B78" s="34" t="s">
        <v>639</v>
      </c>
      <c r="C78" s="46" t="s">
        <v>3317</v>
      </c>
      <c r="D78" s="34">
        <v>1911</v>
      </c>
      <c r="E78" s="46" t="s">
        <v>3292</v>
      </c>
      <c r="F78" s="34" t="s">
        <v>3304</v>
      </c>
      <c r="G78" s="46" t="s">
        <v>3318</v>
      </c>
      <c r="H78" s="108" t="s">
        <v>3319</v>
      </c>
      <c r="I78" s="108"/>
    </row>
    <row r="79" spans="1:9" ht="34.049999999999997" customHeight="1" x14ac:dyDescent="0.3">
      <c r="A79" s="46" t="s">
        <v>2</v>
      </c>
      <c r="B79" s="108" t="s">
        <v>3351</v>
      </c>
      <c r="C79" s="108"/>
      <c r="D79" s="108"/>
      <c r="E79" s="108"/>
      <c r="F79" s="108"/>
      <c r="G79" s="108"/>
      <c r="H79" s="108"/>
      <c r="I79" s="108"/>
    </row>
    <row r="80" spans="1:9" ht="42" customHeight="1" x14ac:dyDescent="0.3">
      <c r="A80" s="107" t="s">
        <v>3321</v>
      </c>
      <c r="B80" s="107"/>
      <c r="C80" s="108" t="s">
        <v>3354</v>
      </c>
      <c r="D80" s="108"/>
      <c r="E80" s="108"/>
      <c r="F80" s="108"/>
      <c r="G80" s="108"/>
      <c r="H80" s="108"/>
      <c r="I80" s="108"/>
    </row>
    <row r="81" spans="1:9" ht="34.049999999999997" customHeight="1" x14ac:dyDescent="0.3">
      <c r="A81" s="107" t="s">
        <v>3323</v>
      </c>
      <c r="B81" s="107"/>
      <c r="C81" s="108" t="s">
        <v>3390</v>
      </c>
      <c r="D81" s="108"/>
      <c r="E81" s="108"/>
      <c r="F81" s="108"/>
      <c r="G81" s="108"/>
      <c r="H81" s="108"/>
      <c r="I81" s="108"/>
    </row>
    <row r="82" spans="1:9" ht="64.95" customHeight="1" x14ac:dyDescent="0.3">
      <c r="A82" s="107" t="s">
        <v>3324</v>
      </c>
      <c r="B82" s="107"/>
      <c r="C82" s="108" t="s">
        <v>3355</v>
      </c>
      <c r="D82" s="108"/>
      <c r="E82" s="108"/>
      <c r="F82" s="108"/>
      <c r="G82" s="108"/>
      <c r="H82" s="108"/>
      <c r="I82" s="108"/>
    </row>
    <row r="83" spans="1:9" ht="190.05" customHeight="1" x14ac:dyDescent="0.3">
      <c r="A83" s="105" t="s">
        <v>3326</v>
      </c>
      <c r="B83" s="105"/>
      <c r="C83" s="106" t="s">
        <v>3397</v>
      </c>
      <c r="D83" s="106"/>
      <c r="E83" s="106"/>
      <c r="F83" s="106"/>
      <c r="G83" s="106"/>
      <c r="H83" s="106"/>
      <c r="I83" s="106"/>
    </row>
    <row r="84" spans="1:9" ht="75" customHeight="1" x14ac:dyDescent="0.3">
      <c r="A84" s="107" t="s">
        <v>3327</v>
      </c>
      <c r="B84" s="107"/>
      <c r="C84" s="108" t="s">
        <v>3328</v>
      </c>
      <c r="D84" s="108"/>
      <c r="E84" s="108"/>
      <c r="F84" s="108"/>
      <c r="G84" s="108"/>
      <c r="H84" s="108"/>
      <c r="I84" s="108"/>
    </row>
    <row r="85" spans="1:9" ht="31.95" customHeight="1" x14ac:dyDescent="0.3">
      <c r="A85" s="107" t="s">
        <v>3329</v>
      </c>
      <c r="B85" s="107"/>
      <c r="C85" s="108" t="s">
        <v>3330</v>
      </c>
      <c r="D85" s="108"/>
      <c r="E85" s="108"/>
      <c r="F85" s="108"/>
      <c r="G85" s="108"/>
      <c r="H85" s="108"/>
      <c r="I85" s="108"/>
    </row>
    <row r="86" spans="1:9" ht="10.050000000000001" customHeight="1" x14ac:dyDescent="0.3">
      <c r="A86" s="34"/>
      <c r="B86" s="34"/>
      <c r="C86" s="34"/>
      <c r="D86" s="34"/>
      <c r="E86" s="34"/>
      <c r="F86" s="34"/>
      <c r="G86" s="34"/>
      <c r="H86" s="34"/>
      <c r="I86" s="34"/>
    </row>
    <row r="87" spans="1:9" ht="25.05" customHeight="1" x14ac:dyDescent="0.3">
      <c r="A87" s="109" t="s">
        <v>3398</v>
      </c>
      <c r="B87" s="109"/>
      <c r="C87" s="109"/>
      <c r="D87" s="109"/>
      <c r="E87" s="109"/>
      <c r="F87" s="109"/>
      <c r="G87" s="109"/>
      <c r="H87" s="109"/>
      <c r="I87" s="109"/>
    </row>
    <row r="88" spans="1:9" ht="34.049999999999997" customHeight="1" x14ac:dyDescent="0.3">
      <c r="A88" s="46" t="s">
        <v>3311</v>
      </c>
      <c r="B88" s="34" t="s">
        <v>3356</v>
      </c>
      <c r="C88" s="46" t="s">
        <v>3313</v>
      </c>
      <c r="D88" s="34" t="s">
        <v>3349</v>
      </c>
      <c r="E88" s="46" t="s">
        <v>3315</v>
      </c>
      <c r="F88" s="34" t="s">
        <v>3357</v>
      </c>
      <c r="G88" s="47" t="s">
        <v>3379</v>
      </c>
      <c r="H88" s="110" t="s">
        <v>3399</v>
      </c>
      <c r="I88" s="110"/>
    </row>
    <row r="89" spans="1:9" ht="34.049999999999997" customHeight="1" x14ac:dyDescent="0.3">
      <c r="A89" s="46" t="s">
        <v>3</v>
      </c>
      <c r="B89" s="34" t="s">
        <v>3307</v>
      </c>
      <c r="C89" s="46" t="s">
        <v>3317</v>
      </c>
      <c r="D89" s="34" t="s">
        <v>3358</v>
      </c>
      <c r="E89" s="46" t="s">
        <v>3292</v>
      </c>
      <c r="F89" s="34" t="s">
        <v>3297</v>
      </c>
      <c r="G89" s="46" t="s">
        <v>3318</v>
      </c>
      <c r="H89" s="108" t="s">
        <v>3319</v>
      </c>
      <c r="I89" s="108"/>
    </row>
    <row r="90" spans="1:9" ht="34.049999999999997" customHeight="1" x14ac:dyDescent="0.3">
      <c r="A90" s="46" t="s">
        <v>2</v>
      </c>
      <c r="B90" s="108" t="s">
        <v>3359</v>
      </c>
      <c r="C90" s="108"/>
      <c r="D90" s="108"/>
      <c r="E90" s="108"/>
      <c r="F90" s="108"/>
      <c r="G90" s="108"/>
      <c r="H90" s="108"/>
      <c r="I90" s="108"/>
    </row>
    <row r="91" spans="1:9" ht="42" customHeight="1" x14ac:dyDescent="0.3">
      <c r="A91" s="107" t="s">
        <v>3321</v>
      </c>
      <c r="B91" s="107"/>
      <c r="C91" s="108" t="s">
        <v>3360</v>
      </c>
      <c r="D91" s="108"/>
      <c r="E91" s="108"/>
      <c r="F91" s="108"/>
      <c r="G91" s="108"/>
      <c r="H91" s="108"/>
      <c r="I91" s="108"/>
    </row>
    <row r="92" spans="1:9" ht="34.049999999999997" customHeight="1" x14ac:dyDescent="0.3">
      <c r="A92" s="107" t="s">
        <v>3323</v>
      </c>
      <c r="B92" s="107"/>
      <c r="C92" s="108" t="s">
        <v>3412</v>
      </c>
      <c r="D92" s="108"/>
      <c r="E92" s="108"/>
      <c r="F92" s="108"/>
      <c r="G92" s="108"/>
      <c r="H92" s="108"/>
      <c r="I92" s="108"/>
    </row>
    <row r="93" spans="1:9" ht="64.95" customHeight="1" x14ac:dyDescent="0.3">
      <c r="A93" s="107" t="s">
        <v>3324</v>
      </c>
      <c r="B93" s="107"/>
      <c r="C93" s="108" t="s">
        <v>3361</v>
      </c>
      <c r="D93" s="108"/>
      <c r="E93" s="108"/>
      <c r="F93" s="108"/>
      <c r="G93" s="108"/>
      <c r="H93" s="108"/>
      <c r="I93" s="108"/>
    </row>
    <row r="94" spans="1:9" ht="190.05" customHeight="1" x14ac:dyDescent="0.3">
      <c r="A94" s="105" t="s">
        <v>3326</v>
      </c>
      <c r="B94" s="105"/>
      <c r="C94" s="106" t="s">
        <v>3400</v>
      </c>
      <c r="D94" s="106"/>
      <c r="E94" s="106"/>
      <c r="F94" s="106"/>
      <c r="G94" s="106"/>
      <c r="H94" s="106"/>
      <c r="I94" s="106"/>
    </row>
    <row r="95" spans="1:9" ht="75" customHeight="1" x14ac:dyDescent="0.3">
      <c r="A95" s="107" t="s">
        <v>3327</v>
      </c>
      <c r="B95" s="107"/>
      <c r="C95" s="108" t="s">
        <v>3328</v>
      </c>
      <c r="D95" s="108"/>
      <c r="E95" s="108"/>
      <c r="F95" s="108"/>
      <c r="G95" s="108"/>
      <c r="H95" s="108"/>
      <c r="I95" s="108"/>
    </row>
    <row r="96" spans="1:9" ht="31.95" customHeight="1" x14ac:dyDescent="0.3">
      <c r="A96" s="107" t="s">
        <v>3329</v>
      </c>
      <c r="B96" s="107"/>
      <c r="C96" s="108" t="s">
        <v>3330</v>
      </c>
      <c r="D96" s="108"/>
      <c r="E96" s="108"/>
      <c r="F96" s="108"/>
      <c r="G96" s="108"/>
      <c r="H96" s="108"/>
      <c r="I96" s="108"/>
    </row>
    <row r="97" spans="1:9" ht="10.050000000000001" customHeight="1" x14ac:dyDescent="0.3">
      <c r="A97" s="34"/>
      <c r="B97" s="34"/>
      <c r="C97" s="34"/>
      <c r="D97" s="34"/>
      <c r="E97" s="34"/>
      <c r="F97" s="34"/>
      <c r="G97" s="34"/>
      <c r="H97" s="34"/>
      <c r="I97" s="34"/>
    </row>
    <row r="98" spans="1:9" ht="25.05" customHeight="1" x14ac:dyDescent="0.3">
      <c r="A98" s="109" t="s">
        <v>3401</v>
      </c>
      <c r="B98" s="109"/>
      <c r="C98" s="109"/>
      <c r="D98" s="109"/>
      <c r="E98" s="109"/>
      <c r="F98" s="109"/>
      <c r="G98" s="109"/>
      <c r="H98" s="109"/>
      <c r="I98" s="109"/>
    </row>
    <row r="99" spans="1:9" ht="34.049999999999997" customHeight="1" x14ac:dyDescent="0.3">
      <c r="A99" s="46" t="s">
        <v>3311</v>
      </c>
      <c r="B99" s="34" t="s">
        <v>3362</v>
      </c>
      <c r="C99" s="46" t="s">
        <v>3313</v>
      </c>
      <c r="D99" s="34" t="s">
        <v>3363</v>
      </c>
      <c r="E99" s="46" t="s">
        <v>3315</v>
      </c>
      <c r="F99" s="34" t="s">
        <v>3364</v>
      </c>
      <c r="G99" s="47" t="s">
        <v>3379</v>
      </c>
      <c r="H99" s="110" t="s">
        <v>3402</v>
      </c>
      <c r="I99" s="110"/>
    </row>
    <row r="100" spans="1:9" ht="34.049999999999997" customHeight="1" x14ac:dyDescent="0.3">
      <c r="A100" s="46" t="s">
        <v>3</v>
      </c>
      <c r="B100" s="34" t="s">
        <v>3307</v>
      </c>
      <c r="C100" s="46" t="s">
        <v>3317</v>
      </c>
      <c r="D100" s="34" t="s">
        <v>3365</v>
      </c>
      <c r="E100" s="46" t="s">
        <v>3292</v>
      </c>
      <c r="F100" s="34" t="s">
        <v>3297</v>
      </c>
      <c r="G100" s="46" t="s">
        <v>3318</v>
      </c>
      <c r="H100" s="108" t="s">
        <v>3319</v>
      </c>
      <c r="I100" s="108"/>
    </row>
    <row r="101" spans="1:9" ht="34.049999999999997" customHeight="1" x14ac:dyDescent="0.3">
      <c r="A101" s="46" t="s">
        <v>2</v>
      </c>
      <c r="B101" s="108" t="s">
        <v>3366</v>
      </c>
      <c r="C101" s="108"/>
      <c r="D101" s="108"/>
      <c r="E101" s="108"/>
      <c r="F101" s="108"/>
      <c r="G101" s="108"/>
      <c r="H101" s="108"/>
      <c r="I101" s="108"/>
    </row>
    <row r="102" spans="1:9" ht="42" customHeight="1" x14ac:dyDescent="0.3">
      <c r="A102" s="107" t="s">
        <v>3321</v>
      </c>
      <c r="B102" s="107"/>
      <c r="C102" s="108" t="s">
        <v>3367</v>
      </c>
      <c r="D102" s="108"/>
      <c r="E102" s="108"/>
      <c r="F102" s="108"/>
      <c r="G102" s="108"/>
      <c r="H102" s="108"/>
      <c r="I102" s="108"/>
    </row>
    <row r="103" spans="1:9" ht="34.049999999999997" customHeight="1" x14ac:dyDescent="0.3">
      <c r="A103" s="107" t="s">
        <v>3323</v>
      </c>
      <c r="B103" s="107"/>
      <c r="C103" s="108" t="s">
        <v>3390</v>
      </c>
      <c r="D103" s="108"/>
      <c r="E103" s="108"/>
      <c r="F103" s="108"/>
      <c r="G103" s="108"/>
      <c r="H103" s="108"/>
      <c r="I103" s="108"/>
    </row>
    <row r="104" spans="1:9" ht="64.95" customHeight="1" x14ac:dyDescent="0.3">
      <c r="A104" s="107" t="s">
        <v>3324</v>
      </c>
      <c r="B104" s="107"/>
      <c r="C104" s="108" t="s">
        <v>3368</v>
      </c>
      <c r="D104" s="108"/>
      <c r="E104" s="108"/>
      <c r="F104" s="108"/>
      <c r="G104" s="108"/>
      <c r="H104" s="108"/>
      <c r="I104" s="108"/>
    </row>
    <row r="105" spans="1:9" ht="190.05" customHeight="1" x14ac:dyDescent="0.3">
      <c r="A105" s="105" t="s">
        <v>3326</v>
      </c>
      <c r="B105" s="105"/>
      <c r="C105" s="106" t="s">
        <v>3403</v>
      </c>
      <c r="D105" s="106"/>
      <c r="E105" s="106"/>
      <c r="F105" s="106"/>
      <c r="G105" s="106"/>
      <c r="H105" s="106"/>
      <c r="I105" s="106"/>
    </row>
    <row r="106" spans="1:9" ht="75" customHeight="1" x14ac:dyDescent="0.3">
      <c r="A106" s="107" t="s">
        <v>3327</v>
      </c>
      <c r="B106" s="107"/>
      <c r="C106" s="108" t="s">
        <v>3328</v>
      </c>
      <c r="D106" s="108"/>
      <c r="E106" s="108"/>
      <c r="F106" s="108"/>
      <c r="G106" s="108"/>
      <c r="H106" s="108"/>
      <c r="I106" s="108"/>
    </row>
    <row r="107" spans="1:9" ht="31.95" customHeight="1" x14ac:dyDescent="0.3">
      <c r="A107" s="107" t="s">
        <v>3329</v>
      </c>
      <c r="B107" s="107"/>
      <c r="C107" s="108" t="s">
        <v>3330</v>
      </c>
      <c r="D107" s="108"/>
      <c r="E107" s="108"/>
      <c r="F107" s="108"/>
      <c r="G107" s="108"/>
      <c r="H107" s="108"/>
      <c r="I107" s="108"/>
    </row>
    <row r="108" spans="1:9" ht="10.050000000000001" customHeight="1" x14ac:dyDescent="0.3">
      <c r="A108" s="34"/>
      <c r="B108" s="34"/>
      <c r="C108" s="34"/>
      <c r="D108" s="34"/>
      <c r="E108" s="34"/>
      <c r="F108" s="34"/>
      <c r="G108" s="34"/>
      <c r="H108" s="34"/>
      <c r="I108" s="34"/>
    </row>
    <row r="109" spans="1:9" ht="25.05" customHeight="1" x14ac:dyDescent="0.3">
      <c r="A109" s="109" t="s">
        <v>3404</v>
      </c>
      <c r="B109" s="109"/>
      <c r="C109" s="109"/>
      <c r="D109" s="109"/>
      <c r="E109" s="109"/>
      <c r="F109" s="109"/>
      <c r="G109" s="109"/>
      <c r="H109" s="109"/>
      <c r="I109" s="109"/>
    </row>
    <row r="110" spans="1:9" ht="34.049999999999997" customHeight="1" x14ac:dyDescent="0.3">
      <c r="A110" s="46" t="s">
        <v>3311</v>
      </c>
      <c r="B110" s="34" t="s">
        <v>3362</v>
      </c>
      <c r="C110" s="46" t="s">
        <v>3313</v>
      </c>
      <c r="D110" s="34" t="s">
        <v>3363</v>
      </c>
      <c r="E110" s="46" t="s">
        <v>3315</v>
      </c>
      <c r="F110" s="34" t="s">
        <v>3369</v>
      </c>
      <c r="G110" s="47" t="s">
        <v>3379</v>
      </c>
      <c r="H110" s="110" t="s">
        <v>3405</v>
      </c>
      <c r="I110" s="110"/>
    </row>
    <row r="111" spans="1:9" ht="34.049999999999997" customHeight="1" x14ac:dyDescent="0.3">
      <c r="A111" s="46" t="s">
        <v>3</v>
      </c>
      <c r="B111" s="34" t="s">
        <v>1107</v>
      </c>
      <c r="C111" s="46" t="s">
        <v>3317</v>
      </c>
      <c r="D111" s="34" t="s">
        <v>561</v>
      </c>
      <c r="E111" s="46" t="s">
        <v>3292</v>
      </c>
      <c r="F111" s="34" t="s">
        <v>2015</v>
      </c>
      <c r="G111" s="46" t="s">
        <v>3318</v>
      </c>
      <c r="H111" s="108" t="s">
        <v>3319</v>
      </c>
      <c r="I111" s="108"/>
    </row>
    <row r="112" spans="1:9" ht="34.049999999999997" customHeight="1" x14ac:dyDescent="0.3">
      <c r="A112" s="46" t="s">
        <v>2</v>
      </c>
      <c r="B112" s="108" t="s">
        <v>3370</v>
      </c>
      <c r="C112" s="108"/>
      <c r="D112" s="108"/>
      <c r="E112" s="108"/>
      <c r="F112" s="108"/>
      <c r="G112" s="108"/>
      <c r="H112" s="108"/>
      <c r="I112" s="108"/>
    </row>
    <row r="113" spans="1:9" ht="42" customHeight="1" x14ac:dyDescent="0.3">
      <c r="A113" s="107" t="s">
        <v>3321</v>
      </c>
      <c r="B113" s="107"/>
      <c r="C113" s="108" t="s">
        <v>3371</v>
      </c>
      <c r="D113" s="108"/>
      <c r="E113" s="108"/>
      <c r="F113" s="108"/>
      <c r="G113" s="108"/>
      <c r="H113" s="108"/>
      <c r="I113" s="108"/>
    </row>
    <row r="114" spans="1:9" ht="34.049999999999997" customHeight="1" x14ac:dyDescent="0.3">
      <c r="A114" s="107" t="s">
        <v>3323</v>
      </c>
      <c r="B114" s="107"/>
      <c r="C114" s="108" t="s">
        <v>3390</v>
      </c>
      <c r="D114" s="108"/>
      <c r="E114" s="108"/>
      <c r="F114" s="108"/>
      <c r="G114" s="108"/>
      <c r="H114" s="108"/>
      <c r="I114" s="108"/>
    </row>
    <row r="115" spans="1:9" ht="64.95" customHeight="1" x14ac:dyDescent="0.3">
      <c r="A115" s="107" t="s">
        <v>3324</v>
      </c>
      <c r="B115" s="107"/>
      <c r="C115" s="108" t="s">
        <v>3372</v>
      </c>
      <c r="D115" s="108"/>
      <c r="E115" s="108"/>
      <c r="F115" s="108"/>
      <c r="G115" s="108"/>
      <c r="H115" s="108"/>
      <c r="I115" s="108"/>
    </row>
    <row r="116" spans="1:9" ht="190.05" customHeight="1" x14ac:dyDescent="0.3">
      <c r="A116" s="105" t="s">
        <v>3326</v>
      </c>
      <c r="B116" s="105"/>
      <c r="C116" s="106" t="s">
        <v>3406</v>
      </c>
      <c r="D116" s="106"/>
      <c r="E116" s="106"/>
      <c r="F116" s="106"/>
      <c r="G116" s="106"/>
      <c r="H116" s="106"/>
      <c r="I116" s="106"/>
    </row>
    <row r="117" spans="1:9" ht="75" customHeight="1" x14ac:dyDescent="0.3">
      <c r="A117" s="107" t="s">
        <v>3327</v>
      </c>
      <c r="B117" s="107"/>
      <c r="C117" s="108" t="s">
        <v>3328</v>
      </c>
      <c r="D117" s="108"/>
      <c r="E117" s="108"/>
      <c r="F117" s="108"/>
      <c r="G117" s="108"/>
      <c r="H117" s="108"/>
      <c r="I117" s="108"/>
    </row>
    <row r="118" spans="1:9" ht="31.95" customHeight="1" x14ac:dyDescent="0.3">
      <c r="A118" s="107" t="s">
        <v>3329</v>
      </c>
      <c r="B118" s="107"/>
      <c r="C118" s="108" t="s">
        <v>3330</v>
      </c>
      <c r="D118" s="108"/>
      <c r="E118" s="108"/>
      <c r="F118" s="108"/>
      <c r="G118" s="108"/>
      <c r="H118" s="108"/>
      <c r="I118" s="108"/>
    </row>
    <row r="119" spans="1:9" ht="10.050000000000001" customHeight="1" x14ac:dyDescent="0.3">
      <c r="A119" s="34"/>
      <c r="B119" s="34"/>
      <c r="C119" s="34"/>
      <c r="D119" s="34"/>
      <c r="E119" s="34"/>
      <c r="F119" s="34"/>
      <c r="G119" s="34"/>
      <c r="H119" s="34"/>
      <c r="I119" s="34"/>
    </row>
    <row r="120" spans="1:9" ht="25.05" customHeight="1" x14ac:dyDescent="0.3">
      <c r="A120" s="109" t="s">
        <v>3407</v>
      </c>
      <c r="B120" s="109"/>
      <c r="C120" s="109"/>
      <c r="D120" s="109"/>
      <c r="E120" s="109"/>
      <c r="F120" s="109"/>
      <c r="G120" s="109"/>
      <c r="H120" s="109"/>
      <c r="I120" s="109"/>
    </row>
    <row r="121" spans="1:9" ht="34.049999999999997" customHeight="1" x14ac:dyDescent="0.3">
      <c r="A121" s="46" t="s">
        <v>3311</v>
      </c>
      <c r="B121" s="34" t="s">
        <v>3362</v>
      </c>
      <c r="C121" s="46" t="s">
        <v>3313</v>
      </c>
      <c r="D121" s="34" t="s">
        <v>3349</v>
      </c>
      <c r="E121" s="46" t="s">
        <v>3315</v>
      </c>
      <c r="F121" s="34" t="s">
        <v>3373</v>
      </c>
      <c r="G121" s="47" t="s">
        <v>3379</v>
      </c>
      <c r="H121" s="110" t="s">
        <v>3408</v>
      </c>
      <c r="I121" s="110"/>
    </row>
    <row r="122" spans="1:9" ht="34.049999999999997" customHeight="1" x14ac:dyDescent="0.3">
      <c r="A122" s="46" t="s">
        <v>3</v>
      </c>
      <c r="B122" s="34" t="s">
        <v>1193</v>
      </c>
      <c r="C122" s="46" t="s">
        <v>3317</v>
      </c>
      <c r="D122" s="34" t="s">
        <v>3021</v>
      </c>
      <c r="E122" s="46" t="s">
        <v>3292</v>
      </c>
      <c r="F122" s="34" t="s">
        <v>3297</v>
      </c>
      <c r="G122" s="46" t="s">
        <v>3318</v>
      </c>
      <c r="H122" s="108" t="s">
        <v>3319</v>
      </c>
      <c r="I122" s="108"/>
    </row>
    <row r="123" spans="1:9" ht="34.049999999999997" customHeight="1" x14ac:dyDescent="0.3">
      <c r="A123" s="46" t="s">
        <v>2</v>
      </c>
      <c r="B123" s="108" t="s">
        <v>3374</v>
      </c>
      <c r="C123" s="108"/>
      <c r="D123" s="108"/>
      <c r="E123" s="108"/>
      <c r="F123" s="108"/>
      <c r="G123" s="108"/>
      <c r="H123" s="108"/>
      <c r="I123" s="108"/>
    </row>
    <row r="124" spans="1:9" ht="42" customHeight="1" x14ac:dyDescent="0.3">
      <c r="A124" s="107" t="s">
        <v>3321</v>
      </c>
      <c r="B124" s="107"/>
      <c r="C124" s="108" t="s">
        <v>3375</v>
      </c>
      <c r="D124" s="108"/>
      <c r="E124" s="108"/>
      <c r="F124" s="108"/>
      <c r="G124" s="108"/>
      <c r="H124" s="108"/>
      <c r="I124" s="108"/>
    </row>
    <row r="125" spans="1:9" ht="34.049999999999997" customHeight="1" x14ac:dyDescent="0.3">
      <c r="A125" s="107" t="s">
        <v>3323</v>
      </c>
      <c r="B125" s="107"/>
      <c r="C125" s="108" t="s">
        <v>3412</v>
      </c>
      <c r="D125" s="108"/>
      <c r="E125" s="108"/>
      <c r="F125" s="108"/>
      <c r="G125" s="108"/>
      <c r="H125" s="108"/>
      <c r="I125" s="108"/>
    </row>
    <row r="126" spans="1:9" ht="64.95" customHeight="1" x14ac:dyDescent="0.3">
      <c r="A126" s="107" t="s">
        <v>3324</v>
      </c>
      <c r="B126" s="107"/>
      <c r="C126" s="108" t="s">
        <v>3376</v>
      </c>
      <c r="D126" s="108"/>
      <c r="E126" s="108"/>
      <c r="F126" s="108"/>
      <c r="G126" s="108"/>
      <c r="H126" s="108"/>
      <c r="I126" s="108"/>
    </row>
    <row r="127" spans="1:9" ht="190.05" customHeight="1" x14ac:dyDescent="0.3">
      <c r="A127" s="105" t="s">
        <v>3326</v>
      </c>
      <c r="B127" s="105"/>
      <c r="C127" s="106" t="s">
        <v>3409</v>
      </c>
      <c r="D127" s="106"/>
      <c r="E127" s="106"/>
      <c r="F127" s="106"/>
      <c r="G127" s="106"/>
      <c r="H127" s="106"/>
      <c r="I127" s="106"/>
    </row>
    <row r="128" spans="1:9" ht="75" customHeight="1" x14ac:dyDescent="0.3">
      <c r="A128" s="107" t="s">
        <v>3327</v>
      </c>
      <c r="B128" s="107"/>
      <c r="C128" s="108" t="s">
        <v>3328</v>
      </c>
      <c r="D128" s="108"/>
      <c r="E128" s="108"/>
      <c r="F128" s="108"/>
      <c r="G128" s="108"/>
      <c r="H128" s="108"/>
      <c r="I128" s="108"/>
    </row>
    <row r="129" spans="1:9" ht="31.95" customHeight="1" x14ac:dyDescent="0.3">
      <c r="A129" s="107" t="s">
        <v>3329</v>
      </c>
      <c r="B129" s="107"/>
      <c r="C129" s="108" t="s">
        <v>3330</v>
      </c>
      <c r="D129" s="108"/>
      <c r="E129" s="108"/>
      <c r="F129" s="108"/>
      <c r="G129" s="108"/>
      <c r="H129" s="108"/>
      <c r="I129" s="108"/>
    </row>
    <row r="130" spans="1:9" ht="10.050000000000001" customHeight="1" x14ac:dyDescent="0.3"/>
  </sheetData>
  <mergeCells count="171">
    <mergeCell ref="A19:I19"/>
    <mergeCell ref="H22:I22"/>
    <mergeCell ref="H23:I23"/>
    <mergeCell ref="B24:I24"/>
    <mergeCell ref="H33:I33"/>
    <mergeCell ref="H34:I34"/>
    <mergeCell ref="A127:B127"/>
    <mergeCell ref="C127:I127"/>
    <mergeCell ref="A128:B128"/>
    <mergeCell ref="C128:I128"/>
    <mergeCell ref="A116:B116"/>
    <mergeCell ref="C116:I116"/>
    <mergeCell ref="A117:B117"/>
    <mergeCell ref="C117:I117"/>
    <mergeCell ref="A118:B118"/>
    <mergeCell ref="C118:I118"/>
    <mergeCell ref="A109:I109"/>
    <mergeCell ref="A113:B113"/>
    <mergeCell ref="C113:I113"/>
    <mergeCell ref="A114:B114"/>
    <mergeCell ref="C114:I114"/>
    <mergeCell ref="A115:B115"/>
    <mergeCell ref="C115:I115"/>
    <mergeCell ref="H110:I110"/>
    <mergeCell ref="A129:B129"/>
    <mergeCell ref="C129:I129"/>
    <mergeCell ref="A120:I120"/>
    <mergeCell ref="A124:B124"/>
    <mergeCell ref="C124:I124"/>
    <mergeCell ref="A125:B125"/>
    <mergeCell ref="C125:I125"/>
    <mergeCell ref="A126:B126"/>
    <mergeCell ref="C126:I126"/>
    <mergeCell ref="H121:I121"/>
    <mergeCell ref="H122:I122"/>
    <mergeCell ref="B123:I123"/>
    <mergeCell ref="H111:I111"/>
    <mergeCell ref="B112:I112"/>
    <mergeCell ref="A105:B105"/>
    <mergeCell ref="C105:I105"/>
    <mergeCell ref="A106:B106"/>
    <mergeCell ref="C106:I106"/>
    <mergeCell ref="A107:B107"/>
    <mergeCell ref="C107:I107"/>
    <mergeCell ref="A98:I98"/>
    <mergeCell ref="A102:B102"/>
    <mergeCell ref="C102:I102"/>
    <mergeCell ref="A103:B103"/>
    <mergeCell ref="C103:I103"/>
    <mergeCell ref="A104:B104"/>
    <mergeCell ref="C104:I104"/>
    <mergeCell ref="H99:I99"/>
    <mergeCell ref="H100:I100"/>
    <mergeCell ref="B101:I101"/>
    <mergeCell ref="A94:B94"/>
    <mergeCell ref="C94:I94"/>
    <mergeCell ref="A95:B95"/>
    <mergeCell ref="C95:I95"/>
    <mergeCell ref="A96:B96"/>
    <mergeCell ref="C96:I96"/>
    <mergeCell ref="A87:I87"/>
    <mergeCell ref="A91:B91"/>
    <mergeCell ref="C91:I91"/>
    <mergeCell ref="A92:B92"/>
    <mergeCell ref="C92:I92"/>
    <mergeCell ref="A93:B93"/>
    <mergeCell ref="C93:I93"/>
    <mergeCell ref="H88:I88"/>
    <mergeCell ref="H89:I89"/>
    <mergeCell ref="B90:I90"/>
    <mergeCell ref="A83:B83"/>
    <mergeCell ref="C83:I83"/>
    <mergeCell ref="A84:B84"/>
    <mergeCell ref="C84:I84"/>
    <mergeCell ref="A85:B85"/>
    <mergeCell ref="C85:I85"/>
    <mergeCell ref="A76:I76"/>
    <mergeCell ref="A80:B80"/>
    <mergeCell ref="C80:I80"/>
    <mergeCell ref="A81:B81"/>
    <mergeCell ref="C81:I81"/>
    <mergeCell ref="A82:B82"/>
    <mergeCell ref="C82:I82"/>
    <mergeCell ref="H77:I77"/>
    <mergeCell ref="H78:I78"/>
    <mergeCell ref="B79:I79"/>
    <mergeCell ref="A72:B72"/>
    <mergeCell ref="C72:I72"/>
    <mergeCell ref="A73:B73"/>
    <mergeCell ref="C73:I73"/>
    <mergeCell ref="A74:B74"/>
    <mergeCell ref="C74:I74"/>
    <mergeCell ref="A65:I65"/>
    <mergeCell ref="A69:B69"/>
    <mergeCell ref="C69:I69"/>
    <mergeCell ref="A70:B70"/>
    <mergeCell ref="C70:I70"/>
    <mergeCell ref="A71:B71"/>
    <mergeCell ref="C71:I71"/>
    <mergeCell ref="H66:I66"/>
    <mergeCell ref="H67:I67"/>
    <mergeCell ref="B68:I68"/>
    <mergeCell ref="A61:B61"/>
    <mergeCell ref="C61:I61"/>
    <mergeCell ref="A62:B62"/>
    <mergeCell ref="C62:I62"/>
    <mergeCell ref="A63:B63"/>
    <mergeCell ref="C63:I63"/>
    <mergeCell ref="A54:I54"/>
    <mergeCell ref="A58:B58"/>
    <mergeCell ref="C58:I58"/>
    <mergeCell ref="A59:B59"/>
    <mergeCell ref="C59:I59"/>
    <mergeCell ref="A60:B60"/>
    <mergeCell ref="C60:I60"/>
    <mergeCell ref="H55:I55"/>
    <mergeCell ref="H56:I56"/>
    <mergeCell ref="B57:I57"/>
    <mergeCell ref="A50:B50"/>
    <mergeCell ref="C50:I50"/>
    <mergeCell ref="A51:B51"/>
    <mergeCell ref="C51:I51"/>
    <mergeCell ref="A52:B52"/>
    <mergeCell ref="C52:I52"/>
    <mergeCell ref="A43:I43"/>
    <mergeCell ref="A47:B47"/>
    <mergeCell ref="C47:I47"/>
    <mergeCell ref="A48:B48"/>
    <mergeCell ref="C48:I48"/>
    <mergeCell ref="A49:B49"/>
    <mergeCell ref="C49:I49"/>
    <mergeCell ref="H44:I44"/>
    <mergeCell ref="H45:I45"/>
    <mergeCell ref="B46:I46"/>
    <mergeCell ref="A39:B39"/>
    <mergeCell ref="C39:I39"/>
    <mergeCell ref="A40:B40"/>
    <mergeCell ref="C40:I40"/>
    <mergeCell ref="A41:B41"/>
    <mergeCell ref="C41:I41"/>
    <mergeCell ref="A32:I32"/>
    <mergeCell ref="A36:B36"/>
    <mergeCell ref="C36:I36"/>
    <mergeCell ref="A37:B37"/>
    <mergeCell ref="C37:I37"/>
    <mergeCell ref="A38:B38"/>
    <mergeCell ref="C38:I38"/>
    <mergeCell ref="B35:I35"/>
    <mergeCell ref="A28:B28"/>
    <mergeCell ref="C28:I28"/>
    <mergeCell ref="A29:B29"/>
    <mergeCell ref="C29:I29"/>
    <mergeCell ref="A30:B30"/>
    <mergeCell ref="C30:I30"/>
    <mergeCell ref="A21:I21"/>
    <mergeCell ref="A25:B25"/>
    <mergeCell ref="C25:I25"/>
    <mergeCell ref="A26:B26"/>
    <mergeCell ref="C26:I26"/>
    <mergeCell ref="A27:B27"/>
    <mergeCell ref="C27:I27"/>
    <mergeCell ref="A1:I1"/>
    <mergeCell ref="A2:I2"/>
    <mergeCell ref="A4:B4"/>
    <mergeCell ref="A5:B6"/>
    <mergeCell ref="C4:D4"/>
    <mergeCell ref="C5:D6"/>
    <mergeCell ref="E4:F4"/>
    <mergeCell ref="E5:F6"/>
    <mergeCell ref="G4:I4"/>
    <mergeCell ref="G5:I6"/>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Sammlung Start</vt:lpstr>
      <vt:lpstr>Postkarten Dashboard</vt:lpstr>
      <vt:lpstr>Postkarten</vt:lpstr>
      <vt:lpstr>Save</vt:lpstr>
      <vt:lpstr>Buch</vt:lpstr>
      <vt:lpstr>Postkarten Vergleich</vt:lpstr>
      <vt:lpstr>Münzen</vt:lpstr>
      <vt:lpstr>Münzen Vergleich</vt:lpstr>
      <vt:lpstr>Kleinanzeigen Top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Joachim Bartmann</cp:lastModifiedBy>
  <dcterms:created xsi:type="dcterms:W3CDTF">2026-09-18T06:43:47Z</dcterms:created>
  <dcterms:modified xsi:type="dcterms:W3CDTF">2026-10-11T12:03:51Z</dcterms:modified>
</cp:coreProperties>
</file>